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itban\Desktop\djaxogns\ai윤리\"/>
    </mc:Choice>
  </mc:AlternateContent>
  <xr:revisionPtr revIDLastSave="0" documentId="13_ncr:1_{759B5896-9F3E-4E48-9662-D68D409BC96A}" xr6:coauthVersionLast="47" xr6:coauthVersionMax="47" xr10:uidLastSave="{00000000-0000-0000-0000-000000000000}"/>
  <bookViews>
    <workbookView xWindow="43065" yWindow="15" windowWidth="14505" windowHeight="14145" tabRatio="710" activeTab="2" xr2:uid="{00000000-000D-0000-FFFF-FFFF00000000}"/>
  </bookViews>
  <sheets>
    <sheet name="1. 📋 목차" sheetId="10" r:id="rId1"/>
    <sheet name="2. 🏢 플랫폼 개요" sheetId="11" r:id="rId2"/>
    <sheet name="3. 🗄️ DB 설계" sheetId="1" r:id="rId3"/>
    <sheet name="4. 🌐 공통 메뉴구조" sheetId="3" r:id="rId4"/>
    <sheet name="5. 🧪 시험 모듈" sheetId="4" r:id="rId5"/>
    <sheet name="6. 🖥️ 화면 목록" sheetId="5" r:id="rId6"/>
    <sheet name="7. ⚠️ 미결 사항" sheetId="12" r:id="rId7"/>
    <sheet name="8. 🛠️ 개발 참고" sheetId="13" r:id="rId8"/>
    <sheet name="📊 이성일 개발내역" sheetId="14" r:id="rId9"/>
    <sheet name="이성일원본" sheetId="15" r:id="rId10"/>
    <sheet name="9. 🔄 화면 통합 분석" sheetId="16" r:id="rId11"/>
    <sheet name="10. 📝 개발 명세 (이성일형식)" sheetId="17" r:id="rId12"/>
    <sheet name="11. 📱 최소 화면 목록" sheetId="18" r:id="rId13"/>
    <sheet name="12. 📄 AI 개발 지시 MD" sheetId="19" r:id="rId14"/>
    <sheet name="📤 은정것 공유 요약" sheetId="22" r:id="rId15"/>
    <sheet name="15. 🌐 기타 서비스 계획 (원본)" sheetId="21" r:id="rId16"/>
  </sheets>
  <definedNames>
    <definedName name="_xlnm._FilterDatabase" localSheetId="4" hidden="1">'5. 🧪 시험 모듈'!$A$4:$L$95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15" i="19" l="1" a="1"/>
  <c r="A215" i="19" s="1"/>
  <c r="A212" i="19" a="1"/>
  <c r="A212" i="19" s="1"/>
  <c r="A211" i="19" a="1"/>
  <c r="A211" i="19" s="1"/>
  <c r="A189" i="19" a="1"/>
  <c r="A189" i="19"/>
  <c r="A188" i="19" a="1"/>
  <c r="A188" i="19" s="1"/>
  <c r="A178" i="19" a="1"/>
  <c r="A178" i="19" s="1"/>
  <c r="A172" i="19" a="1"/>
  <c r="A172" i="19" s="1"/>
  <c r="A169" i="19" a="1"/>
  <c r="A169" i="19" s="1"/>
  <c r="A168" i="19" a="1"/>
  <c r="A168" i="19" s="1"/>
  <c r="A156" i="19" a="1"/>
  <c r="A156" i="19" s="1"/>
  <c r="A149" i="19" a="1"/>
  <c r="A149" i="19" s="1"/>
  <c r="A145" i="19" a="1"/>
  <c r="A145" i="19" s="1"/>
  <c r="A137" i="19" a="1"/>
  <c r="A137" i="19" s="1"/>
  <c r="A132" i="19" a="1"/>
  <c r="A132" i="19"/>
  <c r="A126" i="19" a="1"/>
  <c r="A126" i="19"/>
  <c r="A117" i="19"/>
  <c r="A106" i="19" a="1"/>
  <c r="A106" i="19" s="1"/>
  <c r="A105" i="19" a="1"/>
  <c r="A105" i="19" s="1"/>
  <c r="A104" i="19" a="1"/>
  <c r="A104" i="19" s="1"/>
  <c r="A69" i="19" a="1"/>
  <c r="A69" i="19" s="1"/>
  <c r="A68" i="19" a="1"/>
  <c r="A68" i="19"/>
  <c r="A38" i="19" a="1"/>
  <c r="A38" i="19" s="1"/>
  <c r="A34" i="19" a="1"/>
  <c r="A34" i="19" s="1"/>
  <c r="A33" i="19" a="1"/>
  <c r="A33" i="19" s="1"/>
  <c r="A28" i="19" a="1"/>
  <c r="A28" i="19" s="1"/>
  <c r="A23" i="19"/>
  <c r="A22" i="19" a="1"/>
  <c r="A22" i="19" s="1"/>
  <c r="A21" i="19" a="1"/>
  <c r="A21" i="19" s="1"/>
  <c r="E118" i="15"/>
  <c r="E107"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<sst xmlns="http://schemas.openxmlformats.org/spreadsheetml/2006/main" count="4771" uniqueCount="2731">
  <si>
    <t>자격증</t>
  </si>
  <si>
    <t>결제 정보</t>
  </si>
  <si>
    <t>회원 번호</t>
  </si>
  <si>
    <t>사이트 구분</t>
  </si>
  <si>
    <t>회원 유형</t>
  </si>
  <si>
    <t>그룹 구분</t>
  </si>
  <si>
    <t>회원 구독 상태</t>
  </si>
  <si>
    <t>이름</t>
  </si>
  <si>
    <t>성별</t>
  </si>
  <si>
    <t>나이</t>
  </si>
  <si>
    <t>생년월일</t>
  </si>
  <si>
    <t>휴대폰</t>
  </si>
  <si>
    <t>국적</t>
  </si>
  <si>
    <t>주소</t>
  </si>
  <si>
    <t>주소 상세</t>
  </si>
  <si>
    <t>개인/그룹</t>
  </si>
  <si>
    <t>그룹명</t>
  </si>
  <si>
    <t>세금계산서</t>
  </si>
  <si>
    <t>사업자 등록번호</t>
  </si>
  <si>
    <t>가입일</t>
  </si>
  <si>
    <t>가입채널</t>
  </si>
  <si>
    <t>사진 등록</t>
  </si>
  <si>
    <t>비밀번호</t>
  </si>
  <si>
    <t>알림</t>
  </si>
  <si>
    <t>마케팅 동의여부</t>
  </si>
  <si>
    <t>관리자 메모</t>
  </si>
  <si>
    <t>접수 관리 번호</t>
  </si>
  <si>
    <t>시험 종목</t>
  </si>
  <si>
    <t>시험일</t>
  </si>
  <si>
    <t>접수 상태</t>
  </si>
  <si>
    <t>접수 상태 변경일</t>
  </si>
  <si>
    <t>시작 시간</t>
  </si>
  <si>
    <t>종료 시간</t>
  </si>
  <si>
    <t>시험명</t>
  </si>
  <si>
    <t>접수 구분</t>
  </si>
  <si>
    <t>차수</t>
  </si>
  <si>
    <t>시험 등급</t>
  </si>
  <si>
    <t>시험 상태</t>
  </si>
  <si>
    <t>응시 상태</t>
  </si>
  <si>
    <t>답안 제출</t>
  </si>
  <si>
    <t>성적 발표일</t>
  </si>
  <si>
    <t>시험 연기일</t>
  </si>
  <si>
    <t>시험 결과</t>
  </si>
  <si>
    <t>채점 방식</t>
  </si>
  <si>
    <t>채점 점수</t>
  </si>
  <si>
    <t>합격 기준 점수</t>
  </si>
  <si>
    <t>총점</t>
  </si>
  <si>
    <t>사용 에디터</t>
  </si>
  <si>
    <t>개별 피드백 신청</t>
  </si>
  <si>
    <t>긴급 연락처</t>
  </si>
  <si>
    <t>사진</t>
  </si>
  <si>
    <t>출력일</t>
  </si>
  <si>
    <t>출력 상태</t>
  </si>
  <si>
    <t>배송일</t>
  </si>
  <si>
    <t>배송 상태</t>
  </si>
  <si>
    <t>결제 상태</t>
  </si>
  <si>
    <t>장바구니 관리 번호</t>
  </si>
  <si>
    <t>결제 관리 번호</t>
  </si>
  <si>
    <t>결제일</t>
  </si>
  <si>
    <t>결제 분류</t>
  </si>
  <si>
    <t>결제 상세 내용</t>
  </si>
  <si>
    <t>이용 금액</t>
  </si>
  <si>
    <t>할인 금액</t>
  </si>
  <si>
    <t>결제 금액</t>
  </si>
  <si>
    <t>보유 포인트</t>
  </si>
  <si>
    <t>결제 방법</t>
  </si>
  <si>
    <t>환불접수일</t>
  </si>
  <si>
    <t>환불 상태</t>
  </si>
  <si>
    <t>환불계좌</t>
  </si>
  <si>
    <t>환불은행</t>
  </si>
  <si>
    <t>환불 예금주</t>
  </si>
  <si>
    <t>환불 금액</t>
  </si>
  <si>
    <t>환불일</t>
  </si>
  <si>
    <t>환불 사유</t>
  </si>
  <si>
    <t>메타번역</t>
  </si>
  <si>
    <t>프리미엄</t>
  </si>
  <si>
    <t>홍길동</t>
  </si>
  <si>
    <t>대한민국</t>
  </si>
  <si>
    <t>서울 강남구</t>
  </si>
  <si>
    <t>삼성</t>
  </si>
  <si>
    <t>123-45-678-9</t>
  </si>
  <si>
    <t>image.jpg</t>
  </si>
  <si>
    <t>자동 채점</t>
  </si>
  <si>
    <t>YY.MM.DD</t>
  </si>
  <si>
    <t>정상</t>
  </si>
  <si>
    <t>111111-11-11111</t>
  </si>
  <si>
    <t>카카오뱅크</t>
  </si>
  <si>
    <t>단순 변심</t>
  </si>
  <si>
    <t>텍스트</t>
  </si>
  <si>
    <t>N</t>
  </si>
  <si>
    <t>이메일</t>
  </si>
  <si>
    <t>취소</t>
  </si>
  <si>
    <t>포인트</t>
  </si>
  <si>
    <t>포인트 충전</t>
  </si>
  <si>
    <t>시험</t>
  </si>
  <si>
    <t>회원가입</t>
  </si>
  <si>
    <t>기타</t>
  </si>
  <si>
    <t>기업 회원</t>
  </si>
  <si>
    <t>구독</t>
  </si>
  <si>
    <t>포인트 사용</t>
  </si>
  <si>
    <t>첨부 파일</t>
  </si>
  <si>
    <t>비밀번호 규칙 정리 필요</t>
  </si>
  <si>
    <t>시험 양식</t>
  </si>
  <si>
    <t>문제 및 채점</t>
  </si>
  <si>
    <t>시험 관리 번호</t>
  </si>
  <si>
    <t>시험 가능 기간</t>
  </si>
  <si>
    <t>출제 목적</t>
  </si>
  <si>
    <t>기본값 여부</t>
  </si>
  <si>
    <t>교시</t>
  </si>
  <si>
    <t>출발어</t>
  </si>
  <si>
    <t>도착어</t>
  </si>
  <si>
    <t>시험유형</t>
  </si>
  <si>
    <t>시험 시작 시간</t>
  </si>
  <si>
    <t>시험 종료 시간</t>
  </si>
  <si>
    <t>접수생수</t>
  </si>
  <si>
    <t>응시생수</t>
  </si>
  <si>
    <t>합격생수</t>
  </si>
  <si>
    <t>불합격생수</t>
  </si>
  <si>
    <t>양식 관리 번호</t>
  </si>
  <si>
    <t>양식명</t>
  </si>
  <si>
    <t>단계</t>
  </si>
  <si>
    <t>총문항수</t>
  </si>
  <si>
    <t>사용 번역기</t>
  </si>
  <si>
    <t>사용 AI</t>
  </si>
  <si>
    <t>합격점수</t>
  </si>
  <si>
    <t>배점</t>
  </si>
  <si>
    <t>문제</t>
  </si>
  <si>
    <t>정답1</t>
  </si>
  <si>
    <t>정답2</t>
  </si>
  <si>
    <t>채점 방법</t>
  </si>
  <si>
    <t>단어수</t>
  </si>
  <si>
    <t>문장부호수</t>
  </si>
  <si>
    <t>전체문장수</t>
  </si>
  <si>
    <t>전체 문자수</t>
  </si>
  <si>
    <t>유사어</t>
  </si>
  <si>
    <t>24년1차</t>
  </si>
  <si>
    <t>전문 1급</t>
  </si>
  <si>
    <t>10:00(KST)</t>
  </si>
  <si>
    <t>16:30(KST)</t>
  </si>
  <si>
    <t>YY.MM.DD~YY.MM.DD</t>
  </si>
  <si>
    <t>채점 요청</t>
  </si>
  <si>
    <t>번역</t>
  </si>
  <si>
    <t>24.10.10~24.10.10</t>
  </si>
  <si>
    <t>전문 2급</t>
  </si>
  <si>
    <t>프롬프트</t>
  </si>
  <si>
    <t>단답형</t>
  </si>
  <si>
    <t>이미지</t>
  </si>
  <si>
    <t>관리자 설정</t>
  </si>
  <si>
    <t>1:1 상담</t>
  </si>
  <si>
    <t>공지사항</t>
  </si>
  <si>
    <t>블로그</t>
  </si>
  <si>
    <t>FAQ</t>
  </si>
  <si>
    <t>메인 배너</t>
  </si>
  <si>
    <t>팝업</t>
  </si>
  <si>
    <t>이용약관</t>
  </si>
  <si>
    <t>상담 관리 번호</t>
  </si>
  <si>
    <t>상태</t>
  </si>
  <si>
    <t>표시방법</t>
  </si>
  <si>
    <t>답변자</t>
  </si>
  <si>
    <t>상담일</t>
  </si>
  <si>
    <t>문의 제목</t>
  </si>
  <si>
    <t>문의 내용</t>
  </si>
  <si>
    <t>공지사항 관리 번호</t>
  </si>
  <si>
    <t>작성일</t>
  </si>
  <si>
    <t>제목</t>
  </si>
  <si>
    <t>내용</t>
  </si>
  <si>
    <t>작성자</t>
  </si>
  <si>
    <t>조회수</t>
  </si>
  <si>
    <t>블로그 관리 번호</t>
  </si>
  <si>
    <t>알림 발송 분류</t>
  </si>
  <si>
    <t>알림 방법</t>
  </si>
  <si>
    <t>FAQ 관리 번호</t>
  </si>
  <si>
    <t>질문</t>
  </si>
  <si>
    <t>메인 배너 관리 번호</t>
  </si>
  <si>
    <t>게시 시작일</t>
  </si>
  <si>
    <t>팝업 관리 번호</t>
  </si>
  <si>
    <t>게시 기간</t>
  </si>
  <si>
    <t>이용약관 관리 번호</t>
  </si>
  <si>
    <t>필수 여부</t>
  </si>
  <si>
    <t>아이디</t>
  </si>
  <si>
    <t>해당 권한</t>
  </si>
  <si>
    <t>목록별</t>
  </si>
  <si>
    <t>표시/숨기기 관리</t>
  </si>
  <si>
    <t>결제</t>
  </si>
  <si>
    <t>관리자</t>
  </si>
  <si>
    <t>김관리</t>
  </si>
  <si>
    <t>abcd@abcd.com</t>
  </si>
  <si>
    <t>마스터</t>
  </si>
  <si>
    <t>메타번역 관리자</t>
  </si>
  <si>
    <t>최고 관리자</t>
  </si>
  <si>
    <t>결제 담당자</t>
  </si>
  <si>
    <t>시험 관리자</t>
  </si>
  <si>
    <t>정산 관리자</t>
  </si>
  <si>
    <t>통독 일반 관리자</t>
  </si>
  <si>
    <t>읽기</t>
  </si>
  <si>
    <t>전문가</t>
  </si>
  <si>
    <t>결제 기준 번호</t>
  </si>
  <si>
    <t>수정 적용일</t>
  </si>
  <si>
    <t>서비스 구분</t>
  </si>
  <si>
    <t>카테고리(대)</t>
  </si>
  <si>
    <t>카테고리(소)</t>
  </si>
  <si>
    <t>최종 금액</t>
  </si>
  <si>
    <t>응시생</t>
  </si>
  <si>
    <t>AI</t>
  </si>
  <si>
    <t>큐레이터</t>
  </si>
  <si>
    <t>전문가 정보</t>
  </si>
  <si>
    <t>전문가 관리 번호</t>
  </si>
  <si>
    <t>전문가 가입일</t>
  </si>
  <si>
    <t>전문가 승인상태</t>
  </si>
  <si>
    <t>전문가 승인일</t>
  </si>
  <si>
    <t>서비스 가능 유형</t>
  </si>
  <si>
    <t>우선순위</t>
  </si>
  <si>
    <t>전문가 레벨</t>
  </si>
  <si>
    <t>활동 가능 시간</t>
  </si>
  <si>
    <t>평점</t>
  </si>
  <si>
    <t>활동 횟수</t>
  </si>
  <si>
    <t>매칭 거절 횟수</t>
  </si>
  <si>
    <t>리뷰(건)</t>
  </si>
  <si>
    <t>은행명</t>
  </si>
  <si>
    <t>계좌번호</t>
  </si>
  <si>
    <t>예금주</t>
  </si>
  <si>
    <t>학교명</t>
  </si>
  <si>
    <t>학과/학부</t>
  </si>
  <si>
    <t>재학기간</t>
  </si>
  <si>
    <t>졸업여부</t>
  </si>
  <si>
    <t>학력 관련 첨부파일</t>
  </si>
  <si>
    <t>회사명</t>
  </si>
  <si>
    <t>부서</t>
  </si>
  <si>
    <t>직위</t>
  </si>
  <si>
    <t>재직기간</t>
  </si>
  <si>
    <t>경력 관련 첨부파일</t>
  </si>
  <si>
    <t>해외거주지</t>
  </si>
  <si>
    <t>거주 이유</t>
  </si>
  <si>
    <t>거주 기간</t>
  </si>
  <si>
    <t>저서명</t>
  </si>
  <si>
    <t>출판사</t>
  </si>
  <si>
    <t>출판일</t>
  </si>
  <si>
    <t>관련 파일</t>
  </si>
  <si>
    <t>자격증 사본</t>
  </si>
  <si>
    <t>시험 개요</t>
  </si>
  <si>
    <t>출제 파일</t>
  </si>
  <si>
    <t>file.docx</t>
  </si>
  <si>
    <t>filename.docx</t>
  </si>
  <si>
    <t>웹툰 번역</t>
  </si>
  <si>
    <t>객관식</t>
  </si>
  <si>
    <t>채팅</t>
  </si>
  <si>
    <t>출제</t>
  </si>
  <si>
    <t>채점</t>
  </si>
  <si>
    <t>관리자 수정 가능</t>
  </si>
  <si>
    <t>메뉴구조도 공통</t>
  </si>
  <si>
    <t>구분</t>
  </si>
  <si>
    <t>1Depth</t>
  </si>
  <si>
    <t>2Depth</t>
  </si>
  <si>
    <t>3Depth</t>
  </si>
  <si>
    <t>적용</t>
  </si>
  <si>
    <t>비고</t>
  </si>
  <si>
    <t>예상 화면수</t>
  </si>
  <si>
    <t>공통</t>
  </si>
  <si>
    <t>사용자 화면</t>
  </si>
  <si>
    <t>간편 로그인</t>
  </si>
  <si>
    <t>카카오톡/네이버/구글</t>
  </si>
  <si>
    <t>이에일주소, 비번 : 일반 회원</t>
  </si>
  <si>
    <t>프로필</t>
  </si>
  <si>
    <t>회원 구독 상태, 이름, 성별, 생년월일, 이메일, 휴대폰 번호, 주소, 사진, 마케팅 동의 여부</t>
  </si>
  <si>
    <t>이용 약관</t>
  </si>
  <si>
    <t>마케팅 동의 여부</t>
  </si>
  <si>
    <t>로그인/로그아웃</t>
  </si>
  <si>
    <t>로그인</t>
  </si>
  <si>
    <t>로그아웃</t>
  </si>
  <si>
    <t>아이디/비번 찾기</t>
  </si>
  <si>
    <t>아이디 찾기</t>
  </si>
  <si>
    <t>비번 찾기</t>
  </si>
  <si>
    <t>휴대폰 인증</t>
  </si>
  <si>
    <t>이메일 인증</t>
  </si>
  <si>
    <t>전문가 가입</t>
  </si>
  <si>
    <t>이력서 등록</t>
  </si>
  <si>
    <t>전문가 프로필</t>
  </si>
  <si>
    <t>이름, 이메일, 전문가 상태, 이력서, 서비스 가능 유형, 카테고리(대중소), 활동 가능 시간, 평점, 활동 횟수, 리뷰(건), 은행명, 계좌번호, 예금주, 경력, 학력, 자격증, 자격증 사본, 해외거주 경험, 저서 및 역서</t>
  </si>
  <si>
    <t>결제하기</t>
  </si>
  <si>
    <t>포인트 자동 충전, 금액 충전</t>
  </si>
  <si>
    <t>카드결제</t>
  </si>
  <si>
    <t>계좌이체</t>
  </si>
  <si>
    <t>추후 개발</t>
  </si>
  <si>
    <t>구독 기준 선택</t>
  </si>
  <si>
    <t>프리미엄 / 스탠다드 / 베이직 중 선택</t>
  </si>
  <si>
    <t>결제 정보 등록</t>
  </si>
  <si>
    <t>신용카드 정보 입력</t>
  </si>
  <si>
    <t>결제 완료(팝업)</t>
  </si>
  <si>
    <t>결제 후 완료 안내 페이지</t>
  </si>
  <si>
    <t>마이페이지</t>
  </si>
  <si>
    <t>프로필 관리</t>
  </si>
  <si>
    <t>조회</t>
  </si>
  <si>
    <t>수정</t>
  </si>
  <si>
    <t>회원 구독 상태, 주소, 사진, 마케팅 동의 여부 변경 가능</t>
  </si>
  <si>
    <t>비밀번호 재설정</t>
  </si>
  <si>
    <t>휴대폰 변경</t>
  </si>
  <si>
    <t>결제 내역</t>
  </si>
  <si>
    <t>검색 기능</t>
  </si>
  <si>
    <t>결제일(기간검색), 사용일(기간 검색), 사용 방법, 상태</t>
  </si>
  <si>
    <t>목록</t>
  </si>
  <si>
    <t>No, 결제일, 결제 내용, 결제 상세 내용, 이용 금액, 할일 금액, 결제 금액, 보유 포인트, 결제 방법, 결제 상태</t>
  </si>
  <si>
    <t>상세</t>
  </si>
  <si>
    <t>환불 요청/취소 요청, 환불 관련 정보 확인</t>
  </si>
  <si>
    <t>포인트 관리</t>
  </si>
  <si>
    <t>포인트 잔액</t>
  </si>
  <si>
    <t>많이 충전하는 금액, 추가 적립 금액 등 충전 유도 포인트 추가</t>
  </si>
  <si>
    <t>알림 설정</t>
  </si>
  <si>
    <t>작업 진행 상태 알림</t>
  </si>
  <si>
    <t>시작/종료/취소 등 상태 알림</t>
  </si>
  <si>
    <t>이벤트 혜택 알림</t>
  </si>
  <si>
    <t>1:1 문의 내역</t>
  </si>
  <si>
    <t>회원탈퇴</t>
  </si>
  <si>
    <t>장바구니</t>
  </si>
  <si>
    <t>전문가 활동</t>
  </si>
  <si>
    <t>전문가 상태</t>
  </si>
  <si>
    <t>승인 대기중 / 승인 거절 / 승인 완료(전문가 구분, 유형으로 표시)</t>
  </si>
  <si>
    <t>이력서, 서비스 가능 유형, 카테고리(대중소), 활동 가능 시간, 은행명, 계좌번호, 예금주, 경력, 학력, 자격증, 자격증 사본, 해외거주 경험, 저서 및 역서</t>
  </si>
  <si>
    <t>정산 내역</t>
  </si>
  <si>
    <t>기간 검색(정산 예정일, 정산일), 정산 상태</t>
  </si>
  <si>
    <t>No, 이름, 이메일, 정산 예정일, 최종정산액, 정산일, 정산 상태, 예금주, 계좌번호, 은행명</t>
  </si>
  <si>
    <t>다운로드 기능 제공</t>
  </si>
  <si>
    <t>기간 검색(작성일), 텍스트 검색(제목, 내용, 작성자)</t>
  </si>
  <si>
    <t>No, 작성일, 제목, 내용, 작성자, 조회수</t>
  </si>
  <si>
    <t>텍스트 검색(제목, 내용)</t>
  </si>
  <si>
    <t>자주묻는 질문</t>
  </si>
  <si>
    <t>답변</t>
  </si>
  <si>
    <t>1:1 문의</t>
  </si>
  <si>
    <t>문의하기</t>
  </si>
  <si>
    <t>No, 상담 상태, 상담 분류, 상담일, 상담 내용</t>
  </si>
  <si>
    <t>상담 내용 확인, 1:1 재문의 가능</t>
  </si>
  <si>
    <t>사이트별 약관 확인</t>
  </si>
  <si>
    <t>관리자 화면</t>
  </si>
  <si>
    <t>회원 관리</t>
  </si>
  <si>
    <t>기간 검색(가입일), 텍스트 검색(이름, 아이디), 회원 유형, 회원 구독 상태</t>
  </si>
  <si>
    <t>No, 회원 관리 번호, 사이트 구분, 회원 유형, 회원 구독 상태, 이름, 성별, 나이, 생년월일, 이메일, 휴대폰 번호, 주소, 사진, 마케팅 동의 여부, 가입일, 가입채널, 번역 이용 건수, 문서 이용 건수, 시험 이용 건수, 매칭 이용 건수, 에디터 이용 건수, 관리자 메모</t>
  </si>
  <si>
    <t>최초 접근 기기, 최근 로그인, 체류 시간, 관리자 메모 수정</t>
  </si>
  <si>
    <t>전문가 관리</t>
  </si>
  <si>
    <t>No, 전문가 관리 번호, 전문가 가입일, 이름, 이메일, 전문가 상태, 전문가 승인일, 이력서, 서비스 가능 유형, 카테고리(대중소), 활동 가능 시간, 평점, 활동 횟수, 리뷰(건), 은행명, 계좌번호, 예금주, 경력, 학력, 자격증, 자격증 사본, 해외거주 경험, 저서 및 역서, 우선 순위, 전문가 레벨</t>
  </si>
  <si>
    <t>전문가 상태, 카테고리, 우선 순위, 전문가 레벨 수정 가능</t>
  </si>
  <si>
    <t>결제 관리</t>
  </si>
  <si>
    <t>No, 결제일, 결제 내용, 결제 상세 내용, 이용 금액, 할일 금액, 결제 금액, 보유 포인트, 결제 방법, 결제 상태, 환불접수일, 환불 금액, 환불일, 환불 사유, 관리자 메모</t>
  </si>
  <si>
    <t>최조 결제일, 카드사, 카드 번호, 승인 번호, 환불 계좌, 환불 은행, 환불 예금주 / 결제 상태, 환불 사유, 환불일, 관리자 메모 수정 가능</t>
  </si>
  <si>
    <t>정산 관리</t>
  </si>
  <si>
    <t>기간 검색(정산 예정일, 정산일), 텍스트 검색(이름, 이메일), 정산 상태</t>
  </si>
  <si>
    <t>No, 이름, 이메일, 정산 예정일, 정산 금액, 최종정산액, 정산일, 정산 상태, 예금주, 계좌번호, 은행명</t>
  </si>
  <si>
    <t>정산 상태, 최종 정산액, 관리자 메모 수정 가능</t>
  </si>
  <si>
    <t>카테고리 관리</t>
  </si>
  <si>
    <t>카테고리 목록</t>
  </si>
  <si>
    <t>서비스 유형 선택 후 카테고리 대/중/소 등록, 삭제, 이름 변경, 저장 기능</t>
  </si>
  <si>
    <t>카테고리 등록</t>
  </si>
  <si>
    <t>관리자 목록</t>
  </si>
  <si>
    <t>No, 아이디, 비밀번호, 이름, 관리자 권한, 범위 설정, 해당 권한, 목록명, 표시/숨기기</t>
  </si>
  <si>
    <t>권한 설정 변경 가능</t>
  </si>
  <si>
    <t>관리자 등록</t>
  </si>
  <si>
    <t>통계 관리</t>
  </si>
  <si>
    <t xml:space="preserve">통계도 검색필요함 </t>
  </si>
  <si>
    <t>결제 기준 관리</t>
  </si>
  <si>
    <t>사이트 구분, 서비스 분야, 카테고리(텍스트 검색), 단위, 정산 비율</t>
  </si>
  <si>
    <t>No, 결제 기준 번호, 사이트 구분, 카테고리(대중소), 서비스 그룹, 단위, 단위당 금액, 할인 기준, 할인율, 서비스 레벨, 추가설정1</t>
  </si>
  <si>
    <t>정산 기준 관리</t>
  </si>
  <si>
    <t>사이트 구분, 분야 구분, 분류, 단위</t>
  </si>
  <si>
    <t>No, 정산 기준, 정산 비율</t>
  </si>
  <si>
    <t>구독 기준 관리</t>
  </si>
  <si>
    <t>해당 사이트</t>
  </si>
  <si>
    <t xml:space="preserve">기준관리 정리어떻게 </t>
  </si>
  <si>
    <t xml:space="preserve">목록 </t>
  </si>
  <si>
    <t>No, 사이트 구분, 구독 등급, 월구독료, 서비스 단위, 서비스 기준</t>
  </si>
  <si>
    <t>운영관리</t>
  </si>
  <si>
    <t>메인 배너 관리</t>
  </si>
  <si>
    <t>배너 등록</t>
  </si>
  <si>
    <t>배너 목록</t>
  </si>
  <si>
    <t>팝업 관리</t>
  </si>
  <si>
    <t>FAQ 관리</t>
  </si>
  <si>
    <t>FAQ 등록</t>
  </si>
  <si>
    <t>FAQ 목록</t>
  </si>
  <si>
    <t>공지사항 관리</t>
  </si>
  <si>
    <t>공지사항 등록</t>
  </si>
  <si>
    <t>공지사항 목록</t>
  </si>
  <si>
    <t>기간 검색(상담일), 텍스트 검색(상담 내용)</t>
  </si>
  <si>
    <t>1:1 문의 관리</t>
  </si>
  <si>
    <t>기간 검색(상담일), 텍스트 검색(상담 내용), 상담 상태, 상담 분류</t>
  </si>
  <si>
    <t>문의 목록</t>
  </si>
  <si>
    <t>문의 답변</t>
  </si>
  <si>
    <t>메일/문자/카톡 등 답변 알림에 대한 정리 필요</t>
  </si>
  <si>
    <t>약관 관리</t>
  </si>
  <si>
    <t>텍스트 검색(내용)</t>
  </si>
  <si>
    <t xml:space="preserve">운영관리부문 어떻게 관리할지 </t>
  </si>
  <si>
    <t>약관 등록</t>
  </si>
  <si>
    <t>약관 목록</t>
  </si>
  <si>
    <t>이용약관 관리 번호, 사이트 구분, 내용, 필수 여부</t>
  </si>
  <si>
    <t>화면 설정 관리</t>
  </si>
  <si>
    <t>단계 설정</t>
  </si>
  <si>
    <t>1단계/2단계/3단계 설정</t>
  </si>
  <si>
    <t xml:space="preserve">화면설정하는것으로 브래인스토밍 필요 </t>
  </si>
  <si>
    <t>라벨명</t>
  </si>
  <si>
    <t>각 형태의 제목 정리</t>
  </si>
  <si>
    <t>예시) 라벨명 : ☐ / 라벨명 : ◉ / 라벨명 : 텍스트</t>
  </si>
  <si>
    <t>형태 설정</t>
  </si>
  <si>
    <t>라디오버튼/체크박스/텍스트박스 선택 및 갯수 선택</t>
  </si>
  <si>
    <t>세부 설정</t>
  </si>
  <si>
    <t>각 버튼의 세부 몇칭 설정</t>
  </si>
  <si>
    <t xml:space="preserve">예시) 라벨명 : 세부설정1 ☐  세부설정2 ☐ 세부설정3 ☐  </t>
  </si>
  <si>
    <t>라벨 추가</t>
  </si>
  <si>
    <t>저장</t>
  </si>
  <si>
    <t xml:space="preserve">기업회원업무신청후 진행SMS메일등 . </t>
  </si>
  <si>
    <t>엑셀 다운로드</t>
  </si>
  <si>
    <t>목록 페이지에 모두 엑셀 다운로드 기능 추가</t>
  </si>
  <si>
    <t>푸터</t>
  </si>
  <si>
    <t>회사정보</t>
  </si>
  <si>
    <t>https://hutechc01.wixsite.com/metatrans 참고</t>
  </si>
  <si>
    <t>입금계좌</t>
  </si>
  <si>
    <t>고객센터</t>
  </si>
  <si>
    <t>개인정보처리방침</t>
  </si>
  <si>
    <t>시험모듈</t>
  </si>
  <si>
    <t>4Depth</t>
  </si>
  <si>
    <t>협의 및 확인 필요</t>
  </si>
  <si>
    <t>주요 개발 사항</t>
  </si>
  <si>
    <t>공통부분</t>
  </si>
  <si>
    <t>활동 내역</t>
  </si>
  <si>
    <t>대시보드</t>
  </si>
  <si>
    <t>모듈동일적용</t>
  </si>
  <si>
    <t>시험 일정, 시험명, 합격 여부</t>
  </si>
  <si>
    <t>시험일, 시험명, 카테고리, 시험 상태, 시험 결과 발표일, 시험 결과 상태</t>
  </si>
  <si>
    <t>No, 시험일, 시험명, 카테고리, 시험 등급, 시험 상태, 시험 상태일, 시험 결과 발표일, 시험 결과 상태, 시험 결과, 자격증(신청 전[신청하기], 신청 완료[배송조회]/취소[환불 신청]/환불 완료)</t>
  </si>
  <si>
    <t>합격 일 경우 [자격증 신청하러 가기] 버튼</t>
  </si>
  <si>
    <t>시험 응시</t>
  </si>
  <si>
    <t>시험 정보</t>
  </si>
  <si>
    <t>카테고리</t>
  </si>
  <si>
    <t>시험 해당일에만 표시</t>
  </si>
  <si>
    <t>검정 과목</t>
  </si>
  <si>
    <t>문제(점수)</t>
  </si>
  <si>
    <t>답안지</t>
  </si>
  <si>
    <t>텍스트 원본</t>
  </si>
  <si>
    <t>AI 번역 결과</t>
  </si>
  <si>
    <t>파일 보기(영상 또는 음성)</t>
  </si>
  <si>
    <t>AI 질문 횟수</t>
  </si>
  <si>
    <t>횟수로 채점이 필요한 경우에 활용</t>
  </si>
  <si>
    <t>시험 시간</t>
  </si>
  <si>
    <t>시작 시간과 종료 시간을 계산하여 남은 시간도 표시</t>
  </si>
  <si>
    <t>현재 페이지/총 페이지</t>
  </si>
  <si>
    <t>현재 화면/총 화면수</t>
  </si>
  <si>
    <t xml:space="preserve">답지 수정안 빨간색 설정 </t>
  </si>
  <si>
    <t xml:space="preserve">답지작성중 메모장, 필요한것 </t>
  </si>
  <si>
    <t>제출하기</t>
  </si>
  <si>
    <t>종료 시간 전 체출하기, 시간이 정해진 경우 시간 종료 시 자동 완료</t>
  </si>
  <si>
    <t>No, 시험일, 시험명, 채점 점수/합격 기준 점수, 시험 결과(합격/불합격/해당 없음), 자격증(신청/미신청/취소)</t>
  </si>
  <si>
    <t>자격증 신청하기</t>
  </si>
  <si>
    <t>자격증 디자인 확인, 금액</t>
  </si>
  <si>
    <t>출제 전문가</t>
  </si>
  <si>
    <t>출제자 : 출제 요청 / 채점자 : 채점 요청</t>
  </si>
  <si>
    <t>시험명, 출제 기간, 출제완료일, 출제상태, 카테고리, 검정과목</t>
  </si>
  <si>
    <t>No, 시험명, 시험 등급, 출발어, 도착어, 출제 기간, 출제완료일, 출제 상태, 카테고리, 검정과목, 난이도, 시험문제, 메모</t>
  </si>
  <si>
    <t>시험 출제 또는 채점으로 이동 가능</t>
  </si>
  <si>
    <t>시험 출제</t>
  </si>
  <si>
    <t>검색</t>
  </si>
  <si>
    <t>기간 검색(시험 신청 기간/시험기간/출제기간), 시험종목(번역자격증/AITe자격증, 프롬프트 언어전문가 등), 카테고리(대/중/소), 지역(서울, 경기도 등), 출제 상태(출제 전/출제 중, 출제 완료), 텍스트 검색(검정과목, 언어)</t>
  </si>
  <si>
    <t>No,출제 관리 번호, 시험 신청 기간, 지역, 접수 구분, 차수, 시험 종목, 시험 등급, 검정과목, 분야/영역, 출발어, 도착어, 문제유형, 카테고리, 시험시간, 응시생구, 기존응시생수, 합격생, 불합격생, 출제 상태, 출제기간, 출제 완료일, 난이도, 합격점수, 출제자 메모</t>
  </si>
  <si>
    <t>복사</t>
  </si>
  <si>
    <t>기존 시험 확인 후 복사 기능, 시험 출제로 이동 가능</t>
  </si>
  <si>
    <t>(단계 없이 출제)</t>
  </si>
  <si>
    <t>파일 업로드(신규 등록)</t>
  </si>
  <si>
    <t>1문제당 10개(예시) 정도의 유형을 만들어 동시 시험 시 문제가 랜덤으로 출제</t>
  </si>
  <si>
    <t>양식에 맞춘 파일 업로드 : 객관식(4지선다, OX)/주관식(단답형, 주관식) 문제, 정답, 각 점수당 점수</t>
  </si>
  <si>
    <t>(단계 출제)</t>
  </si>
  <si>
    <t>신규 등록</t>
  </si>
  <si>
    <t>출제 정보 설정</t>
  </si>
  <si>
    <t>문서번역(TTT), AI 동시 통역(STS), 유튜브 번역 플랫폼(STT), 프롬프트 등등</t>
  </si>
  <si>
    <t>공통의 단계별 화면 설정 관리 화면 활용</t>
  </si>
  <si>
    <t>난이도 설정</t>
  </si>
  <si>
    <t>상/중/하</t>
  </si>
  <si>
    <t>언어 설정</t>
  </si>
  <si>
    <t>카테고리 선택</t>
  </si>
  <si>
    <t>번역기 선택</t>
  </si>
  <si>
    <t>번역모듈</t>
  </si>
  <si>
    <t>생성형 AI는 GPT 참고 개발 예정</t>
  </si>
  <si>
    <t xml:space="preserve">DeepL. 파파고. 그외 번역기 </t>
  </si>
  <si>
    <t>생성형 AI 설정</t>
  </si>
  <si>
    <t>GPT모듈</t>
  </si>
  <si>
    <t>ChactGPT 그외 AI</t>
  </si>
  <si>
    <t>파일 업로드</t>
  </si>
  <si>
    <t>음성 또는 영상/원문 텍스트 파일</t>
  </si>
  <si>
    <t>답안지 작성</t>
  </si>
  <si>
    <t>출제하기</t>
  </si>
  <si>
    <t>임시 저장 기능 제공</t>
  </si>
  <si>
    <t>채점 전문가</t>
  </si>
  <si>
    <t>시험명, 채점 기간, 채점완료일, 채점 상태, 카테고리, 검정과목</t>
  </si>
  <si>
    <t>No, 시험명, 시험 등급, 출발어, 도착어, 채점 기간, 채점완료일, 채점 상태, 카테고리, 검정과목, 난이도, 시험문제, 답안지, 정답지, 메모</t>
  </si>
  <si>
    <t>시험 채점</t>
  </si>
  <si>
    <t>답안지 목록</t>
  </si>
  <si>
    <t>No, 시험명, 시험 등급, 카테고리, 검정과목, 아이디</t>
  </si>
  <si>
    <t>객관식 자동 채점</t>
  </si>
  <si>
    <t>휴먼 채점 기준 정리 필요. 자동 채점 관리자가 진행 후 채점자에게 채점 요청 프로세스 확인</t>
  </si>
  <si>
    <t>객관식 자동 채점, 주관식 유사언어 검사를 통해 기준  점수 내에 있는 회원만 전문가가 채점되도록 개발 필요</t>
  </si>
  <si>
    <t>주관식 자동 채점</t>
  </si>
  <si>
    <t>관리자에서 자동 채점 후 휴먼 채점이 필요한 범위에서 채점 요청 온 회원 채점</t>
  </si>
  <si>
    <t>응시생 작성 결과</t>
  </si>
  <si>
    <t>정답</t>
  </si>
  <si>
    <t>질문 횟수</t>
  </si>
  <si>
    <t>AI 관련 시험 질문 횟수</t>
  </si>
  <si>
    <t>점수 합계</t>
  </si>
  <si>
    <t>객관식 점수+주관식 점수</t>
  </si>
  <si>
    <t>합격 기준 점수에 따른 합격과 불합격 제공</t>
  </si>
  <si>
    <t>시험 일정</t>
  </si>
  <si>
    <t>시험 기간</t>
  </si>
  <si>
    <t>No, 시험 기간, 지역, 시험일, 접수 구분(정기/수시), 차수, 시험명, 카테고리(시험 종목), 시헙 등급, 검정 과목, 출발어, 도착어, 문제 유형, 시작 시간, 종료 시간, 시험 상태(접수 전[접수하기]/접수 완료/응시 전[응시하기]/응시완료), 시험 상태일(접수 완료일/응시완료일), 시험 결과 발표일, 시험 결과 상태(발표 전/발표[결과 확인])</t>
  </si>
  <si>
    <t>시험 설명, 지역 선택, 응시료</t>
  </si>
  <si>
    <t>접수</t>
  </si>
  <si>
    <t>사진 등록(자격증 시 사용 사진)</t>
  </si>
  <si>
    <t>회원가입 수(전문가 가입수) / 1:1 문의 답변 완료(1:1 문의 요청) / 매출액(올해 누적 매출액) / 정산 완료 건수(정산 건수)</t>
  </si>
  <si>
    <t>Today 기준</t>
  </si>
  <si>
    <t>시험 모듈</t>
  </si>
  <si>
    <t>시험 일정/응시자</t>
  </si>
  <si>
    <t>시험 관리</t>
  </si>
  <si>
    <t>No, 시험 기간, 지역, 시험일, 접수 구분(정기/수시), 차수, 시험명, 카테고리(시험 종목), 시헙 등급, 검정 과목, 언어 설정, 문제 유형, 시작 시간, 종료 시간, 시험 상태(접수 전/접수 완료/응시 전/응시완료), 시험 상태일(접수 완료일/응시완료일), 합격 기준 점수, 시험 결과 발표일, 시험 결과 상태(발표 전/발표), 접수 기간</t>
  </si>
  <si>
    <t>출제 및 채점 게시 기능</t>
  </si>
  <si>
    <t>출제 관리</t>
  </si>
  <si>
    <t>시험일(기간 검색), 시험명, 카테고리, 검정 과목, 시험 상태</t>
  </si>
  <si>
    <t>No, 시험일, 차수, 시험명, 카테고리, 시험 등급, 검정 과목, 언어 설정, 시험 상태, 합격 기준 점수</t>
  </si>
  <si>
    <t>시험 찾기</t>
  </si>
  <si>
    <t>출제 완료된 파일 확인 기능</t>
  </si>
  <si>
    <t>시험 찾기에서 찾은 파일을 해당 시험과 연결 기능, 임시 저장 및 출제 완료 기능</t>
  </si>
  <si>
    <t>객관식 정답, OX 점수, 주관식 유사도 검사 등 답안 채점과 관련된 설정</t>
  </si>
  <si>
    <t>채점 관리</t>
  </si>
  <si>
    <t>아이디(텍스트 검색), 시험명(텍스트 검색), 카테고리, 언어 설정, 채점 기간(기간 검색), 채점 완료일(기간 검색), 채점 상태, 검정과목, 시험 결과</t>
  </si>
  <si>
    <t>No, 아이디, 시험일, 차수, 시험명, 카테고리, 언어 설정, 채점 기간, 채점 완료일, 채점 상태, 검정과목, 난이도, 시험문제, 답안지, 정답지, 채점 점수, 합격 기준 점수, 시험 결과</t>
  </si>
  <si>
    <t>채점 결과</t>
  </si>
  <si>
    <t>요청일(기간검색), 이름(텍스트 검색), 휴대폰 번호, 자격증(신청/취소), 출력상태, 배송 상태</t>
  </si>
  <si>
    <t>출력 전 취소 가능</t>
  </si>
  <si>
    <t>No, 요청일, 이름, 아이디, 주소, 휴대폰번호, 자격증(신청/취소), 사진, 출력일, 출력상태, 배송일, 배송상태, 결제방법, 결제금액</t>
  </si>
  <si>
    <t>공통 목록</t>
  </si>
  <si>
    <t>모듈 목록</t>
  </si>
  <si>
    <t>No, 시험명, 카테고리, 시험 등급, 검정 과목, 출발어, 도착어, 출제자명, 채점자명</t>
  </si>
  <si>
    <t>출제자, 채점자 설정 가능</t>
  </si>
  <si>
    <t>전문가 찾기</t>
  </si>
  <si>
    <t>해당 카테고리 전문가 목록 제공</t>
  </si>
  <si>
    <t>활동 관리</t>
  </si>
  <si>
    <t>아이디(텍스트 검색), 시험일(기간 검색), 카테고리, 시험 등급, 시험 상태, 시험 결과 상태</t>
  </si>
  <si>
    <t>No, 아이디, 시험일, 시험명, 카테고리, 시험 등급, 시험 상태, 시험 상태일, 시험 결과 발표일, 시험 결과 상태, 시험 결과, 자격증</t>
  </si>
  <si>
    <t>전문가 활동 관리</t>
  </si>
  <si>
    <t>카테고리, 검정 과목, 시험명, 출제 상태, 출제 기간(기간 검색), 채점 상태, 채점 기간(기간 검색)</t>
  </si>
  <si>
    <t xml:space="preserve">No, 카테고리, 검정 과목, 난이도, 시험명, 시험 등급, 언어 설정, 출제 기간, 출제 완료일, 출제 상태, 채점 기간, 채점 완료일, 채점 상태 </t>
  </si>
  <si>
    <t>프로세스(까만배경)</t>
  </si>
  <si>
    <t>실제화면구현(투명배경)</t>
  </si>
  <si>
    <t>[공통]회원가입/로그인/로그아웃</t>
  </si>
  <si>
    <t>[공통]전문가신청</t>
  </si>
  <si>
    <t>[공통]결제</t>
  </si>
  <si>
    <t>[모듈공통]마이페이지</t>
  </si>
  <si>
    <t>[모듈_응시생]</t>
  </si>
  <si>
    <t>[모듈공통]마이페이지(전문가)</t>
  </si>
  <si>
    <t>[모듈_시험출제]</t>
  </si>
  <si>
    <t>[모듈_시험채점]</t>
  </si>
  <si>
    <t>시험 프로세스 정리</t>
  </si>
  <si>
    <t>[모듈동일_관리자화면]</t>
  </si>
  <si>
    <t>회원가입/전문가가입</t>
  </si>
  <si>
    <t>마이페이지_전문가</t>
  </si>
  <si>
    <t>그 외 메뉴</t>
  </si>
  <si>
    <t>[공통_로그인]</t>
  </si>
  <si>
    <t>[공통_회원가입]</t>
  </si>
  <si>
    <t>공통_팝업</t>
  </si>
  <si>
    <t>시험접수</t>
  </si>
  <si>
    <t>번역시작</t>
  </si>
  <si>
    <t>출제내역</t>
  </si>
  <si>
    <t>설정</t>
  </si>
  <si>
    <t>시험_문제설정</t>
  </si>
  <si>
    <t>회원관리(전체)</t>
  </si>
  <si>
    <t>사용자화명</t>
  </si>
  <si>
    <t>간편가입</t>
  </si>
  <si>
    <t>출제_설정</t>
  </si>
  <si>
    <t>번역채점</t>
  </si>
  <si>
    <t>시험시작</t>
  </si>
  <si>
    <t>블로그_목록</t>
  </si>
  <si>
    <t>회원관리</t>
  </si>
  <si>
    <t>[공통_전문가신청]</t>
  </si>
  <si>
    <t>공통_서비스 이용 팝업</t>
  </si>
  <si>
    <t>시험접수_팝업</t>
  </si>
  <si>
    <t>번역(전체화면)</t>
  </si>
  <si>
    <t>채점내역</t>
  </si>
  <si>
    <t>번역기선택(텍스트)_간략보기</t>
  </si>
  <si>
    <t>번역(개별점수 및 피드백)</t>
  </si>
  <si>
    <t>관리자_시험생성</t>
  </si>
  <si>
    <t>회원관리_상세</t>
  </si>
  <si>
    <t>언어검색</t>
  </si>
  <si>
    <t>아이디찾기</t>
  </si>
  <si>
    <t>번역기선택(텍스트)_전체보기</t>
  </si>
  <si>
    <t>번역채점_피드백</t>
  </si>
  <si>
    <t>시험중</t>
  </si>
  <si>
    <t>블로그_상세</t>
  </si>
  <si>
    <t>활동관리</t>
  </si>
  <si>
    <t>전문가신청</t>
  </si>
  <si>
    <t>시험응시</t>
  </si>
  <si>
    <t>웹툰번역(에디터사용)</t>
  </si>
  <si>
    <t>정산내역</t>
  </si>
  <si>
    <t>관리자_번역</t>
  </si>
  <si>
    <t>아이디확인</t>
  </si>
  <si>
    <t>신용카드</t>
  </si>
  <si>
    <t>시험접수_취소</t>
  </si>
  <si>
    <t>프롬프트출제_설정</t>
  </si>
  <si>
    <t>프롬프트채점</t>
  </si>
  <si>
    <t>시험중_문장나누기</t>
  </si>
  <si>
    <t>게시판+FAQ</t>
  </si>
  <si>
    <t>결제관리</t>
  </si>
  <si>
    <t xml:space="preserve">이색깔은 새로 개발 </t>
  </si>
  <si>
    <t>[공통_프로필]</t>
  </si>
  <si>
    <t>일정변경(팝업)</t>
  </si>
  <si>
    <t>프로필관리</t>
  </si>
  <si>
    <t>번역기선택(웹툰)</t>
  </si>
  <si>
    <t>프롬프트(과정보기)</t>
  </si>
  <si>
    <t>관리자_프롬프트</t>
  </si>
  <si>
    <t>비밀번호찾기</t>
  </si>
  <si>
    <t>포인트결제</t>
  </si>
  <si>
    <t>시험접수_변경</t>
  </si>
  <si>
    <t>전문가프로필</t>
  </si>
  <si>
    <t>프롬프트출제_확인</t>
  </si>
  <si>
    <t>프롬프트채점_상세</t>
  </si>
  <si>
    <t>전체화면</t>
  </si>
  <si>
    <t>게시판+FAQ_상세</t>
  </si>
  <si>
    <t>1:1문의</t>
  </si>
  <si>
    <t>시험결과</t>
  </si>
  <si>
    <t>번역(문단나누기)</t>
  </si>
  <si>
    <t>정답예시</t>
  </si>
  <si>
    <t>관리자_단답형</t>
  </si>
  <si>
    <t>관리자화면</t>
  </si>
  <si>
    <t>이메일발송</t>
  </si>
  <si>
    <t>전문가신청_저장</t>
  </si>
  <si>
    <t>결제완료</t>
  </si>
  <si>
    <t>시험접수_변경확인</t>
  </si>
  <si>
    <t>단답형출제_설정</t>
  </si>
  <si>
    <t>번역(번역기지정)</t>
  </si>
  <si>
    <t>통계</t>
  </si>
  <si>
    <t>자격증신청</t>
  </si>
  <si>
    <t>프롬프트(설정)</t>
  </si>
  <si>
    <t>관리자_화면 생성</t>
  </si>
  <si>
    <t>1:1관리</t>
  </si>
  <si>
    <t>ai설정변경</t>
  </si>
  <si>
    <t>비밀번호재설정</t>
  </si>
  <si>
    <t>목록_전문가프로필</t>
  </si>
  <si>
    <t>결제미승인</t>
  </si>
  <si>
    <t>단답형출제_출제</t>
  </si>
  <si>
    <t>웹툰번역(번역기선택)</t>
  </si>
  <si>
    <t>회원관리_상세_전체</t>
  </si>
  <si>
    <t>결제내역</t>
  </si>
  <si>
    <t>신규 레이아웃</t>
  </si>
  <si>
    <t>비밀번호설정완료</t>
  </si>
  <si>
    <t>요금제</t>
  </si>
  <si>
    <t>회원탈퇴_환불</t>
  </si>
  <si>
    <t>단답형출제_확인</t>
  </si>
  <si>
    <t>음성영상(번역기2개)</t>
  </si>
  <si>
    <t>전문가관리</t>
  </si>
  <si>
    <t>환불신청</t>
  </si>
  <si>
    <t>프롬프트(확인)</t>
  </si>
  <si>
    <t>전문가관리(전체)</t>
  </si>
  <si>
    <t>정보없을경우</t>
  </si>
  <si>
    <t>다음 출제 화면</t>
  </si>
  <si>
    <t>다음 채점 화면</t>
  </si>
  <si>
    <t>음성영상(번역기3개)</t>
  </si>
  <si>
    <t>정산관리</t>
  </si>
  <si>
    <t>자격증 환불</t>
  </si>
  <si>
    <t>단답형(설정)</t>
  </si>
  <si>
    <t>시험_답안지생성</t>
  </si>
  <si>
    <t>전문가관리_상세</t>
  </si>
  <si>
    <t>임시저장</t>
  </si>
  <si>
    <t>제출확인</t>
  </si>
  <si>
    <t>전문가관리_상세_전체</t>
  </si>
  <si>
    <t>인쇄 미리보기</t>
  </si>
  <si>
    <t>프롬프트시작</t>
  </si>
  <si>
    <t>시험_응시(프롬프트)</t>
  </si>
  <si>
    <t>시험관리</t>
  </si>
  <si>
    <t>영상(원문 작성 후)</t>
  </si>
  <si>
    <t>시험_응시(AI활용)</t>
  </si>
  <si>
    <t>시간확인</t>
  </si>
  <si>
    <t>시험관리_신규</t>
  </si>
  <si>
    <t>알림설정</t>
  </si>
  <si>
    <t>프롬프트(AI선택)</t>
  </si>
  <si>
    <t>STT(음성파일 업로드 후)</t>
  </si>
  <si>
    <t>시험_응시(에디터)</t>
  </si>
  <si>
    <t>다음차시</t>
  </si>
  <si>
    <t>출제관리</t>
  </si>
  <si>
    <t>프롬프트(에디터사용)</t>
  </si>
  <si>
    <t>시험_채점</t>
  </si>
  <si>
    <t>시험관리(전체)</t>
  </si>
  <si>
    <t>종료</t>
  </si>
  <si>
    <t>출제관리_번역상세</t>
  </si>
  <si>
    <t>1:1문의 상세</t>
  </si>
  <si>
    <t>평가서 팝업</t>
  </si>
  <si>
    <t>알림성정</t>
  </si>
  <si>
    <t>출제관리_프롬프트상세</t>
  </si>
  <si>
    <t>시험_단답형</t>
  </si>
  <si>
    <t>저장팝업</t>
  </si>
  <si>
    <t>프롬프트설정</t>
  </si>
  <si>
    <t>출제관리_단답형상세</t>
  </si>
  <si>
    <t>출제관리_상세</t>
  </si>
  <si>
    <t>프롬프트AI선택</t>
  </si>
  <si>
    <t>양식관리</t>
  </si>
  <si>
    <t>프롬프트에디터</t>
  </si>
  <si>
    <t>양식관리_신규</t>
  </si>
  <si>
    <t>문의 팝업</t>
  </si>
  <si>
    <t>평가서팝업</t>
  </si>
  <si>
    <t>채점관리(전체)</t>
  </si>
  <si>
    <t>단답형시작</t>
  </si>
  <si>
    <t>양식관리_번역</t>
  </si>
  <si>
    <t>채점관리_상세</t>
  </si>
  <si>
    <t>단답형시험</t>
  </si>
  <si>
    <t>양식관리_번역샘플</t>
  </si>
  <si>
    <t>채점관리</t>
  </si>
  <si>
    <t>양식관리_프롬프트첫화면</t>
  </si>
  <si>
    <t>결과관리</t>
  </si>
  <si>
    <t>양식관리_프롬프트</t>
  </si>
  <si>
    <t>양식관리_단답형</t>
  </si>
  <si>
    <t>자격증관리</t>
  </si>
  <si>
    <t>양식관리_설문</t>
  </si>
  <si>
    <t>자격증관리_상세</t>
  </si>
  <si>
    <t>기계번역 선택 팝업</t>
  </si>
  <si>
    <t>채점관리_번역상세</t>
  </si>
  <si>
    <t>시험관리_양식</t>
  </si>
  <si>
    <t>채점관리_프롬프트상세</t>
  </si>
  <si>
    <t>채점관리_단답형상세</t>
  </si>
  <si>
    <t>블로그(상세)</t>
  </si>
  <si>
    <t>고객지원</t>
  </si>
  <si>
    <t>고객지원(신규)</t>
  </si>
  <si>
    <t>기계 번역 선택</t>
  </si>
  <si>
    <t>사이트관리</t>
  </si>
  <si>
    <t>그룹관리</t>
  </si>
  <si>
    <t>메인배너(수정)</t>
  </si>
  <si>
    <t>결제/정산 관리</t>
  </si>
  <si>
    <t>관리자 관리</t>
  </si>
  <si>
    <t>사이트관리_메인배서(수정)</t>
  </si>
  <si>
    <t>카테고리관리</t>
  </si>
  <si>
    <t>관리자관리</t>
  </si>
  <si>
    <t>챗봇관리</t>
  </si>
  <si>
    <t>1단계</t>
  </si>
  <si>
    <t>세부 내용</t>
  </si>
  <si>
    <t>설명</t>
  </si>
  <si>
    <t>GPT 모듈</t>
  </si>
  <si>
    <t>통독</t>
  </si>
  <si>
    <t>전체</t>
  </si>
  <si>
    <t>집단지성</t>
  </si>
  <si>
    <t>번호</t>
  </si>
  <si>
    <t>주제/목적</t>
  </si>
  <si>
    <t>종결어미</t>
  </si>
  <si>
    <t>청자연령</t>
  </si>
  <si>
    <t>답변의 길이</t>
  </si>
  <si>
    <t>어휘 수준</t>
  </si>
  <si>
    <t>글 종류</t>
  </si>
  <si>
    <t>배경정보</t>
  </si>
  <si>
    <t>참고자료</t>
  </si>
  <si>
    <t>시간적 제약</t>
  </si>
  <si>
    <t>자료형식</t>
  </si>
  <si>
    <t>어려운 부분</t>
  </si>
  <si>
    <t>선택적 제시</t>
  </si>
  <si>
    <t>구체적 예시</t>
  </si>
  <si>
    <t>시간 관리 및 일정</t>
  </si>
  <si>
    <t>환경적 요소</t>
  </si>
  <si>
    <t>제주도 여행 아이템</t>
  </si>
  <si>
    <t>해요체</t>
  </si>
  <si>
    <t>간단한 설명</t>
  </si>
  <si>
    <t>간결한 답변</t>
  </si>
  <si>
    <t>쉬운 어휘</t>
  </si>
  <si>
    <t>제안서</t>
  </si>
  <si>
    <t>학교 발표</t>
  </si>
  <si>
    <t>책 링크</t>
  </si>
  <si>
    <t>내일 발표</t>
  </si>
  <si>
    <t>아이디어가 막혔다</t>
  </si>
  <si>
    <t>3가지 방법</t>
  </si>
  <si>
    <t>실제 사례</t>
  </si>
  <si>
    <t>쇼츠 아이디어</t>
  </si>
  <si>
    <t>입니다체</t>
  </si>
  <si>
    <t>예시 포함</t>
  </si>
  <si>
    <t>자세한 설명</t>
  </si>
  <si>
    <t>중급 어휘</t>
  </si>
  <si>
    <t>보고서</t>
  </si>
  <si>
    <t>회사 프로젝트</t>
  </si>
  <si>
    <t>이 사이트 참고</t>
  </si>
  <si>
    <t>2주 내 마감</t>
  </si>
  <si>
    <t>간단한 요약</t>
  </si>
  <si>
    <t>다양한 옵션 제시</t>
  </si>
  <si>
    <t>문법 예시</t>
  </si>
  <si>
    <t>전문적인 분석</t>
  </si>
  <si>
    <t>함</t>
  </si>
  <si>
    <t>창의적인 아이디어</t>
  </si>
  <si>
    <t>전문적인 어휘</t>
  </si>
  <si>
    <t>SNS</t>
  </si>
  <si>
    <t>상황 설명</t>
  </si>
  <si>
    <t>이전 피드백</t>
  </si>
  <si>
    <t>이론에 대한 예시</t>
  </si>
  <si>
    <t>요</t>
  </si>
  <si>
    <t>상세한 예시 포함</t>
  </si>
  <si>
    <t>친근한 표현</t>
  </si>
  <si>
    <t>유머 섞기</t>
  </si>
  <si>
    <t>📂 문서 구조</t>
  </si>
  <si>
    <t>시트명</t>
  </si>
  <si>
    <t>주요 내용</t>
  </si>
  <si>
    <t>전체 문서 구조, 플랫폼 목록, 모듈 목록</t>
  </si>
  <si>
    <t>✅ 완료</t>
  </si>
  <si>
    <t>사이트별 서비스 설명, 모듈-플랫폼 매트릭스, 번역 유형</t>
  </si>
  <si>
    <t>DB 엔티티 전체 정리 — 회원 / 시험 / 전문가 / 결제 / 운영</t>
  </si>
  <si>
    <t>사용자·관리자 공통 메뉴 구조 (1~3Depth)</t>
  </si>
  <si>
    <t>시험 메뉴 구조 — 응시생 / 출제 전문가 / 채점 전문가 / 관리자</t>
  </si>
  <si>
    <t>Figma 화면 목록 — 프로세스 흐름 + 실제 구현 화면</t>
  </si>
  <si>
    <t>개발 전 확정 필요 항목 모음 + 담당자·상태 관리</t>
  </si>
  <si>
    <t>기술 스택, AI 프롬프트 도우미 파라미터, 관리자 권한 체계</t>
  </si>
  <si>
    <t>서비스 유형</t>
  </si>
  <si>
    <t>개발 상태</t>
  </si>
  <si>
    <t>🟡 추후 개발</t>
  </si>
  <si>
    <t>비즈니스 문서</t>
  </si>
  <si>
    <t>-</t>
  </si>
  <si>
    <t>모듈명</t>
  </si>
  <si>
    <t>번역 모듈</t>
  </si>
  <si>
    <t>에디터 모듈</t>
  </si>
  <si>
    <t>매칭 모듈</t>
  </si>
  <si>
    <t>결제 모듈</t>
  </si>
  <si>
    <t>PDF / DOCX / HWP / PPTX</t>
  </si>
  <si>
    <t>MP3 / MP4 / URL</t>
  </si>
  <si>
    <t>MP3 / WAV</t>
  </si>
  <si>
    <t>분류</t>
  </si>
  <si>
    <t>등급</t>
  </si>
  <si>
    <t>🗄️ DB 설계 — 전체 데이터베이스 엔티티 정의</t>
  </si>
  <si>
    <t>※ 열(컬럼) 구성: 섹션 | 엔티티 | 필드명 | 데이터유형 | 예시값/선택값 | 비고 | 확인필요</t>
  </si>
  <si>
    <t>섹션</t>
  </si>
  <si>
    <t>엔티티</t>
  </si>
  <si>
    <t>필드명</t>
  </si>
  <si>
    <t>데이터 유형</t>
  </si>
  <si>
    <t>예시값 / 선택값</t>
  </si>
  <si>
    <t>⚠️ 확인 필요</t>
  </si>
  <si>
    <t>◆ 1. 회원 정보</t>
  </si>
  <si>
    <t>회원 정보</t>
  </si>
  <si>
    <t>TEXT</t>
  </si>
  <si>
    <t>XX241010 001</t>
  </si>
  <si>
    <t>자동생성, 2줄 포맷</t>
  </si>
  <si>
    <t>ENUM</t>
  </si>
  <si>
    <t>메타번역 / 시험 / 통독 / 큐레이터 / 집단지성</t>
  </si>
  <si>
    <t>관리자 화면 구분값</t>
  </si>
  <si>
    <t>정식 회원 / 일반 회원 / 전문가 회원 / 기업 회원 / 회원 탈퇴</t>
  </si>
  <si>
    <t>정식=프로필 완료, 일반=간편로그인</t>
  </si>
  <si>
    <t>대학 / 회사 / 학원 / 관공서</t>
  </si>
  <si>
    <t>프리미엄 / 스탠다드 / 베이직 / 미정 / 1회 결제</t>
  </si>
  <si>
    <t>1회 결제 기준 확인 필요</t>
  </si>
  <si>
    <t>남 / 여</t>
  </si>
  <si>
    <t>NUMBER</t>
  </si>
  <si>
    <t>생년월일 기준 자동 계산</t>
  </si>
  <si>
    <t>DATE</t>
  </si>
  <si>
    <t>이메일 또는 휴대폰 중 하나로 인증</t>
  </si>
  <si>
    <t>해외 주소 입력 가능 여부 개발자 확인 필요</t>
  </si>
  <si>
    <t>해외 주소 처리 방식</t>
  </si>
  <si>
    <t>나라·도시 이외 주소 영역</t>
  </si>
  <si>
    <t>개인 / 그룹</t>
  </si>
  <si>
    <t>BOOL</t>
  </si>
  <si>
    <t>Y / N</t>
  </si>
  <si>
    <t>카카오톡 / 네이버 / 구글 / 회원가입</t>
  </si>
  <si>
    <t>FILE</t>
  </si>
  <si>
    <t>**********</t>
  </si>
  <si>
    <t>카카오톡 / 문자 / 이메일</t>
  </si>
  <si>
    <t>다중선택 여부 확인 필요</t>
  </si>
  <si>
    <t>다중선택 여부</t>
  </si>
  <si>
    <t>동의 / 미동의</t>
  </si>
  <si>
    <t>◆ 2. 시험 정보</t>
  </si>
  <si>
    <t>자동생성</t>
  </si>
  <si>
    <t>DATERANGE</t>
  </si>
  <si>
    <t>사용자 화면 표시 날짜</t>
  </si>
  <si>
    <t>지역</t>
  </si>
  <si>
    <t>경기도 / 부산 / 경상도 / 충청도 / 전라도 / 강원도 / 그외 / 미국 / 캐나다 / 중국 / 프랑스 / 멕시코 / 필리핀 / 해외</t>
  </si>
  <si>
    <t>국내는 나열, 해외는 1개 구분</t>
  </si>
  <si>
    <t>개발 완료 전 확정 필요</t>
  </si>
  <si>
    <t>정시 / 수시 / 업체</t>
  </si>
  <si>
    <t>번역 자격증 / AI언어시험 / 웹툰 / 문서 / 영상 / 유투브 / 다큐 / 예능 / 프롬프트 언어 전문가</t>
  </si>
  <si>
    <t>연습용 / 응시용</t>
  </si>
  <si>
    <t>시험등급</t>
  </si>
  <si>
    <t>전문 1급 / 전문 2급 / 교육 1~8급 / 일반 1~3급</t>
  </si>
  <si>
    <t>검정과목</t>
  </si>
  <si>
    <t>카테고리(대)로 대치 가능 검토 중</t>
  </si>
  <si>
    <t>분야</t>
  </si>
  <si>
    <t>영역</t>
  </si>
  <si>
    <t>1교시 / 2교시 / 3교시 / 4교시</t>
  </si>
  <si>
    <t>사용자 화면 팝업으로 표시됨</t>
  </si>
  <si>
    <t>연습용 여부</t>
  </si>
  <si>
    <t>TIME</t>
  </si>
  <si>
    <t>자동 집계</t>
  </si>
  <si>
    <t>◆ 3. 시험 접수 및 응시</t>
  </si>
  <si>
    <t>접수 관리</t>
  </si>
  <si>
    <t>응시자 기준 자동생성</t>
  </si>
  <si>
    <t>시험 관리 번호 (FK)</t>
  </si>
  <si>
    <t>FK</t>
  </si>
  <si>
    <t>시험 정보 참조</t>
  </si>
  <si>
    <t>완료 / 접수 전 / 취소</t>
  </si>
  <si>
    <t>정시 / 수시</t>
  </si>
  <si>
    <t>응시 전 / 응시 완료 / 미응시</t>
  </si>
  <si>
    <t>시험 응시 버튼 클릭 시 상태 변경</t>
  </si>
  <si>
    <t>제출 완료 / 미제출 / 제출 전</t>
  </si>
  <si>
    <t>임시저장 처리 방식 별도 확인</t>
  </si>
  <si>
    <t>임시저장 처리 방식</t>
  </si>
  <si>
    <t>기본값: 시험일로부터 한달, 관리자 수정 가능</t>
  </si>
  <si>
    <t>합격 / 불합격 / 해당없음</t>
  </si>
  <si>
    <t>자동 채점 / AI재첨 / AI+휴먼 / 휴먼 채점</t>
  </si>
  <si>
    <t>프롬프트 에디터 / 자체 문서툴</t>
  </si>
  <si>
    <t>피드백 신청 / 피드백 중 / 피드백 완료</t>
  </si>
  <si>
    <t>학생 부모 등 긴급 연락처</t>
  </si>
  <si>
    <t>◆ 4. 자격증</t>
  </si>
  <si>
    <t>자격증 신청여부</t>
  </si>
  <si>
    <t>신청 / 취소 / 미신청</t>
  </si>
  <si>
    <t>자격증 종류</t>
  </si>
  <si>
    <t>자격증 / 카드 자격증 / 원본대조필 / 봉사확인서 / 확인서</t>
  </si>
  <si>
    <t>자격증 금액</t>
  </si>
  <si>
    <t>금액 확인 필요</t>
  </si>
  <si>
    <t>응시 접수 시 등록한 사진 사용</t>
  </si>
  <si>
    <t>출력 전 / 출력 완료 / 출력 취소</t>
  </si>
  <si>
    <t>배송 전 / 배송 시작 / 배송 중 / 반송 / 배송 완료</t>
  </si>
  <si>
    <t>◆ 5. 시험 양식</t>
  </si>
  <si>
    <t>양식 구분</t>
  </si>
  <si>
    <t>번역 / 프롬프트 / 단답형 / 설문</t>
  </si>
  <si>
    <t>파일 종류</t>
  </si>
  <si>
    <t>문서(TTT) / 음성(STS/STT) / 영상 / URL</t>
  </si>
  <si>
    <t>DeepL / 파파고 / 그 외</t>
  </si>
  <si>
    <t>ChatGPT / 기타 AI</t>
  </si>
  <si>
    <t>문항별 배점</t>
  </si>
  <si>
    <t>◆ 6. 문제 및 채점</t>
  </si>
  <si>
    <t>시험 등급 (FK)</t>
  </si>
  <si>
    <t>번역에서 복수 정답인 경우</t>
  </si>
  <si>
    <t>자동 채점 / 자동+휴먼 / 휴먼 채점 / 해당 없음(설문)</t>
  </si>
  <si>
    <t>1차 평가 요소</t>
  </si>
  <si>
    <t>화면 기획 시 구체적으로 정리 예정</t>
  </si>
  <si>
    <t>개발자 확인 필요</t>
  </si>
  <si>
    <t>2차 평가 요소</t>
  </si>
  <si>
    <t>◆ 7. 전문가 정보</t>
  </si>
  <si>
    <t>전문가 요청 / 전문가 거절 / 전문가 승인 / 전문가 승인 대기</t>
  </si>
  <si>
    <t>전문가들에게 자동 문자/카톡 발송 검토 필요</t>
  </si>
  <si>
    <t>자동 알림 처리 방식</t>
  </si>
  <si>
    <t>이력서</t>
  </si>
  <si>
    <t>대면 / 전화(화상) / 채팅 / 파일 / 단순 편집 / 문서 작성 / 설문 / 출제 / 채점</t>
  </si>
  <si>
    <t>다중선택</t>
  </si>
  <si>
    <t>카테고리(중)</t>
  </si>
  <si>
    <t>자동 매칭에서 사용</t>
  </si>
  <si>
    <t>A / B / C / D / E</t>
  </si>
  <si>
    <t>평일 오전 / 평일 오후 / 주말 / 평일 종일 / 언제든(긴급)</t>
  </si>
  <si>
    <t>긴급 가능 시 24시간 자동 체크</t>
  </si>
  <si>
    <t>[학력]</t>
  </si>
  <si>
    <t>졸업예정 / 졸업 / 휴학 중 / 재학 중</t>
  </si>
  <si>
    <t>[경력]</t>
  </si>
  <si>
    <t>◆ 8. 결제 정보</t>
  </si>
  <si>
    <t>서비스 이용 / 포인트 충전 / 구독 / 문서 구매</t>
  </si>
  <si>
    <t>서비스 유형 + 방법 + 긴급 여부</t>
  </si>
  <si>
    <t>결제 내용</t>
  </si>
  <si>
    <t>포인트 사용 시 사용 내역 표시</t>
  </si>
  <si>
    <t>카드 결제 / 네이버 페이 / 카카오 페이 / 포인트 사용</t>
  </si>
  <si>
    <t>결제 완료 / 결제 전 / 취소 / 환불</t>
  </si>
  <si>
    <t>환불 요청 / 환불 중 / 환불 완료 / 환불 취소</t>
  </si>
  <si>
    <t>서비스별 환불 규정 정리 필요</t>
  </si>
  <si>
    <t>◆ 9. 결제 기준 관리</t>
  </si>
  <si>
    <t>결제 기준</t>
  </si>
  <si>
    <t>XX001</t>
  </si>
  <si>
    <t>AI / 번역 / 변호 / 큐레이터 / 컨설팅 / 회계 / 인사</t>
  </si>
  <si>
    <t>번역 / 영어 / 국가</t>
  </si>
  <si>
    <t>◆ 10. 운영 정보 — 공지사항</t>
  </si>
  <si>
    <t>(회원 정보.사이트 구분 참조)</t>
  </si>
  <si>
    <t>◆ 11. 운영 정보 — 블로그</t>
  </si>
  <si>
    <t>◆ 12. 운영 정보 — 1:1 상담</t>
  </si>
  <si>
    <t>문의 요청 / 답변 중 / 답변 완료</t>
  </si>
  <si>
    <t>문의 분류</t>
  </si>
  <si>
    <t>결제 / 오류 / 환불 / 서비스 / 개선 요청 / 기타 / 시험</t>
  </si>
  <si>
    <t>관리자 / 전문가</t>
  </si>
  <si>
    <t>상담 완료일</t>
  </si>
  <si>
    <t>◆ 13. 운영 정보 — 알림</t>
  </si>
  <si>
    <t>알림 관리 번호</t>
  </si>
  <si>
    <t>결제 / 전문가 승인 / 시험일 / 시험 결과 / 매칭 요청 / 매칭 알림 / 번역 완료 / 문서 판매</t>
  </si>
  <si>
    <t>문자 / 카카오톡 / 메일</t>
  </si>
  <si>
    <t>◆ 14. 운영 정보 — FAQ</t>
  </si>
  <si>
    <t>◆ 15. 운영 정보 — 메인 배너</t>
  </si>
  <si>
    <t>◆ 16. 운영 정보 — 팝업</t>
  </si>
  <si>
    <t>◆ 17. 운영 정보 — 이용약관</t>
  </si>
  <si>
    <t>필수 / 선택</t>
  </si>
  <si>
    <t>◆ 18. 운영 정보 — 관리자</t>
  </si>
  <si>
    <t>관리자 권한</t>
  </si>
  <si>
    <t>마스터 / 최고 관리자 / 메타번역 관리자 / 결제 담당자 / 시험 관리자 / 정산 관리자 / 통독 일반 관리자</t>
  </si>
  <si>
    <t>범위 설정</t>
  </si>
  <si>
    <t>모든 사이트/모든 메뉴 / 특정 사이트/특정 메뉴</t>
  </si>
  <si>
    <t>읽기 / 쓰기 / 저장 / 삭제</t>
  </si>
  <si>
    <t>복합 선택 가능</t>
  </si>
  <si>
    <t>관리 번호 / 아이디 / 이름 / 활동명 / 기간</t>
  </si>
  <si>
    <t>숨기기 / 표시</t>
  </si>
  <si>
    <t>🌐 공통 메뉴구조 — 사용자·관리자 공통 메뉴 (1~3Depth)</t>
  </si>
  <si>
    <t>※ 적용: 공통 = 전 플랫폼 공통, 추후 개발 = 미개발 항목</t>
  </si>
  <si>
    <t>🧪 시험 모듈 메뉴구조 — 사용자(응시생·출제·채점) / 관리자</t>
  </si>
  <si>
    <t>※ 모듈 구분: 시험모듈 = 시험 전용, 공통부분 = 공통 메뉴구조 시트 참조, 모듈동일적용 = 타 모듈과 동일한 UI 재사용</t>
  </si>
  <si>
    <t>🖥️ 화면 목록 — Figma 화면 전체 목록 (프로세스 흐름 + 실제 구현 화면)</t>
  </si>
  <si>
    <t>※ 왼쪽(A~I열): 프로세스 흐름도 화면 | 오른쪽(K열~): 실제 구현 화면 목록</t>
  </si>
  <si>
    <t>※ 색상 범례: 새로 개발해야 하는 화면은 별도 색상으로 표시 (Figma 참조)</t>
  </si>
  <si>
    <t>⚠️ 미결 사항 — 개발 전 확정 필요 항목 목록</t>
  </si>
  <si>
    <t>※ 이 시트는 문서 전체에서 "개발 완료 전 확정 필요" 및 "확인 필요"로 표시된 항목을 한곳에 모은 것입니다.</t>
  </si>
  <si>
    <t>구분(출처 시트)</t>
  </si>
  <si>
    <t>미결 항목</t>
  </si>
  <si>
    <t>관련 엔티티/메뉴</t>
  </si>
  <si>
    <t>담당자</t>
  </si>
  <si>
    <t>DB 설계</t>
  </si>
  <si>
    <t>시험 지역 목록 확정</t>
  </si>
  <si>
    <t>시험 정보.지역</t>
  </si>
  <si>
    <t>미확인</t>
  </si>
  <si>
    <t>국내는 나열, 해외는 1개 구분 예정. 최종 목록 확정 필요</t>
  </si>
  <si>
    <t>시험 종목 목록 확정</t>
  </si>
  <si>
    <t>시험 정보.시험 종목</t>
  </si>
  <si>
    <t>번역 자격증 / AITe / 프롬프트 등 — 전체 목록 확정 필요</t>
  </si>
  <si>
    <t>시험 등급 체계 확정</t>
  </si>
  <si>
    <t>시험 정보.시험등급</t>
  </si>
  <si>
    <t>전문 1~2급 / 교육 1~8급 / 일반 1~3급 — 최종 확정 필요</t>
  </si>
  <si>
    <t>검정과목 목록 확정 또는 카테고리(대)로 대치 여부</t>
  </si>
  <si>
    <t>시험 정보.검정과목</t>
  </si>
  <si>
    <t>카테고리(대)로 대치 가능한지 검토 중</t>
  </si>
  <si>
    <t>분야 목록 확정 또는 카테고리(대)로 대치 여부</t>
  </si>
  <si>
    <t>시험 정보.분야</t>
  </si>
  <si>
    <t>영역 목록 확정 또는 카테고리(대)로 대치 여부</t>
  </si>
  <si>
    <t>시험 정보.영역</t>
  </si>
  <si>
    <t>비밀번호 규칙 정의</t>
  </si>
  <si>
    <t>회원 정보.비밀번호</t>
  </si>
  <si>
    <t>최소 자릿수, 특수문자 포함 여부 등 규칙 정리</t>
  </si>
  <si>
    <t>알림 다중선택 여부</t>
  </si>
  <si>
    <t>회원 정보.알림</t>
  </si>
  <si>
    <t>카카오톡/문자/이메일 중 하나만 선택인지 다중선택인지</t>
  </si>
  <si>
    <t>1회 결제(건수 기준) 처리 방식</t>
  </si>
  <si>
    <t>회원 정보.회원 구독 상태</t>
  </si>
  <si>
    <t>구독 없이 1건씩 결제 시 처리 방식 및 DB 구조</t>
  </si>
  <si>
    <t>회원 정보.주소</t>
  </si>
  <si>
    <t>해외 회원 주소 입력 방식 (나라·도시·상세) 개발자 확인 필요</t>
  </si>
  <si>
    <t>1:1 상담 문의 분류 목록 확정</t>
  </si>
  <si>
    <t>1:1 상담.문의 분류</t>
  </si>
  <si>
    <t>결제/오류/환불/서비스/개선요청/기타/시험 — 추가 항목 확인</t>
  </si>
  <si>
    <t>자격증 금액 확정</t>
  </si>
  <si>
    <t>자격증.자격증 금액</t>
  </si>
  <si>
    <t>종류별 금액 확정 필요 (자격증/카드 자격증/원본대조필 등)</t>
  </si>
  <si>
    <t>답안 임시저장 처리 방식</t>
  </si>
  <si>
    <t>접수 관리.답안 제출</t>
  </si>
  <si>
    <t>임시저장 상태값 및 처리 로직 확인</t>
  </si>
  <si>
    <t>관리자 권한 체계 확정</t>
  </si>
  <si>
    <t>관리자.관리자 권한 / 범위 설정</t>
  </si>
  <si>
    <t>마스터/최고관리자/담당자별 권한 범위 상세 정의</t>
  </si>
  <si>
    <t>결제 기준 서비스 구분 목록 확정</t>
  </si>
  <si>
    <t>결제 기준.서비스 구분</t>
  </si>
  <si>
    <t>AI/번역/변호/큐레이터 등 전체 목록 확정</t>
  </si>
  <si>
    <t>서비스별 환불 규정 정리</t>
  </si>
  <si>
    <t>결제 정보.환불 사유</t>
  </si>
  <si>
    <t>모든 규정은 관리자가 프로그램으로 변경·수정 가능하도록 개발 요청</t>
  </si>
  <si>
    <t>통계 항목 및 검색 기능 정의</t>
  </si>
  <si>
    <t>통계 조회 항목, 기간 검색 등 기능 범위 정의 필요</t>
  </si>
  <si>
    <t>공통 메뉴구조</t>
  </si>
  <si>
    <t>기업 회원 기능 개발 일정</t>
  </si>
  <si>
    <t>회원 관리.기업 회원</t>
  </si>
  <si>
    <t>추후 개발로 표시됨 — 개발 시점 확정 필요</t>
  </si>
  <si>
    <t>장바구니 기능 개발 일정</t>
  </si>
  <si>
    <t>결제하기.장바구니</t>
  </si>
  <si>
    <t>추후 개발로 표시됨</t>
  </si>
  <si>
    <t>계좌이체 결제 개발 일정</t>
  </si>
  <si>
    <t>결제하기.계좌이체</t>
  </si>
  <si>
    <t>운영관리 세부 관리 방식</t>
  </si>
  <si>
    <t>운영관리 전체</t>
  </si>
  <si>
    <t>메인배너/팝업/FAQ/공지사항/1:1문의/약관 관리 방식</t>
  </si>
  <si>
    <t>화면 설정 관리 기획 구체화</t>
  </si>
  <si>
    <t>단계설정/라벨명/형태설정 등 브레인스토밍 필요</t>
  </si>
  <si>
    <t>정산 기준 관리 및 결제 기준 관리 통합 여부</t>
  </si>
  <si>
    <t>정산 기준 관리 / 결제 기준 관리</t>
  </si>
  <si>
    <t>두 기준관리의 구분 방식 및 통합 여부 검토</t>
  </si>
  <si>
    <t>시험 STEP(단계) 구분 방식</t>
  </si>
  <si>
    <t>홈페이지 메뉴 추가 방식 vs 단일 구분 없이 진행 — 최종 확인 필요</t>
  </si>
  <si>
    <t>자격증 디자인 및 인쇄 방식 확정</t>
  </si>
  <si>
    <t>자격증 관리</t>
  </si>
  <si>
    <t>디자인 시안 및 출력/배송 프로세스 확정</t>
  </si>
  <si>
    <t>휴먼 채점 기준 정리</t>
  </si>
  <si>
    <t>객관식 자동 채점 후 주관식 휴먼 채점 범위 기준 정의</t>
  </si>
  <si>
    <t>자동 채점 대상 범위 정의</t>
  </si>
  <si>
    <t>객관식 자동채점 + 주관식 유사도 기준점수 범위 내 전문가 채점 요청 로직</t>
  </si>
  <si>
    <t>전문가 자동 알림(카톡/문자) 처리 방식</t>
  </si>
  <si>
    <t>특수 전문가만 / 전체 전문가 — 업무 자동 전달 방식</t>
  </si>
  <si>
    <t>시험 출제 복사 기능 세부 사양</t>
  </si>
  <si>
    <t>기존 시험 복사 시 어떤 항목을 복사할지 정의</t>
  </si>
  <si>
    <t>전반</t>
  </si>
  <si>
    <t>GPT 모듈 기능 문서 작성</t>
  </si>
  <si>
    <t>GPT 모듈 전체</t>
  </si>
  <si>
    <t>GPT모듈_문서활용 시트가 비어있음 — 기능 정의 필요</t>
  </si>
  <si>
    <t>채팅 기능 개발 범위 정의</t>
  </si>
  <si>
    <t>공통.채팅</t>
  </si>
  <si>
    <t>1:1 채팅 vs 단체 채팅 등 범위 확정</t>
  </si>
  <si>
    <t>이미지 만들기 / 영상 만들기 기능 범위</t>
  </si>
  <si>
    <t>메타번역 (추가 기능)</t>
  </si>
  <si>
    <t>프롬프트 생성 / 조회수 높은 영상 만들기 / 발표 대본 등 기능 정의</t>
  </si>
  <si>
    <t>🛠️ 개발 참고 자료 — 기술 스택 / 관리자 권한 / AI 프롬프트 도우미</t>
  </si>
  <si>
    <t>🔧 제안 기술 스택 (박이사 의견)</t>
  </si>
  <si>
    <t>기술/도구</t>
  </si>
  <si>
    <t>용도</t>
  </si>
  <si>
    <t>프론트엔드</t>
  </si>
  <si>
    <t>React.js 또는 Vue.js</t>
  </si>
  <si>
    <t>사용자 UI/UX 구현</t>
  </si>
  <si>
    <t>사용자 친화적 인터페이스</t>
  </si>
  <si>
    <t>백엔드</t>
  </si>
  <si>
    <t>Node.js (Express) 또는 Python (Django)</t>
  </si>
  <si>
    <t>서버 로직, RESTful API 설계</t>
  </si>
  <si>
    <t>데이터베이스</t>
  </si>
  <si>
    <t>MySQL 또는 PostgreSQL</t>
  </si>
  <si>
    <t>데이터 저장 및 관리</t>
  </si>
  <si>
    <t>인증/권한</t>
  </si>
  <si>
    <t>JWT (JSON Web Token)</t>
  </si>
  <si>
    <t>사용자 인증, 권한별 접근 제어</t>
  </si>
  <si>
    <t>Stripe 또는 PayPal API</t>
  </si>
  <si>
    <t>결제 처리 연동</t>
  </si>
  <si>
    <t>국내 PG사 추가 검토 필요</t>
  </si>
  <si>
    <t>OpenAI API (ChatGPT)</t>
  </si>
  <si>
    <t>GPT 모듈 연동</t>
  </si>
  <si>
    <t>ChatGPT 외 다른 AI도 검토</t>
  </si>
  <si>
    <t>번역기</t>
  </si>
  <si>
    <t>DeepL, 파파고 API</t>
  </si>
  <si>
    <t>번역 모듈 연동</t>
  </si>
  <si>
    <t>그 외 번역기 추가 가능</t>
  </si>
  <si>
    <t>배포/운영</t>
  </si>
  <si>
    <t>AWS 또는 Azure</t>
  </si>
  <si>
    <t>클라우드 서비스, 지속적 업데이트 및 보안 패치</t>
  </si>
  <si>
    <t>👤 관리자 권한 체계</t>
  </si>
  <si>
    <t>권한명</t>
  </si>
  <si>
    <t>접근 사이트</t>
  </si>
  <si>
    <t>접근 메뉴</t>
  </si>
  <si>
    <t>가능 권한</t>
  </si>
  <si>
    <t>모든 사이트</t>
  </si>
  <si>
    <t>모든 메뉴</t>
  </si>
  <si>
    <t>최고 권한</t>
  </si>
  <si>
    <t>결제/정산 메뉴</t>
  </si>
  <si>
    <t>시험 관련 메뉴</t>
  </si>
  <si>
    <t>정산 메뉴만</t>
  </si>
  <si>
    <t>일부 메뉴</t>
  </si>
  <si>
    <t>제한적 권한</t>
  </si>
  <si>
    <t>🤖 AI 프롬프트 도우미 — 파라미터 목록 (ai버튼 샘플 원본)</t>
  </si>
  <si>
    <t>파라미터</t>
  </si>
  <si>
    <t>선택 예시 1</t>
  </si>
  <si>
    <t>선택 예시 2</t>
  </si>
  <si>
    <t>선택 예시 3</t>
  </si>
  <si>
    <t>선택 예시 4</t>
  </si>
  <si>
    <t>어린이 대상</t>
  </si>
  <si>
    <t>청소년 대상</t>
  </si>
  <si>
    <t>성인 대상</t>
  </si>
  <si>
    <t>전문가 대상</t>
  </si>
  <si>
    <t>세부사항/선호</t>
  </si>
  <si>
    <t>광고 / 블로그</t>
  </si>
  <si>
    <t>오늘까지</t>
  </si>
  <si>
    <t>그래프/표</t>
  </si>
  <si>
    <t>이 문제 해결 방법 모름</t>
  </si>
  <si>
    <t>필요한 시간 명시</t>
  </si>
  <si>
    <t>시간에 따른 우선순위</t>
  </si>
  <si>
    <t>Windows 10 환경에서 문제 발생</t>
  </si>
  <si>
    <t>Python 3.8 사용 중</t>
  </si>
  <si>
    <t>작업 OS/브라우저/소프트웨어 버전</t>
  </si>
  <si>
    <t>🔗 참고 URL</t>
  </si>
  <si>
    <t>회사 홈페이지(참고)</t>
  </si>
  <si>
    <t>https://hutechc01.wixsite.com/metatrans</t>
  </si>
  <si>
    <t>푸터 회사정보, 입금계좌, 고객센터 참고용</t>
  </si>
  <si>
    <t>1. 📋 목차</t>
  </si>
  <si>
    <t>2. 🏢 플랫폼 개요</t>
  </si>
  <si>
    <t>3. 🗄️ DB 설계</t>
  </si>
  <si>
    <t>4. 🌐 공통 메뉴구조</t>
  </si>
  <si>
    <t>5. 🧪 시험 모듈</t>
  </si>
  <si>
    <t>6. 🖥️ 화면 목록</t>
  </si>
  <si>
    <t>7. ⚠️ 미결 사항</t>
  </si>
  <si>
    <t>8. 🛠️ 개발 참고</t>
  </si>
  <si>
    <t>📄  시트별 주요 내용 상세</t>
  </si>
  <si>
    <t>세부 포함 내용</t>
  </si>
  <si>
    <t>데이터 규모</t>
  </si>
  <si>
    <t>문서 구조 목록 / 플랫폼 9개 / 모듈 6개 / 문제점·보완점·보안 / 시험 추가 기능</t>
  </si>
  <si>
    <t>~150행</t>
  </si>
  <si>
    <t>이 시트</t>
  </si>
  <si>
    <t>플랫폼별 상세 설명 / 모듈-플랫폼 매트릭스 / 번역유형 4가지 / 시험 종목 계획</t>
  </si>
  <si>
    <t>~50행</t>
  </si>
  <si>
    <t>18개 엔티티 × 7컬럼 / 섹션별 색상 / ⚠️ 노란색 = 확인 필요</t>
  </si>
  <si>
    <t>252행</t>
  </si>
  <si>
    <t>PK/FK 정의 미포함</t>
  </si>
  <si>
    <t>전 플랫폼 공통 1~3Depth 메뉴 / 사용자·관리자 양측 포함</t>
  </si>
  <si>
    <t>기존 유지</t>
  </si>
  <si>
    <t>응시생/출제자/채점자/관리자 역할별 메뉴 / 시험 전용 기능</t>
  </si>
  <si>
    <t>공통 중복 항목 정리 필요</t>
  </si>
  <si>
    <t>Figma 화면 전체 목록 / 프로세스 흐름도 + 실제 구현 화면 구분</t>
  </si>
  <si>
    <t>Figma 링크 삽입 필요</t>
  </si>
  <si>
    <t>개발 전 확정 필요 32개 항목 / 담당자·상태 관리 가능</t>
  </si>
  <si>
    <t>36행</t>
  </si>
  <si>
    <t>담당자·기한 미입력</t>
  </si>
  <si>
    <t>기술 스택(React/Node.js/MySQL/JWT/AWS) / 관리자 권한 7단계 / AI 프롬프트 파라미터 16가지</t>
  </si>
  <si>
    <t>~80행</t>
  </si>
  <si>
    <t>🚨  문제점 — 현재 문서의 미비 사항</t>
  </si>
  <si>
    <t>문제점</t>
  </si>
  <si>
    <t>영향 범위</t>
  </si>
  <si>
    <t>심각도</t>
  </si>
  <si>
    <t>관련 시트</t>
  </si>
  <si>
    <t>GPT 모듈 기능 정의서 미작성</t>
  </si>
  <si>
    <t>메타번역·시험 핵심 기능 전체</t>
  </si>
  <si>
    <t>🔴 높음</t>
  </si>
  <si>
    <t>2. 플랫폼 개요</t>
  </si>
  <si>
    <t>시험 종목·등급·검정과목·분야·영역 5개 항목 미확정</t>
  </si>
  <si>
    <t>DB 설계·시험 모듈 전반</t>
  </si>
  <si>
    <t>3. DB 설계, 5. 시험 모듈</t>
  </si>
  <si>
    <t>시험 부정행위 방지 기능 전혀 미기획</t>
  </si>
  <si>
    <t>온라인 시험 신뢰도 전체</t>
  </si>
  <si>
    <t>5. 시험 모듈</t>
  </si>
  <si>
    <t>DB PK/FK 관계 정의 미작성</t>
  </si>
  <si>
    <t>테이블 간 연결 로직 불명확</t>
  </si>
  <si>
    <t>3. DB 설계</t>
  </si>
  <si>
    <t>API 명세서 부재</t>
  </si>
  <si>
    <t>프론트-백엔드 연동 기준 없음</t>
  </si>
  <si>
    <t>비밀번호 규칙·해외 주소 처리 등 기본 회원 기능 미확정</t>
  </si>
  <si>
    <t>회원 가입·로그인 전체</t>
  </si>
  <si>
    <t>🟠 중간</t>
  </si>
  <si>
    <t>온라인 응시 환경 체크 기능 미기획</t>
  </si>
  <si>
    <t>수험생 응시 준비 단계</t>
  </si>
  <si>
    <t>이의신청 프로세스 미정의</t>
  </si>
  <si>
    <t>성적 처리 신뢰도</t>
  </si>
  <si>
    <t>단체 접수 기능 미기획</t>
  </si>
  <si>
    <t>학교·기업 대량 접수 불가</t>
  </si>
  <si>
    <t>수험표 자동 발행 기능 미기획</t>
  </si>
  <si>
    <t>응시생 접수 확인 수단 없음</t>
  </si>
  <si>
    <t>문제 은행(랜덤 출제) 미기획</t>
  </si>
  <si>
    <t>출제 공정성·재사용성</t>
  </si>
  <si>
    <t>🟡 낮음</t>
  </si>
  <si>
    <t>공통 메뉴구조 vs 시험 모듈 간 중복 메뉴 미정리</t>
  </si>
  <si>
    <t>유지보수 혼선</t>
  </si>
  <si>
    <t>4. 공통 메뉴, 5. 시험 모듈</t>
  </si>
  <si>
    <t>채점 자동화 유사도 임계값 등 수치 기준 미정의</t>
  </si>
  <si>
    <t>채점 일관성</t>
  </si>
  <si>
    <t>결제 기준 단가 변경 로직 미정의</t>
  </si>
  <si>
    <t>운영 중 단가 조정 기준 없음</t>
  </si>
  <si>
    <t>시험장(고사장) 관리 기능 미기획</t>
  </si>
  <si>
    <t>오프라인 시험 운영 불가</t>
  </si>
  <si>
    <t>💡  보완점 — 개선 방향</t>
  </si>
  <si>
    <t>보완 사항</t>
  </si>
  <si>
    <t>권장 방법</t>
  </si>
  <si>
    <t>담당</t>
  </si>
  <si>
    <t>GPT 모듈 기능 정의서 작성</t>
  </si>
  <si>
    <t>채점 AI / 번역 AI / 프롬프트 도우미 기능별 입출력 정의</t>
  </si>
  <si>
    <t>🔴 즉시</t>
  </si>
  <si>
    <t>DB PK/FK 관계 ERD 작성</t>
  </si>
  <si>
    <t>ERD 다이어그램 또는 관계 테이블을 3. DB 설계에 추가</t>
  </si>
  <si>
    <t>API 명세 시트 추가</t>
  </si>
  <si>
    <t>엔드포인트·요청/응답·인증 방식 등 별도 시트 신설</t>
  </si>
  <si>
    <t>7. ⚠️ 미결 사항 담당자·기한 지정</t>
  </si>
  <si>
    <t>각 항목에 담당자 이름·확정 목표일 입력</t>
  </si>
  <si>
    <t>시험 모듈 내 공통 중복 항목 제거</t>
  </si>
  <si>
    <t>아래 '중복 정리 항목' 섹션 참고, 공통 메뉴로 위임</t>
  </si>
  <si>
    <t>🟠 1주</t>
  </si>
  <si>
    <t>구독 등급별 기능 차이표 작성</t>
  </si>
  <si>
    <t>프리미엄/스탠다드/베이직별 이용 가능 기능 비교표</t>
  </si>
  <si>
    <t>이메일·SMS 발송 템플릿 목록 작성</t>
  </si>
  <si>
    <t>시험 확인/결제 확인/성적 발표 등 발송 시점·내용 정의</t>
  </si>
  <si>
    <t>6. 화면 목록에 Figma 링크 삽입</t>
  </si>
  <si>
    <t>각 화면 행에 Figma URL 컬럼 추가</t>
  </si>
  <si>
    <t>🟡 2주</t>
  </si>
  <si>
    <t>QA 테스트 시나리오 시트 추가</t>
  </si>
  <si>
    <t>기능별 입력값·기대결과·합격 기준 체크리스트</t>
  </si>
  <si>
    <t>채점 유사도 임계값 등 수치 정의</t>
  </si>
  <si>
    <t>자동 채점 합격/불합격 컷 수치를 DB 설계 비고에 기입</t>
  </si>
  <si>
    <t>🔒  보안 고려사항</t>
  </si>
  <si>
    <t>보안 항목</t>
  </si>
  <si>
    <t>기술적 대응</t>
  </si>
  <si>
    <t>관련 기능</t>
  </si>
  <si>
    <t>개인정보 암호화</t>
  </si>
  <si>
    <t>이름·생년월일·주소 등 개인정보 저장 시 암호화 필수</t>
  </si>
  <si>
    <t>AES-256 암호화, DB 컬럼 레벨 암호화</t>
  </si>
  <si>
    <t>결제 보안</t>
  </si>
  <si>
    <t>카드 정보 직접 저장 금지, PCI-DSS 준수 결제 모듈 사용</t>
  </si>
  <si>
    <t>Stripe/KG이니시스 등 공인 PG 사용</t>
  </si>
  <si>
    <t>JWT 토큰 관리</t>
  </si>
  <si>
    <t>Access Token 30분, Refresh Token 별도 관리 및 갱신</t>
  </si>
  <si>
    <t>Refresh Token 회전 방식, 블랙리스트 관리</t>
  </si>
  <si>
    <t>인증 전체</t>
  </si>
  <si>
    <t>시험 데이터 보안</t>
  </si>
  <si>
    <t>출제 파일은 시험 시작 직전까지 암호화 잠금</t>
  </si>
  <si>
    <t>S3 Pre-signed URL, 시간 제한 다운로드</t>
  </si>
  <si>
    <t>SQL 인젝션 방어</t>
  </si>
  <si>
    <t>사용자 입력값을 쿼리에 직접 사용 금지</t>
  </si>
  <si>
    <t>Prepared Statement / ORM 사용 필수</t>
  </si>
  <si>
    <t>전체 API</t>
  </si>
  <si>
    <t>관리자 접근 로그</t>
  </si>
  <si>
    <t>모든 관리자 CRUD 동작을 로그로 기록</t>
  </si>
  <si>
    <t>Audit Log 테이블 별도 관리, 90일 보관</t>
  </si>
  <si>
    <t>관리자 시스템</t>
  </si>
  <si>
    <t>시험 응시 보안</t>
  </si>
  <si>
    <t>화면 캡처·인쇄 방지, 다른 창 전환 감지 및 경고</t>
  </si>
  <si>
    <t>CSS user-select:none, visibilitychange 이벤트</t>
  </si>
  <si>
    <t>파일 업로드 보안</t>
  </si>
  <si>
    <t>업로드 허용 확장자 제한, 악성코드 자동 검사</t>
  </si>
  <si>
    <t>MIME 타입 검증, ClamAV 연동</t>
  </si>
  <si>
    <t>이력서·자격증·출제파일</t>
  </si>
  <si>
    <t>HTTPS 강제</t>
  </si>
  <si>
    <t>전 서비스 HTTPS, HTTP 접근 시 자동 리다이렉트</t>
  </si>
  <si>
    <t>HSTS(max-age≥1년) 설정, TLS 1.2+ 적용</t>
  </si>
  <si>
    <t>파일 접근 권한</t>
  </si>
  <si>
    <t>이력서·자격증 등 민감 파일은 본인 및 관리자만 접근 가능</t>
  </si>
  <si>
    <t>Pre-signed URL 방식, 권한 체크 미들웨어</t>
  </si>
  <si>
    <t>전문가 정보·자격증</t>
  </si>
  <si>
    <t>🧪  시험 사이트 — 추가 필요 기능 목록</t>
  </si>
  <si>
    <t>기능명</t>
  </si>
  <si>
    <t>내용 설명</t>
  </si>
  <si>
    <t>관련 DB 엔티티</t>
  </si>
  <si>
    <t>모의고사·연습시험</t>
  </si>
  <si>
    <t>실제 시험과 동일 환경에서 연습 가능, 채점 결과 즉시 제공</t>
  </si>
  <si>
    <t>🔴 필수</t>
  </si>
  <si>
    <t>시험 정보, 접수 관리</t>
  </si>
  <si>
    <t>응시 환경 사전 점검</t>
  </si>
  <si>
    <t>접속 전 PC OS·브라우저 호환성 자동 체크, 문제 있을 시 안내</t>
  </si>
  <si>
    <t>수험표 자동 발행</t>
  </si>
  <si>
    <t>PDF 수험표 생성 및 이메일 발송, 응시생 사진 포함</t>
  </si>
  <si>
    <t>접수 관리, 회원 정보</t>
  </si>
  <si>
    <t>부정행위 방지</t>
  </si>
  <si>
    <t>화면 캡처·인쇄 방지, 다른 창 전환 감지·경고, 로그 기록</t>
  </si>
  <si>
    <t>이의신청 프로세스</t>
  </si>
  <si>
    <t>성적 발표 후 N일간 이의신청 접수, 담당자 검토, 결과 통보 흐름</t>
  </si>
  <si>
    <t>접수 관리 (신규 엔티티)</t>
  </si>
  <si>
    <t>문제 은행 관리</t>
  </si>
  <si>
    <t>문제풀 등록·난이도/유형별 분류, 시험 시 무작위·배점 자동 구성</t>
  </si>
  <si>
    <t>🟠 중요</t>
  </si>
  <si>
    <t>문제 및 채점, 시험 양식</t>
  </si>
  <si>
    <t>성적 증명서 PDF 발행</t>
  </si>
  <si>
    <t>합격 확인서·성적 통지서 공식 서명 포함 PDF 출력 또는 이메일 발송</t>
  </si>
  <si>
    <t>접수 관리, 자격증</t>
  </si>
  <si>
    <t>시험장(고사장) 관리</t>
  </si>
  <si>
    <t>장소·수용 인원·감독관 배정, 지역별 시험장 지도 표시</t>
  </si>
  <si>
    <t>시험 정보 (신규 엔티티)</t>
  </si>
  <si>
    <t>단체 접수 기능</t>
  </si>
  <si>
    <t>학교·기업 담당자가 여러 명을 일괄 접수, 엑셀 업로드 지원</t>
  </si>
  <si>
    <t>대기자 명단 관리</t>
  </si>
  <si>
    <t>정원 초과 시 대기자 등록, 취소 발생 시 순번 자동 배정·알림</t>
  </si>
  <si>
    <t>접수 관리 (신규 필드)</t>
  </si>
  <si>
    <t>성적 통계 대시보드</t>
  </si>
  <si>
    <t>시험별 합격률·평균 점수·점수 분포 차트, 관리자·출제자 열람</t>
  </si>
  <si>
    <t>🟡 권장</t>
  </si>
  <si>
    <t>접수 관리, 문제 및 채점</t>
  </si>
  <si>
    <t>오답 분석</t>
  </si>
  <si>
    <t>응시생별 틀린 문제 유형 분석, 학습 방향 제안, 재시험 연결</t>
  </si>
  <si>
    <t>감독관·채점관 배정</t>
  </si>
  <si>
    <t>시험별 자동/수동 배정, 채점 분량 분배, 채점 현황 모니터링</t>
  </si>
  <si>
    <t>전문가 정보, 시험 정보</t>
  </si>
  <si>
    <t>시험 공고 게시판</t>
  </si>
  <si>
    <t>시험 일정·응시 자격·가이드 문서 게시, 파일 첨부 지원</t>
  </si>
  <si>
    <t>공지사항 (기존)</t>
  </si>
  <si>
    <t>강의·학습 자료 연결</t>
  </si>
  <si>
    <t>시험과 연계된 학습 콘텐츠 제공, 유료/무료 구분, 수료 여부 추적</t>
  </si>
  <si>
    <t>🟢 추후</t>
  </si>
  <si>
    <t>(신규 엔티티 필요)</t>
  </si>
  <si>
    <t>🗑️  시험 모듈 내 중복·불필요 항목 — 정리 방향</t>
  </si>
  <si>
    <t>항목명</t>
  </si>
  <si>
    <t>현재 위치</t>
  </si>
  <si>
    <t>권장 처리</t>
  </si>
  <si>
    <t>사유</t>
  </si>
  <si>
    <t>조치 상태</t>
  </si>
  <si>
    <t>4. 공통 메뉴구조로 위임</t>
  </si>
  <si>
    <t>모든 플랫폼 공통 기능, 중복 기재</t>
  </si>
  <si>
    <t>미완료</t>
  </si>
  <si>
    <t>블로그 관리</t>
  </si>
  <si>
    <t>1:1 문의(상담) 관리</t>
  </si>
  <si>
    <t>이용약관 관리</t>
  </si>
  <si>
    <t>메인 배너·팝업</t>
  </si>
  <si>
    <t>회원 가입·로그인</t>
  </si>
  <si>
    <t>공통 인증 기능, 시험 전용 아님</t>
  </si>
  <si>
    <t>결제·정산 메뉴</t>
  </si>
  <si>
    <t>전 플랫폼 동일 결제 모듈 사용</t>
  </si>
  <si>
    <t>마이페이지 기본 항목</t>
  </si>
  <si>
    <t>회원 프로필·알림은 모든 사이트 공통</t>
  </si>
  <si>
    <t>─── 시험 전용 유지 항목 ───</t>
  </si>
  <si>
    <t>시험 접수·관리</t>
  </si>
  <si>
    <t>유지</t>
  </si>
  <si>
    <t>시험 고유 기능</t>
  </si>
  <si>
    <t>시험 응시(온라인)</t>
  </si>
  <si>
    <t>성적 조회·발표</t>
  </si>
  <si>
    <t>자격증 신청·발행</t>
  </si>
  <si>
    <t>시험 양식·문항 관리</t>
  </si>
  <si>
    <t>🧪  AI 시험 플랫폼 — 서비스 개요 (시험 사이트 전용)</t>
  </si>
  <si>
    <t>운영 시험 종류: AI 번역 시험 · AI 프롬프트 시험 · AI 윤리 시험  |  기준일: 2025.05</t>
  </si>
  <si>
    <t>① 시험 종류 개요 — 3가지 AI 자격 시험</t>
  </si>
  <si>
    <t>영문 명칭</t>
  </si>
  <si>
    <t>대상</t>
  </si>
  <si>
    <t>시험 목적</t>
  </si>
  <si>
    <t>AI 번역 시험</t>
  </si>
  <si>
    <t>AI Translation Certification</t>
  </si>
  <si>
    <t>번역가, 언어 학습자, 언어 서비스 기업</t>
  </si>
  <si>
    <t>AI 도구(ChatGPT·DeepL·파파고 등)를 활용한 고품질 번역 능력 공식 검증</t>
  </si>
  <si>
    <t>🔴 개발 중 — 핵심</t>
  </si>
  <si>
    <t>AI 프롬프트 시험</t>
  </si>
  <si>
    <t>AI Prompt Specialist Certification</t>
  </si>
  <si>
    <t>직장인, IT 종사자, 콘텐츠 크리에이터, 학생</t>
  </si>
  <si>
    <t>AI 모델에 최적의 지시(프롬프트)를 작성하는 역량 및 결과물 품질 검증</t>
  </si>
  <si>
    <t>🟠 개발 예정</t>
  </si>
  <si>
    <t>AI 윤리 시험</t>
  </si>
  <si>
    <t>AI Ethics Certification</t>
  </si>
  <si>
    <t>전 직군, 학생, 기업 담당자, 공공기관</t>
  </si>
  <si>
    <t>AI 사용의 윤리적 판단력·책임 인식·관련 규제 이해도 검증</t>
  </si>
  <si>
    <t>② 시험별 세부 과목·영역</t>
  </si>
  <si>
    <t>시험 구분</t>
  </si>
  <si>
    <t>과목/영역</t>
  </si>
  <si>
    <t>출제 형식</t>
  </si>
  <si>
    <t>관련 파일 형식</t>
  </si>
  <si>
    <t>AI 문서번역 (TTT)</t>
  </si>
  <si>
    <t>PDF·DOCX·HWP·PPTX 문서를 AI 도구로 번역 후 제출</t>
  </si>
  <si>
    <t>실기 (번역문 직접 작성)</t>
  </si>
  <si>
    <t>AI 영상번역 (STT→TTS)</t>
  </si>
  <si>
    <t>유튜브·다큐·예능 영상 파일의 음성을 텍스트로 변환 후 번역</t>
  </si>
  <si>
    <t>실기 (자막 파일 제출)</t>
  </si>
  <si>
    <t>AI 자막번역</t>
  </si>
  <si>
    <t>웹툰·드라마 등 자막 특화 번역, 말풍선 제약 조건 반영</t>
  </si>
  <si>
    <t>SRT / DOCX / 이미지</t>
  </si>
  <si>
    <t>AI 동시통역 보조 (STS)</t>
  </si>
  <si>
    <t>음성→텍스트→번역→음성 전 과정을 AI로 보조, 정확도 평가</t>
  </si>
  <si>
    <t>실기 (음성 파일 제출)</t>
  </si>
  <si>
    <t>프롬프트 기초</t>
  </si>
  <si>
    <t>AI 모델 구조 이해, 기본 지시 작성, 출력 제어 방법</t>
  </si>
  <si>
    <t>객관식 + 단답형</t>
  </si>
  <si>
    <t>프롬프트 응용</t>
  </si>
  <si>
    <t>Role·Context·Format 지정, 체인 프롬프트, 예시 기반 기법 (Few-shot)</t>
  </si>
  <si>
    <t>실기 (프롬프트 작성)</t>
  </si>
  <si>
    <t>번역 특화 프롬프트</t>
  </si>
  <si>
    <t>AI 번역 품질 향상을 위한 프롬프트 최적화 및 후처리 지시</t>
  </si>
  <si>
    <t>실기 (번역+프롬프트 제출)</t>
  </si>
  <si>
    <t>DOCX / 텍스트</t>
  </si>
  <si>
    <t>분야별 프롬프트</t>
  </si>
  <si>
    <t>법률·의료·IT·비즈니스 도메인별 전문 프롬프트 작성 및 결과 평가</t>
  </si>
  <si>
    <t>실기 (분야 선택 후 제출)</t>
  </si>
  <si>
    <t>AI 편향성과 공정성</t>
  </si>
  <si>
    <t>데이터 편향 개념, 알고리즘 차별, 방지 방법론 이해</t>
  </si>
  <si>
    <t>데이터 윤리</t>
  </si>
  <si>
    <t>개인정보 보호(개보법·GDPR), 데이터 수집·활용 시 윤리 기준</t>
  </si>
  <si>
    <t>AI 저작권·지식재산권</t>
  </si>
  <si>
    <t>생성형 AI 산출물의 법적 지위, 저작자 귀속, 상업적 이용 기준</t>
  </si>
  <si>
    <t>AI 책임과 투명성</t>
  </si>
  <si>
    <t>설명 가능한 AI(XAI), 감사 가능성, 인간 감독 원칙</t>
  </si>
  <si>
    <t>AI 규제 이해</t>
  </si>
  <si>
    <t>국내외 AI 법률·가이드라인 (EU AI Act, 국내 AI 기본법 등)</t>
  </si>
  <si>
    <t>③ 시험 형식 및 채점 방식 비교</t>
  </si>
  <si>
    <t>문제 형식</t>
  </si>
  <si>
    <t>실기형 (번역문 직접 작성)</t>
  </si>
  <si>
    <t>실기형 + 객관식 혼합</t>
  </si>
  <si>
    <t>AI 1차 채점 + 전문가(휴먼) 2차 검증</t>
  </si>
  <si>
    <t>자동채점 + AI 결과물 평가</t>
  </si>
  <si>
    <t>100% 자동채점</t>
  </si>
  <si>
    <t>60~180분 (등급별 상이)</t>
  </si>
  <si>
    <t>60~90분</t>
  </si>
  <si>
    <t>60분</t>
  </si>
  <si>
    <t>시험 환경</t>
  </si>
  <si>
    <t>온라인 / 오프라인 선택</t>
  </si>
  <si>
    <t>온라인 (PC 브라우저)</t>
  </si>
  <si>
    <t>온라인 (PC·모바일)</t>
  </si>
  <si>
    <t>합격 기준</t>
  </si>
  <si>
    <t>총점의 60% 이상</t>
  </si>
  <si>
    <t>총점의 70% 이상</t>
  </si>
  <si>
    <t>성적 발표</t>
  </si>
  <si>
    <t>시험 후 30일 이내</t>
  </si>
  <si>
    <t>시험 후 7일 이내</t>
  </si>
  <si>
    <t>시험 후 즉시(자동)</t>
  </si>
  <si>
    <t>자격증 발급</t>
  </si>
  <si>
    <t>합격 시 자격증·카드 발급 가능</t>
  </si>
  <si>
    <t>합격 시 자격증 발급 가능</t>
  </si>
  <si>
    <t>④ 등급 체계</t>
  </si>
  <si>
    <t>등급명</t>
  </si>
  <si>
    <t>대상/수준</t>
  </si>
  <si>
    <t>세부 설명</t>
  </si>
  <si>
    <t>최고 전문가</t>
  </si>
  <si>
    <t>산업번역·동시통역 수준, 품질·속도 모두 최상</t>
  </si>
  <si>
    <t>일반 전문 문서 번역 가능, 품질 기준 상위</t>
  </si>
  <si>
    <t>교육 1~8급</t>
  </si>
  <si>
    <t>교육 목적</t>
  </si>
  <si>
    <t>1급=고급학습자 ~ 8급=입문자, 단계별 난이도</t>
  </si>
  <si>
    <t>일반 1~3급</t>
  </si>
  <si>
    <t>일반인</t>
  </si>
  <si>
    <t>실생활·업무에서 AI 번역 활용 능력, 1급=우수</t>
  </si>
  <si>
    <t>고급 (Advanced)</t>
  </si>
  <si>
    <t>전문가·강사</t>
  </si>
  <si>
    <t>복잡한 멀티스텝 프롬프트, 분야 전문 적용 가능</t>
  </si>
  <si>
    <t>중급 (Intermediate)</t>
  </si>
  <si>
    <t>실무자</t>
  </si>
  <si>
    <t>업무용 프롬프트 작성·최적화, 결과물 평가 가능</t>
  </si>
  <si>
    <t>기초 (Basic)</t>
  </si>
  <si>
    <t>입문자·학생</t>
  </si>
  <si>
    <t>AI 기본 개념 이해, 단순 프롬프트 작성 가능</t>
  </si>
  <si>
    <t>전문 (Professional)</t>
  </si>
  <si>
    <t>기업·기관 담당자</t>
  </si>
  <si>
    <t>AI 정책 수립, 위험 평가, 규제 대응 능력 보유</t>
  </si>
  <si>
    <t>일반인·학생</t>
  </si>
  <si>
    <t>AI 윤리 기본 원칙 이해, 책임감 있는 AI 사용 인식</t>
  </si>
  <si>
    <t>⑤ 시험별 모듈 적용 현황</t>
  </si>
  <si>
    <t>번역 모듈 (TTT/STT/TTS/STS)</t>
  </si>
  <si>
    <t>✅ 필수</t>
  </si>
  <si>
    <t>✅ 부분 활용</t>
  </si>
  <si>
    <t>—</t>
  </si>
  <si>
    <t>번역 시험 핵심, 프롬프트 시험 번역 과목에 사용</t>
  </si>
  <si>
    <t>3가지 시험 모두 공통 사용 (접수·응시·채점·성적)</t>
  </si>
  <si>
    <t>✅ 핵심</t>
  </si>
  <si>
    <t>✅ 참고용</t>
  </si>
  <si>
    <t>프롬프트 시험 핵심, 번역·윤리 시험도 AI 채점에 활용</t>
  </si>
  <si>
    <t>번역·프롬프트 답안 작성 환경 제공</t>
  </si>
  <si>
    <t>접수비·자격증 발급비 결제</t>
  </si>
  <si>
    <t>✅ 출제·채점자</t>
  </si>
  <si>
    <t>✅ 출제자</t>
  </si>
  <si>
    <t>출제자·채점자 자동 배정에 사용</t>
  </si>
  <si>
    <t>⑥ 시험 관련 주요 미결 사항 (빠른 참조)</t>
  </si>
  <si>
    <t>시험 종목 최종 목록</t>
  </si>
  <si>
    <t>문서/영상/자막/동시통역 외 추가 종목 여부 확정 필요</t>
  </si>
  <si>
    <t>지역(시험장) 목록 확정</t>
  </si>
  <si>
    <t>국내 지역 목록, 해외 1개 구분 방식 확정 필요</t>
  </si>
  <si>
    <t>등급별 합격 기준 점수</t>
  </si>
  <si>
    <t>각 등급(전문1급~일반3급)별 합격 컷 수치 확정</t>
  </si>
  <si>
    <t>채점 유사도 임계값</t>
  </si>
  <si>
    <t>AI 자동채점 시 정답 인정 유사도 수치 확정</t>
  </si>
  <si>
    <t>🟠 1주내</t>
  </si>
  <si>
    <t>과목별 출제 비율</t>
  </si>
  <si>
    <t>객관식:실기 비율, 분야별 프롬프트 배점 확정</t>
  </si>
  <si>
    <t>사용 AI 모델 기준</t>
  </si>
  <si>
    <t>ChatGPT / Claude / Gemini 중 어떤 모델 기준으로 시험</t>
  </si>
  <si>
    <t>시험 개발 착수 시기</t>
  </si>
  <si>
    <t>현재 '추후 개발' 상태 — 착수 일정 확정 필요</t>
  </si>
  <si>
    <t>🟡 2주내</t>
  </si>
  <si>
    <t>자격증 디자인·금액</t>
  </si>
  <si>
    <t>3가지 시험 자격증 각각의 디자인 확인 및 발급 금액</t>
  </si>
  <si>
    <t>GPT 모듈 기능 정의</t>
  </si>
  <si>
    <t>채점 AI·번역 AI·프롬프트 도우미 상세 기능 정의서 작성</t>
  </si>
  <si>
    <t>AI 시험 플랫폼 개발 기획서 — 문서 목차</t>
  </si>
  <si>
    <t>번호</t>
    <phoneticPr fontId="10" type="noConversion"/>
  </si>
  <si>
    <t>시험명</t>
    <phoneticPr fontId="10" type="noConversion"/>
  </si>
  <si>
    <t>영문 명칭</t>
    <phoneticPr fontId="10" type="noConversion"/>
  </si>
  <si>
    <t>주요 모듈</t>
    <phoneticPr fontId="10" type="noConversion"/>
  </si>
  <si>
    <t>개발 상태</t>
    <phoneticPr fontId="10" type="noConversion"/>
  </si>
  <si>
    <t>🔴 개발 중</t>
  </si>
  <si>
    <t>모듈명</t>
    <phoneticPr fontId="10" type="noConversion"/>
  </si>
  <si>
    <t>역할</t>
  </si>
  <si>
    <t>역할</t>
    <phoneticPr fontId="10" type="noConversion"/>
  </si>
  <si>
    <t>적용 시험</t>
    <phoneticPr fontId="10" type="noConversion"/>
  </si>
  <si>
    <t>TTT/STT/TTS/STS 번역 처리</t>
  </si>
  <si>
    <t>접수·응시·채점·성적 전 과정</t>
  </si>
  <si>
    <t>3가지 시험 공통 필수</t>
  </si>
  <si>
    <t>5. 시험 모듈 시트</t>
  </si>
  <si>
    <t>AI 채점·번역·프롬프트 도우미</t>
  </si>
  <si>
    <t>3가지 시험 공통 활용</t>
  </si>
  <si>
    <t>⚠️ 기능 정의 미작성</t>
  </si>
  <si>
    <t>번역·프롬프트 답안 작성 환경</t>
  </si>
  <si>
    <t>AI 번역·프롬프트 시험</t>
  </si>
  <si>
    <t>5. 시험 모듈 내 포함</t>
  </si>
  <si>
    <t>출제자·채점자 자동 배정</t>
  </si>
  <si>
    <t>4. 공통 메뉴 내 포함</t>
  </si>
  <si>
    <t>최종 수정: 2025.05.20  |  v1.0  |  시험 종류: AI 번역 시험 · AI 프롬프트 시험 · AI 윤리 시험</t>
  </si>
  <si>
    <t>🧪 시험 종류 (3가지)</t>
    <phoneticPr fontId="10" type="noConversion"/>
  </si>
  <si>
    <t>번역·시험·GPT·에디터·결제 모듈</t>
  </si>
  <si>
    <t>시험·GPT·에디터·결제 모듈</t>
  </si>
  <si>
    <t>시험·결제 모듈</t>
  </si>
  <si>
    <t>🧩 모듈 목록 (시험 관련)</t>
    <phoneticPr fontId="10" type="noConversion"/>
  </si>
  <si>
    <t>상태</t>
    <phoneticPr fontId="10" type="noConversion"/>
  </si>
  <si>
    <t>AI 번역 시험 필수 / AI 프롬프트 시험 부분</t>
  </si>
  <si>
    <t>시험모듈 시트</t>
  </si>
  <si>
    <t>📊  기존 개발 세부 내역 — 이성일 개발자 (기존개발세부 내용_이성일.xlsx)</t>
  </si>
  <si>
    <t>※ 7년 전 원본 개발 스펙 + 최근 바이브(Vibe) 추가 기능 포함 | 시험 홈페이지 구축용 화면·기능 목록</t>
  </si>
  <si>
    <t>① 전체 화면 수 요약</t>
  </si>
  <si>
    <t>화면 수</t>
  </si>
  <si>
    <t>비율</t>
  </si>
  <si>
    <t>기존 개발 화면 (바이브들 기준)</t>
  </si>
  <si>
    <t>7년 전 원본 + 이성일 업그레이드</t>
  </si>
  <si>
    <t>추가 기능 화면 (바이브+)</t>
  </si>
  <si>
    <t>최근 바이브 코딩 추가 기능</t>
  </si>
  <si>
    <t>합계</t>
  </si>
  <si>
    <t>② 역할별 화면 수</t>
  </si>
  <si>
    <t>주요 기능 요약</t>
  </si>
  <si>
    <t>공통 (로그인·회원)</t>
  </si>
  <si>
    <t>수험생</t>
  </si>
  <si>
    <t>출제자</t>
  </si>
  <si>
    <t>마이페이지, 시험출제, 출제내역확인</t>
  </si>
  <si>
    <t>채점자</t>
  </si>
  <si>
    <t>통계 대시보드, 회원관리, 시험관리, 분류코드, 그룹코드</t>
  </si>
  <si>
    <t>③ 주요 개발 항목 상세</t>
  </si>
  <si>
    <t>세부 개발 내용</t>
  </si>
  <si>
    <t>규모</t>
  </si>
  <si>
    <t>테이블 10개 설계, Function 7개 생성</t>
  </si>
  <si>
    <t>테이블10 · 함수7</t>
  </si>
  <si>
    <t>기존</t>
  </si>
  <si>
    <t>회원가입·로그인·아이디찾기·비밀번호변경 + 전체 페이지 세션/페이징 재정립</t>
  </si>
  <si>
    <t>30건</t>
  </si>
  <si>
    <t>마이페이지, 시험응시, 시험접수, 자격증·교재·문제은행 신청·결제</t>
  </si>
  <si>
    <t>36화면</t>
  </si>
  <si>
    <t>8화면</t>
  </si>
  <si>
    <t>마이페이지, 채점목록, 개별채점 페이지</t>
  </si>
  <si>
    <t>13화면 (개별채점 6)</t>
  </si>
  <si>
    <t>91화면</t>
  </si>
  <si>
    <t>추가 (바이브+)</t>
  </si>
  <si>
    <t>문제페이지 7종, 문제은행, AI페이지 8종</t>
  </si>
  <si>
    <t>15화면</t>
  </si>
  <si>
    <t>신규</t>
  </si>
  <si>
    <t>온라인/오프라인 시험 선택 5종, 자동채점 시스템</t>
  </si>
  <si>
    <t>④ 현재 기획서 대비 시사점</t>
  </si>
  <si>
    <t>✅ 기존 개발 확인</t>
  </si>
  <si>
    <t>DB 테이블 10개·Function 7개가 이미 설계됨 → 3. 🗄️ DB 설계와 대조 필요</t>
  </si>
  <si>
    <t>✅ 화면 161개 확인</t>
  </si>
  <si>
    <t>현재 6. 🖥️ 화면 목록보다 훨씬 상세 → 화면 목록 업데이트 기준으로 활용 가능</t>
  </si>
  <si>
    <t>⚠️ 관리자 91화면</t>
  </si>
  <si>
    <t>현재 기획서의 관리자 메뉴보다 훨씬 많음 → 메뉴구조 재검토 필요</t>
  </si>
  <si>
    <t>⚠️ AI 페이지 8종 신규</t>
  </si>
  <si>
    <t>AI 기능이 추가(바이브+)로 분류됨 → GPT 모듈 기획서 작성 시 반영 필요</t>
  </si>
  <si>
    <t>⚠️ 자동채점 시스템</t>
  </si>
  <si>
    <t>신규 추가 항목 — 현재 DB 설계의 채점 방식과 연계 필요</t>
  </si>
  <si>
    <t>💡 온/오프라인 시험 선택</t>
  </si>
  <si>
    <t>온라인 시험 환경 분리가 필요함 → 화면 목록에 미포함 항목</t>
  </si>
  <si>
    <t>공통 (로그인·회원)</t>
    <phoneticPr fontId="10" type="noConversion"/>
  </si>
  <si>
    <t>회원가입·로그인·아이디찾기·비밀번호변경 + 세션/페이징(30건)</t>
    <phoneticPr fontId="10" type="noConversion"/>
  </si>
  <si>
    <t>기존</t>
    <phoneticPr fontId="10" type="noConversion"/>
  </si>
  <si>
    <t>수험생</t>
    <phoneticPr fontId="10" type="noConversion"/>
  </si>
  <si>
    <t>마이페이지·시험응시·접수·자격증/교재/문제은행 신청·결제</t>
    <phoneticPr fontId="10" type="noConversion"/>
  </si>
  <si>
    <t>출제자</t>
    <phoneticPr fontId="10" type="noConversion"/>
  </si>
  <si>
    <t>시험출제·출제 이어하기·출제내역확인</t>
    <phoneticPr fontId="10" type="noConversion"/>
  </si>
  <si>
    <t>채점자</t>
    <phoneticPr fontId="10" type="noConversion"/>
  </si>
  <si>
    <t>마이페이지·채점목록·개별채점(6화면)·채점내역</t>
    <phoneticPr fontId="10" type="noConversion"/>
  </si>
  <si>
    <t>관리자</t>
    <phoneticPr fontId="10" type="noConversion"/>
  </si>
  <si>
    <t>회원관리(다수)·시험관리·분류코드·그룹코드</t>
    <phoneticPr fontId="10" type="noConversion"/>
  </si>
  <si>
    <t>추가 (바이브+)</t>
    <phoneticPr fontId="10" type="noConversion"/>
  </si>
  <si>
    <t>온/오프라인시험선택·문제은행·문제페이지·자동채점시스템</t>
    <phoneticPr fontId="10" type="noConversion"/>
  </si>
  <si>
    <t>신규</t>
    <phoneticPr fontId="10" type="noConversion"/>
  </si>
  <si>
    <t>※ 실제 집계 기준 (전체 개발수정 30건 포함)</t>
  </si>
  <si>
    <t>⑤ 세부 기능·화면 목록 (실제 데이터 기준)</t>
  </si>
  <si>
    <t>중분류 (B열)</t>
  </si>
  <si>
    <t>세부 내용 (C열)</t>
  </si>
  <si>
    <t>화면수</t>
  </si>
  <si>
    <t>회원가입-이용약관</t>
  </si>
  <si>
    <t>로그인,관리자로그인</t>
  </si>
  <si>
    <t>접속화면</t>
  </si>
  <si>
    <t>아이디,비번, 찾기와 휴대폰.이메일인증</t>
  </si>
  <si>
    <t>비밀번호변경</t>
  </si>
  <si>
    <t>휴대푠, 이메일인증</t>
  </si>
  <si>
    <t>전체 개발수정</t>
  </si>
  <si>
    <t>세션관리 재 정립, 전체 페이지 페이징처리</t>
  </si>
  <si>
    <t>약관동의</t>
  </si>
  <si>
    <t>마케팅, 환불, 개인정보 동의 기타</t>
  </si>
  <si>
    <t>나의 문의 내역</t>
  </si>
  <si>
    <t>회원정보수정</t>
  </si>
  <si>
    <t>수험생 마이페이지</t>
  </si>
  <si>
    <t>주문내역 리스트</t>
  </si>
  <si>
    <t>시험 일정 리스트</t>
  </si>
  <si>
    <t>시험보기</t>
  </si>
  <si>
    <t>수험생 정보가져오기</t>
  </si>
  <si>
    <t>시험일정</t>
  </si>
  <si>
    <t>시험일정 정보가져오기</t>
  </si>
  <si>
    <t>사진 및 인적사항 확인</t>
  </si>
  <si>
    <t>사진업로드 기능 및 그룹코드 DB화 적용</t>
  </si>
  <si>
    <t>시험 결과 화면</t>
  </si>
  <si>
    <t>이름, 주민번호앞자리 넣어서 팝업으로 확인</t>
  </si>
  <si>
    <t>시험일자/시간 선택</t>
  </si>
  <si>
    <t>전자결재</t>
  </si>
  <si>
    <t>결재 연동</t>
  </si>
  <si>
    <t>자격증,교제,문제은행</t>
  </si>
  <si>
    <t>회원정보불러오기</t>
  </si>
  <si>
    <t>시험일정불러오기</t>
  </si>
  <si>
    <t>자격증 신청</t>
  </si>
  <si>
    <t>카드형,상장형, 확인서(자격, 봉사, 상장)(인쇄, 출력)</t>
  </si>
  <si>
    <t>자격증 미리보기</t>
  </si>
  <si>
    <t>교제,문제은행 신청</t>
  </si>
  <si>
    <t>교제 ,문제신청</t>
  </si>
  <si>
    <t>자격증교제,문제은행 선택내역확인</t>
  </si>
  <si>
    <t>자격증교제,문제은행 전자결제</t>
  </si>
  <si>
    <t>접수확인/변경/취소</t>
  </si>
  <si>
    <t>리스트</t>
  </si>
  <si>
    <t>변경</t>
  </si>
  <si>
    <t>시험문제 관련 리스트와 그룹별, 개인별, 분야별, 등급별</t>
  </si>
  <si>
    <t>분류와 구분과 디폴트, 설정등 모든것에</t>
  </si>
  <si>
    <t>년월별통합</t>
  </si>
  <si>
    <t>결제 현황통게</t>
  </si>
  <si>
    <t>급수별, 과정별, 분류별</t>
  </si>
  <si>
    <t>itt 회원조회</t>
  </si>
  <si>
    <t>결제 방식. 결제 상태별</t>
  </si>
  <si>
    <t>날짜 설정</t>
  </si>
  <si>
    <t>시험분류</t>
  </si>
  <si>
    <t>시험출제</t>
  </si>
  <si>
    <t>시험출제 이어하기</t>
  </si>
  <si>
    <t>출제내역 확인</t>
  </si>
  <si>
    <t>출제 내역확인, 새로운 문제 생성</t>
  </si>
  <si>
    <t>채점 목록</t>
  </si>
  <si>
    <t>시험 정보 목록</t>
  </si>
  <si>
    <t>개별채점 목록</t>
  </si>
  <si>
    <t>개별채점페이지</t>
  </si>
  <si>
    <t>개별채점 페이지</t>
  </si>
  <si>
    <t>코멘트 입력, 점수 저장, 시험 출제자 목록 저장 및 정답문 저장, 
다음 수험자 채점리스트 기능개발</t>
  </si>
  <si>
    <t>채점, 출제, 응시내용</t>
  </si>
  <si>
    <t>회원정보관리</t>
  </si>
  <si>
    <t>- 정보수정</t>
  </si>
  <si>
    <t>비밀번호 변경</t>
  </si>
  <si>
    <t>수험생 회원추가</t>
  </si>
  <si>
    <t>출제자/채점자</t>
  </si>
  <si>
    <t>분류코드</t>
  </si>
  <si>
    <t>그룹코드</t>
  </si>
  <si>
    <t>시험응시,출제,채점,관리</t>
  </si>
  <si>
    <t>공통페이지</t>
  </si>
  <si>
    <t>각각 페이지</t>
  </si>
  <si>
    <t>문제페이지</t>
  </si>
  <si>
    <t>만들기 , 추가하기, 수정하기 , 관리하기 -공통</t>
  </si>
  <si>
    <t>문제페이지 2</t>
  </si>
  <si>
    <t>비교표, 서술주관식, 채점에 따른 서술형</t>
  </si>
  <si>
    <t>문제은행 페이지</t>
  </si>
  <si>
    <t>문제은행에 따른</t>
  </si>
  <si>
    <t>AI페이지</t>
  </si>
  <si>
    <t>시험온라인 오프라인선택</t>
  </si>
  <si>
    <t>클라우드 기반, 다운에 의한 웹기반(MOS),  오프라인 종이시험</t>
  </si>
  <si>
    <t>공통기능  -만들기, 조회, 수정, 삭제, 숨기기, 저장</t>
  </si>
  <si>
    <t xml:space="preserve">항상 있는것 </t>
  </si>
  <si>
    <t xml:space="preserve">1개의 화면에서 - 테이플구조와 세부 내용보기와 관리구조 </t>
  </si>
  <si>
    <t xml:space="preserve">4단 8단, 엑셀, 숫자한눈에  </t>
  </si>
  <si>
    <t xml:space="preserve">통계, 디폴트, 분류와 검색기능 </t>
  </si>
  <si>
    <t xml:space="preserve">문제은행에 </t>
  </si>
  <si>
    <t xml:space="preserve">만들기 , 추가하기, 수정하기 , 관리하기 -공통 </t>
  </si>
  <si>
    <t>중분류</t>
  </si>
  <si>
    <t>소분류</t>
  </si>
  <si>
    <t>기능 및 화면수</t>
  </si>
  <si>
    <t>시험 사이트 화면 및 기능 단위별 일정표</t>
  </si>
  <si>
    <t>DB설계</t>
  </si>
  <si>
    <t>테이블설계</t>
  </si>
  <si>
    <t>테이블 10개 설계, function 7개 생성</t>
  </si>
  <si>
    <t>접수 테이블 컬럼 수정</t>
  </si>
  <si>
    <t>자격증 번호 채번마스터 생성 및 컬럼추가</t>
  </si>
  <si>
    <t>비밀번호 암호화 필요, 암호화모듈에 대한 피드백 제공</t>
  </si>
  <si>
    <t>관리자화면에서 로그인과 수험자로그인 분기처리</t>
  </si>
  <si>
    <t xml:space="preserve">아이디,비번, 찾기와 휴대폰.이메일인증 </t>
  </si>
  <si>
    <t>본인인증 api연동, api 연동에 대한 부분 기획필요</t>
  </si>
  <si>
    <t xml:space="preserve">휴대푠, 이메일인증 </t>
  </si>
  <si>
    <t>자격증추가신청</t>
  </si>
  <si>
    <t>시험취소, 자격증 취소</t>
  </si>
  <si>
    <t>취소내역</t>
  </si>
  <si>
    <t>자격증확인</t>
  </si>
  <si>
    <t>문제리스트 가져오기</t>
  </si>
  <si>
    <t>수험생 답문 임시저장, 최종완료 버튼기능</t>
  </si>
  <si>
    <t>전체 선택기능</t>
  </si>
  <si>
    <t>api 연동에 대한 부분 기획필요(값만 받아오게 개발완료)</t>
  </si>
  <si>
    <t>1대1문의</t>
  </si>
  <si>
    <t>1대1 성적문의 저장 결과</t>
  </si>
  <si>
    <t>회원정보 수정 기능</t>
  </si>
  <si>
    <t>시험일정리스트 조회</t>
  </si>
  <si>
    <t>자격증과 확인서 신청</t>
  </si>
  <si>
    <t>자격증 번호 채번기능추가(채번 마스터 db 설계)</t>
  </si>
  <si>
    <t xml:space="preserve">카드형,상장형(인쇄,출력), 인쇄형 </t>
  </si>
  <si>
    <t xml:space="preserve">교제,문제은행 신청 </t>
  </si>
  <si>
    <t xml:space="preserve">온라인 교제, 오프라인 교제  신청 </t>
  </si>
  <si>
    <t xml:space="preserve">시험팁,문제은행 신청 </t>
  </si>
  <si>
    <t xml:space="preserve">접수확인/변경/취소 </t>
  </si>
  <si>
    <r>
      <rPr>
        <sz val="11"/>
        <color rgb="FF000000"/>
        <rFont val="+mn-ea"/>
      </rPr>
      <t>시험출제</t>
    </r>
    <r>
      <rPr>
        <sz val="11"/>
        <color rgb="FF000000"/>
        <rFont val="맑은 고딕"/>
        <family val="3"/>
        <charset val="129"/>
      </rPr>
      <t xml:space="preserve"> 이어하기</t>
    </r>
  </si>
  <si>
    <r>
      <rPr>
        <sz val="11"/>
        <color rgb="FF000000"/>
        <rFont val="+mn-ea"/>
      </rPr>
      <t>출제내역</t>
    </r>
    <r>
      <rPr>
        <sz val="11"/>
        <color rgb="FF000000"/>
        <rFont val="맑은 고딕"/>
        <family val="3"/>
        <charset val="129"/>
      </rPr>
      <t xml:space="preserve"> 확인</t>
    </r>
  </si>
  <si>
    <t>1:1문의 답변/확인</t>
  </si>
  <si>
    <t>시험 응시자 리스트와 그룹별, 개인별 ,분야별, 등급별</t>
  </si>
  <si>
    <t>응시자 시험 정보 목록</t>
  </si>
  <si>
    <t xml:space="preserve">분류와 구분과 디폴트, 설정등 모든것에 </t>
  </si>
  <si>
    <t xml:space="preserve">일별 월별 분기별 년도별 통계와 세부 리스트와 내용보기 </t>
  </si>
  <si>
    <t>자격증 , 교제, 회차별, 문제통계, 급수별, 결제방식, 상태별</t>
  </si>
  <si>
    <t xml:space="preserve">급수별, 과정별, 분류별 </t>
  </si>
  <si>
    <t xml:space="preserve">통계 </t>
  </si>
  <si>
    <t xml:space="preserve">날짜 설정 </t>
  </si>
  <si>
    <t>합격자, 응시자, 가입자, 교제구입</t>
  </si>
  <si>
    <t xml:space="preserve">결제 방식. 결제 상태별 </t>
  </si>
  <si>
    <t xml:space="preserve">가입일, 수정일, 시험일, 자격발급일, 결제일, </t>
  </si>
  <si>
    <t>수험생리스트</t>
  </si>
  <si>
    <t>탈퇴회원보기</t>
  </si>
  <si>
    <t>출제자/채점자리스트</t>
  </si>
  <si>
    <t>회원추가</t>
  </si>
  <si>
    <t xml:space="preserve">출제 승인 </t>
  </si>
  <si>
    <t xml:space="preserve">문제수 (객간식주관식등등) / </t>
  </si>
  <si>
    <t>채점승인</t>
  </si>
  <si>
    <t xml:space="preserve">채점기준과 합격기준 </t>
  </si>
  <si>
    <t xml:space="preserve">만들기, 조회,등록,수정,삭제 </t>
  </si>
  <si>
    <t xml:space="preserve">분류 코드에 의한 </t>
  </si>
  <si>
    <t xml:space="preserve">성적, 문제은행, 평가 기반 </t>
  </si>
  <si>
    <t xml:space="preserve">시험과목, 등급, 급수 -만들기, 조회, 확장, 수정, 삭제, 추가 </t>
  </si>
  <si>
    <t>시험과목, 등급, 급수 수정, 삭제, 숨기기, 저장</t>
  </si>
  <si>
    <t>대분류/ 중/소 -만들기, 조회</t>
  </si>
  <si>
    <t>대분류 수정, 삭제, 숨기기, 저장</t>
  </si>
  <si>
    <t>그룹 저장, 조회, 삭제, 수정, 보이기 숨기기 기능 추가</t>
  </si>
  <si>
    <t xml:space="preserve">바이브들 </t>
  </si>
  <si>
    <t xml:space="preserve">시험응시,출제,채점,관리 </t>
  </si>
  <si>
    <t xml:space="preserve">공통페이지 </t>
  </si>
  <si>
    <t>공통 페이지 -만들기, 조회, 수정, 삭제, 숨기기, 저장</t>
  </si>
  <si>
    <t xml:space="preserve">각각 페이지 </t>
  </si>
  <si>
    <t>각각 페이지 -만들기, 조회, 수정, 삭제, 숨기기, 저장</t>
  </si>
  <si>
    <t xml:space="preserve">문제페이지 </t>
  </si>
  <si>
    <t xml:space="preserve">4지선다와 객관단답형, 간단주관식  </t>
  </si>
  <si>
    <t xml:space="preserve">비교표, 서술주관식, 채점에 따른 서술형 </t>
  </si>
  <si>
    <t xml:space="preserve">문제은행 페이지 </t>
  </si>
  <si>
    <t xml:space="preserve">공통 </t>
  </si>
  <si>
    <t xml:space="preserve">AI페이지-기본, 베이직 프리미엄 (서술포함) </t>
  </si>
  <si>
    <t xml:space="preserve">문제은행에 따른 </t>
  </si>
  <si>
    <t xml:space="preserve">시험온라인 오프라인선택 </t>
  </si>
  <si>
    <t>자동채점시스템 1</t>
  </si>
  <si>
    <t>자동채점 - 모든것 자동채점 (서술은 근사치)</t>
  </si>
  <si>
    <t>자동채점 시스템 2</t>
  </si>
  <si>
    <t xml:space="preserve">자동 채점에 따른 40- 80점사이만 채점 </t>
  </si>
  <si>
    <t xml:space="preserve">분야 대중소 확장과 급수확장에 따른 </t>
  </si>
  <si>
    <t xml:space="preserve">문제은행에 응시용, 연습용 데이터 활용가능케 </t>
  </si>
  <si>
    <t xml:space="preserve">문제은행 </t>
  </si>
  <si>
    <t>🔄  화면 통합 분석 — 이성일원본 기준 현대화 설계</t>
  </si>
  <si>
    <t>※ 7년 전 방식(상태마다 별도 페이지) → 현대 SPA(React/Vue) 기준 통합 설계 | 이성일원본 노트(R1~4): '1개 화면에서 테이블·상세·관리 통합'</t>
  </si>
  <si>
    <t>① 역할별 통합 전후 비교</t>
  </si>
  <si>
    <t>기존 화면수</t>
  </si>
  <si>
    <t>통합 후 화면수</t>
  </si>
  <si>
    <t>감소율</t>
  </si>
  <si>
    <t>핵심 통합 원리</t>
  </si>
  <si>
    <t>분리 유지</t>
  </si>
  <si>
    <t>95%↓</t>
  </si>
  <si>
    <t>Wizard(가입) + 탭(로그인·계정찾기) / 세션·페이징 30건은 코드 공통화</t>
  </si>
  <si>
    <t>86%↓</t>
  </si>
  <si>
    <t>Wizard(시험신청) + 탭형 마이페이지 1페이지에 집약</t>
  </si>
  <si>
    <t>결제 페이지</t>
  </si>
  <si>
    <t>63%↓</t>
  </si>
  <si>
    <t>출제 에디터 1개에 이어하기·자동저장 포함</t>
  </si>
  <si>
    <t>출제 에디터</t>
  </si>
  <si>
    <t>77%↓</t>
  </si>
  <si>
    <t>채점 작업대 1페이지 + 이전/다음 버튼 (기존 6화면→1화면)</t>
  </si>
  <si>
    <t>채점 작업대</t>
  </si>
  <si>
    <t>85%↓</t>
  </si>
  <si>
    <t>슬라이드패널 CRUD + 탭형 대시보드</t>
  </si>
  <si>
    <t>바이브+ AI</t>
  </si>
  <si>
    <t>100%↓</t>
  </si>
  <si>
    <t>기존 화면들에 패널/사이드바로 통합 (별도 화면 불필요)</t>
  </si>
  <si>
    <t>시험응시 화면</t>
  </si>
  <si>
    <t>88%↓</t>
  </si>
  <si>
    <t>164개 → 19개 (기존 노트 '1개 화면에서 관리'를 드디어 실현)</t>
  </si>
  <si>
    <t>5개 전용 화면</t>
  </si>
  <si>
    <t>② 통합 후 최종 화면 목록 (19개) — 각 화면이 흡수하는 기존 화면 표시</t>
  </si>
  <si>
    <t>#</t>
  </si>
  <si>
    <t>새 화면명</t>
  </si>
  <si>
    <t>화면 유형</t>
  </si>
  <si>
    <t>흡수하는 기존 화면 (이성일원본)</t>
  </si>
  <si>
    <t>반드시 분리?</t>
  </si>
  <si>
    <t>회원가입 Wizard</t>
  </si>
  <si>
    <t>단계형(Step UI)</t>
  </si>
  <si>
    <t>회원가입-이용약관(4화면) → 1페이지 4스텝</t>
  </si>
  <si>
    <t>약관→정보입력→본인인증→완료</t>
  </si>
  <si>
    <t>로그인 / 계정찾기</t>
  </si>
  <si>
    <t>탭(2개)</t>
  </si>
  <si>
    <t>로그인+관리자로그인(2) / 아이디찾기(1) / 비밀번호변경(1) → 탭으로 통합</t>
  </si>
  <si>
    <t>역할 자동 감지로 관리자·수험생 분기</t>
  </si>
  <si>
    <t>홈 / 대시보드</t>
  </si>
  <si>
    <t>시험일정(1) / 시험 결과 화면(1) → 카드형 통합</t>
  </si>
  <si>
    <t>시험 신청 Wizard</t>
  </si>
  <si>
    <t>시험접수(1) / 약관동의(1) / 사진·인적사항(1) / 시험일자선택(1) / 전자결재(1) / 접수확인·변경·취소(3)</t>
  </si>
  <si>
    <t>단계별 완료 후 상태 자동 반영</t>
  </si>
  <si>
    <t>전용 독립 화면</t>
  </si>
  <si>
    <t>시험응시 일정리스트(1) / 시험보기(4화면: 정보·수험생·문제·저장)</t>
  </si>
  <si>
    <t>🔴 분리 필수</t>
  </si>
  <si>
    <t>화면캡처방지·이탈감지·타이머 필요</t>
  </si>
  <si>
    <t>마이페이지 (탭)</t>
  </si>
  <si>
    <t>탭(5개)</t>
  </si>
  <si>
    <t>마이페이지(5화면) / 자격증교재문제은행 선택내역·결제(2) / 1대1문의(2) / 1대1성적문의(1)</t>
  </si>
  <si>
    <t>탭: 접수내역|자격증|구매내역|결제|문의</t>
  </si>
  <si>
    <t>구매 / 자격증 신청</t>
  </si>
  <si>
    <t>탭+Wizard</t>
  </si>
  <si>
    <t>자격증교재문제은행(8화면) / 자격증미리보기(3) / 교재문제은행신청(3) → 통합</t>
  </si>
  <si>
    <t>카테고리 탭으로 자격증·교재·문제은행 선택</t>
  </si>
  <si>
    <t>회원 설정</t>
  </si>
  <si>
    <t>회원정보관리(1) / 정보수정(1) / 비밀번호변경(1)</t>
  </si>
  <si>
    <t>출제 대시보드</t>
  </si>
  <si>
    <t>목록형</t>
  </si>
  <si>
    <t>출제자 마이페이지(1) / 출제내역확인(2) / 1:1문의(1)</t>
  </si>
  <si>
    <t>담당 시험·현황 탭</t>
  </si>
  <si>
    <t>시험출제(1) / 시험출제이어하기(1) → 1개로 통합(자동저장)</t>
  </si>
  <si>
    <t>문제유형 선택: 객관식/단답형/서술형/비교표</t>
  </si>
  <si>
    <t>회원정보수정(1) / 회원탈퇴(1)</t>
  </si>
  <si>
    <t>채점 대시보드</t>
  </si>
  <si>
    <t>채점자 마이페이지(1) / 채점목록(1) / 개별채점목록(1) / 채점내역(1) / 1대1문의(1)</t>
  </si>
  <si>
    <t>담당 채점·진도율 탭</t>
  </si>
  <si>
    <t>개별채점페이지 6화면 → 이전/다음 버튼 1페이지로</t>
  </si>
  <si>
    <t>좌: 답안 / 우: 채점판 / AI보조 패널 통합</t>
  </si>
  <si>
    <t>관리자 대시보드</t>
  </si>
  <si>
    <t>마이페이지 통계 15행 → 날짜·분류 필터로 단일 대시보드</t>
  </si>
  <si>
    <t>탭: 일별|월별|분기|연도 / KPI카드+차트</t>
  </si>
  <si>
    <t>목록+슬라이드패널</t>
  </si>
  <si>
    <t>회원관리 수험생(3) / 출제자채점자(3) / 승인관리 → 오른쪽 패널로 상세·수정·승인</t>
  </si>
  <si>
    <t>탭: 수험생|출제자|채점자|탈퇴</t>
  </si>
  <si>
    <t>시험관리(1) / 결제관리(1) + 분류코드기반 → 탭으로</t>
  </si>
  <si>
    <t>탭: 시험정보|접수현황|출제배정|채점배정|결과발표</t>
  </si>
  <si>
    <t>코드 / 그룹 관리</t>
  </si>
  <si>
    <t>분류코드(4) / 그룹코드(4) → 탭으로 통합</t>
  </si>
  <si>
    <t>만들기·수정·삭제·숨기기 모두 1페이지</t>
  </si>
  <si>
    <t>콘텐츠 관리</t>
  </si>
  <si>
    <t>탭(4개)</t>
  </si>
  <si>
    <t>공지사항 / FAQ / 배너 / 약관 → 탭으로 통합</t>
  </si>
  <si>
    <t>③ 바이브+ 신규 기능 — 기존 화면에 통합 위치</t>
  </si>
  <si>
    <t>바이브+ 항목</t>
  </si>
  <si>
    <t>기존 계획 화면수</t>
  </si>
  <si>
    <t>통합 위치</t>
  </si>
  <si>
    <t>구현 방식</t>
  </si>
  <si>
    <t>문제페이지 (4지선다·단답형)</t>
  </si>
  <si>
    <t>출제 에디터 화면 내</t>
  </si>
  <si>
    <t>문제 유형 선택 드롭다운 → 자동으로 입력 폼 변경</t>
  </si>
  <si>
    <t>문제페이지 2 (서술·비교표)</t>
  </si>
  <si>
    <t>서술형 에디터 / 비교표 UI 자동 전환</t>
  </si>
  <si>
    <t>출제 에디터 + 관리자 시험관리</t>
  </si>
  <si>
    <t>에디터: 문제은행에서 문제 삽입 패널 / 관리자: 시험관리 탭에 문제은행 탭 추가</t>
  </si>
  <si>
    <t>AI페이지 — 기본·베이직·프리미엄</t>
  </si>
  <si>
    <t>채점 작업대 우측 패널</t>
  </si>
  <si>
    <t>AI 채점 보조 패널 (채점 기준 자동 제안·유사도 점수·코멘트 초안)</t>
  </si>
  <si>
    <t>AI페이지 — 문제은행 기반</t>
  </si>
  <si>
    <t>출제 에디터 우측 패널</t>
  </si>
  <si>
    <t>AI 문제 생성 패널 (주제·분야·난이도 입력 → 문제 자동 생성)</t>
  </si>
  <si>
    <t>시험온라인·오프라인 선택 (5종)</t>
  </si>
  <si>
    <t>시험 신청 Wizard 3단계</t>
  </si>
  <si>
    <t>클라우드 온라인 / MOS다운로드 웹 / 오프라인 종이 → Wizard 내 선택 단계</t>
  </si>
  <si>
    <t>관리자 시험관리 탭에 통합</t>
  </si>
  <si>
    <t>출제·채점·응시 공통 설정은 탭 1개 / 개별 설정은 슬라이드패널</t>
  </si>
  <si>
    <t>등급 다양 (전문1~2/교육1~8/일반1~3)</t>
  </si>
  <si>
    <t>등급마다 별도 양식</t>
  </si>
  <si>
    <t>등급별 '채점 기준표' DB화 → 채점 화면에서 자동 로드</t>
  </si>
  <si>
    <t>DB 기반 동적 채점 기준</t>
  </si>
  <si>
    <t>문제은행 활용 (응시용/연습용)</t>
  </si>
  <si>
    <t>별도 관리 화면</t>
  </si>
  <si>
    <t>관리자 시험관리 탭에서 '응시용/연습용' 토글 + 문제은행 탭</t>
  </si>
  <si>
    <t>Flag 필드 + 필터</t>
  </si>
  <si>
    <t>분야 대중소 + 급수 확장</t>
  </si>
  <si>
    <t>분류 추가마다 개발 필요</t>
  </si>
  <si>
    <t>분류코드 관리 1페이지에서 트리 구조로 무한 확장</t>
  </si>
  <si>
    <t>Nested Tree Component</t>
  </si>
  <si>
    <t>채점 기준 다양 (자동/AI/휴먼/혼합)</t>
  </si>
  <si>
    <t>채점 방식마다 별도 화면</t>
  </si>
  <si>
    <t>채점 작업대에서 채점 방식 뱃지 표시 → AI 패널 자동 표시 여부 결정</t>
  </si>
  <si>
    <t>권한 기반 UI 분기</t>
  </si>
  <si>
    <t>④ 복잡한 시험 구조 처리 전략</t>
  </si>
  <si>
    <t>전략</t>
    <phoneticPr fontId="10" type="noConversion"/>
  </si>
  <si>
    <t>적용 대상</t>
    <phoneticPr fontId="10" type="noConversion"/>
  </si>
  <si>
    <t>구현 방법</t>
    <phoneticPr fontId="10" type="noConversion"/>
  </si>
  <si>
    <t>효과</t>
    <phoneticPr fontId="10" type="noConversion"/>
  </si>
  <si>
    <t>동적 역할 분기</t>
    <phoneticPr fontId="10" type="noConversion"/>
  </si>
  <si>
    <t>로그인 후 대시보드</t>
    <phoneticPr fontId="10" type="noConversion"/>
  </si>
  <si>
    <t>JWT 역할값 기반 → 수험생/출제자/채점자/관리자 각 대시보드 자동 이동</t>
    <phoneticPr fontId="10" type="noConversion"/>
  </si>
  <si>
    <t>로그인 1페이지로 모든 역할 처리</t>
    <phoneticPr fontId="10" type="noConversion"/>
  </si>
  <si>
    <t>단계형 Wizard</t>
    <phoneticPr fontId="10" type="noConversion"/>
  </si>
  <si>
    <t>시험 신청·회원가입</t>
    <phoneticPr fontId="10" type="noConversion"/>
  </si>
  <si>
    <t>현재 단계 저장 → 이탈 후 재접속 시 이어하기 지원</t>
    <phoneticPr fontId="10" type="noConversion"/>
  </si>
  <si>
    <t>여러 접수 화면 → 1개 Wizard</t>
    <phoneticPr fontId="10" type="noConversion"/>
  </si>
  <si>
    <t>탭 기반 통합</t>
    <phoneticPr fontId="10" type="noConversion"/>
  </si>
  <si>
    <t>마이페이지·관리자 메뉴</t>
    <phoneticPr fontId="10" type="noConversion"/>
  </si>
  <si>
    <t>URL param ?tab=results 으로 딥링크 지원</t>
    <phoneticPr fontId="10" type="noConversion"/>
  </si>
  <si>
    <t>5-15개 화면 → 탭 1개</t>
    <phoneticPr fontId="10" type="noConversion"/>
  </si>
  <si>
    <t>슬라이드 패널</t>
    <phoneticPr fontId="10" type="noConversion"/>
  </si>
  <si>
    <t>관리자 목록+상세</t>
    <phoneticPr fontId="10" type="noConversion"/>
  </si>
  <si>
    <t>목록 클릭 → 오른쪽 패널에 상세/수정 로드 (목록 유지)</t>
    <phoneticPr fontId="10" type="noConversion"/>
  </si>
  <si>
    <t>목록+상세+수정 3개 → 1개</t>
    <phoneticPr fontId="10" type="noConversion"/>
  </si>
  <si>
    <t>모달 처리</t>
    <phoneticPr fontId="10" type="noConversion"/>
  </si>
  <si>
    <t>간단한 등록·확인·경고</t>
    <phoneticPr fontId="10" type="noConversion"/>
  </si>
  <si>
    <t>추가/수정은 모달, 삭제는 인라인 확인</t>
    <phoneticPr fontId="10" type="noConversion"/>
  </si>
  <si>
    <t>별도 페이지 불필요</t>
    <phoneticPr fontId="10" type="noConversion"/>
  </si>
  <si>
    <t>무한 스크롤/페이징</t>
    <phoneticPr fontId="10" type="noConversion"/>
  </si>
  <si>
    <t>채점 목록·관리 목록</t>
    <phoneticPr fontId="10" type="noConversion"/>
  </si>
  <si>
    <t>서버사이드 페이징 + 검색 필터 동일 페이지</t>
    <phoneticPr fontId="10" type="noConversion"/>
  </si>
  <si>
    <t>목록 N개 → 1개 (필터 변경)</t>
    <phoneticPr fontId="10" type="noConversion"/>
  </si>
  <si>
    <t>동적 문제 렌더러</t>
    <phoneticPr fontId="10" type="noConversion"/>
  </si>
  <si>
    <t>시험 응시·출제 에디터</t>
    <phoneticPr fontId="10" type="noConversion"/>
  </si>
  <si>
    <t>문제 유형(객관식/주관식/서술형) JSON 기반 동적 렌더링</t>
    <phoneticPr fontId="10" type="noConversion"/>
  </si>
  <si>
    <t>문제 유형별 개별 화면 불필요</t>
    <phoneticPr fontId="10" type="noConversion"/>
  </si>
  <si>
    <t>문제은행 관리</t>
  </si>
  <si>
    <t>출제자·관리자</t>
  </si>
  <si>
    <t>⑤ AI 분석 결과지 — 수익 모델 (신규 추가)</t>
  </si>
  <si>
    <t>상품명</t>
  </si>
  <si>
    <t>제공 내용</t>
  </si>
  <si>
    <t>유/무료</t>
  </si>
  <si>
    <t>기초</t>
  </si>
  <si>
    <t>기본 분석표</t>
  </si>
  <si>
    <t>총점·합불 결과, 시험 영역별 점수 요약 (자동 생성)</t>
  </si>
  <si>
    <t>🆓 무료</t>
  </si>
  <si>
    <t>심화1</t>
  </si>
  <si>
    <t>세부 강약점 분석</t>
  </si>
  <si>
    <t>영역별 세부 강약점 분석 + 개선 포인트 제안 (AI 생성)</t>
  </si>
  <si>
    <t>💰 유료 기본</t>
  </si>
  <si>
    <t>심화2</t>
  </si>
  <si>
    <t>AI 맞춤 학습 분석</t>
  </si>
  <si>
    <t>개인화 오답 패턴 분석 + 맞춤 학습 경로 + 예상 합격 기간</t>
  </si>
  <si>
    <t>💰💰 유료 심화</t>
  </si>
  <si>
    <t>AI 코치 종합 보고서</t>
  </si>
  <si>
    <t>동료 비교 분석 + 전문가 수준 평가 + 재시험 전략 + 도메인별 심층 분석</t>
  </si>
  <si>
    <t>💰💰💰 유료 프리미엄</t>
  </si>
  <si>
    <t>💡 수익 구조</t>
  </si>
  <si>
    <t>🔴 반드시 분리 — 문제 CRUD, 카테고리, 난이도 관리 복합 작업, 출제 에디터 연동</t>
  </si>
  <si>
    <t>개인화 오답 패턴 + 맞춤 학습 경로 + 예상 합격 기간</t>
  </si>
  <si>
    <t xml:space="preserve">📝 개발 화면 명세 — 신규·추가 항목 (이성일 형식) </t>
  </si>
  <si>
    <t>※ 이 시트는 기존 이성일원본(131화면)에 추가되어야 할 신규 항목만 기재합니다. 기존 항목은 [이성일원본] 시트 참조.</t>
  </si>
  <si>
    <t>※ 구분: 신규=기획에서 새로 식별된 화면 | AI신규=AI 기능 관련 신규 화면 | 바이브+=이성일 바이브+ 항목에 추가</t>
  </si>
  <si>
    <t>기능 설명 / 기타</t>
  </si>
  <si>
    <t>출처 시트</t>
  </si>
  <si>
    <t>【공통】</t>
  </si>
  <si>
    <t>구독 관리</t>
  </si>
  <si>
    <t>구독 상품 선택</t>
  </si>
  <si>
    <t>프리미엄/스탠다드/베이직 선택 및 결제 연동</t>
  </si>
  <si>
    <t>3.DB설계</t>
  </si>
  <si>
    <t>구독 변경·취소</t>
  </si>
  <si>
    <t>현재 구독 상태 확인, 변경 및 취소 처리</t>
  </si>
  <si>
    <t>알림 방법 선택</t>
  </si>
  <si>
    <t>카카오톡/문자/이메일 수신 선택 및 저장</t>
  </si>
  <si>
    <t>【수험생】</t>
  </si>
  <si>
    <t>AI 분석 결과지</t>
  </si>
  <si>
    <t>기본 분석표 (무료)</t>
  </si>
  <si>
    <t>총점, 합불, 영역별 점수 요약 — 시험 후 자동 제공</t>
  </si>
  <si>
    <t>AI신규</t>
  </si>
  <si>
    <t>9.화면통합분석</t>
  </si>
  <si>
    <t>세부 강약점 분석 (유료1)</t>
  </si>
  <si>
    <t>영역별 세부 강약점 + AI 개선 포인트 제안</t>
  </si>
  <si>
    <t>AI 맞춤 분석 (유료2)</t>
  </si>
  <si>
    <t>AI 코치 보고서 (유료3)</t>
  </si>
  <si>
    <t>동료 비교 + 전문가 수준 평가 + 재시험 전략 + 도메인 심층</t>
  </si>
  <si>
    <t>분석 결과지 PDF 발급</t>
  </si>
  <si>
    <t>선택한 분석 결과지 PDF 다운로드 및 인쇄</t>
  </si>
  <si>
    <t>AI 분석 상품 결제</t>
  </si>
  <si>
    <t>유료 분석 구매</t>
  </si>
  <si>
    <t>심화/프리미엄 분석 결제 화면 (PG 연동)</t>
  </si>
  <si>
    <t>시험 유형별 응시</t>
  </si>
  <si>
    <t>AI 번역 시험 응시</t>
  </si>
  <si>
    <t>번역 에디터 + AI 도구(DeepL/파파고/ChatGPT) 통합 환경</t>
  </si>
  <si>
    <t>2.플랫폼개요</t>
  </si>
  <si>
    <t>AI 프롬프트 시험 응시</t>
  </si>
  <si>
    <t>프롬프트 입력창 + AI 결과 확인 + 수정 반복 환경</t>
  </si>
  <si>
    <t>AI 윤리 시험 응시</t>
  </si>
  <si>
    <t>객관식 + 단답형 혼합, 시간 제한 타이머</t>
  </si>
  <si>
    <t>응시 전 준비</t>
  </si>
  <si>
    <t>환경 점검 화면</t>
  </si>
  <si>
    <t>PC·브라우저 호환성, 카메라/마이크 사전 확인</t>
  </si>
  <si>
    <t>7.미결사항</t>
  </si>
  <si>
    <t>응시 중 안전</t>
  </si>
  <si>
    <t>부정행위 경고 화면</t>
  </si>
  <si>
    <t>다른 창 전환 감지 시 경고 팝업, 누적 시 응시 종료</t>
  </si>
  <si>
    <t>이의신청</t>
  </si>
  <si>
    <t>성적 이의신청</t>
  </si>
  <si>
    <t>성적 발표 후 이의신청 기간 내 신청 화면</t>
  </si>
  <si>
    <t>이의신청 결과 확인</t>
  </si>
  <si>
    <t>이의신청 처리 결과 및 변경 점수 확인</t>
  </si>
  <si>
    <t>단체 접수</t>
  </si>
  <si>
    <t>단체 접수 신청</t>
  </si>
  <si>
    <t>학교/기업 담당자가 여러 명 일괄 접수 (CSV 업로드 지원)</t>
  </si>
  <si>
    <t>수험표·증명서</t>
  </si>
  <si>
    <t>수험표 발급</t>
  </si>
  <si>
    <t>접수 확인 후 수험표 PDF 출력 화면</t>
  </si>
  <si>
    <t>5.시험모듈</t>
  </si>
  <si>
    <t>합격 확인서·성적 증명서</t>
  </si>
  <si>
    <t>합격자 대상 공식 증명서 PDF 발급 (전자 서명 포함)</t>
  </si>
  <si>
    <t>【출제자】</t>
  </si>
  <si>
    <t>문제은행</t>
  </si>
  <si>
    <t>문제은행 목록·검색</t>
  </si>
  <si>
    <t>카테고리/난이도/유형별 문제 검색 및 조회</t>
  </si>
  <si>
    <t>문제 등록</t>
  </si>
  <si>
    <t>신규 문제 등록 — 문제 유형(객관식/주관식/서술형)/배점/정답 설정</t>
  </si>
  <si>
    <t>문제 편집·삭제</t>
  </si>
  <si>
    <t>기존 문제 수정 및 삭제, 버전 이력 관리</t>
  </si>
  <si>
    <t>문제 미리보기</t>
  </si>
  <si>
    <t>실제 응시 화면에서 어떻게 보이는지 확인</t>
  </si>
  <si>
    <t>【채점자】</t>
  </si>
  <si>
    <t>AI 채점 보조</t>
  </si>
  <si>
    <t>AI 채점 제안 확인</t>
  </si>
  <si>
    <t>AI가 제안한 점수·피드백 확인 후 최종 점수 확정 화면</t>
  </si>
  <si>
    <t>【관리자】</t>
  </si>
  <si>
    <t>전체 문제 관리</t>
  </si>
  <si>
    <t>전체 문제 목록·분류·삭제, 출제자별 문제 현황</t>
  </si>
  <si>
    <t>난이도 분포 분석</t>
  </si>
  <si>
    <t>등급·유형별 문제 분포 현황 차트, 부족 영역 표시</t>
  </si>
  <si>
    <t>AI 분석 상품 관리</t>
  </si>
  <si>
    <t>분석 상품 설정</t>
  </si>
  <si>
    <t>무료/유료 각 단계 제공 내용, 가격 설정 화면</t>
  </si>
  <si>
    <t>분석 수익 현황</t>
  </si>
  <si>
    <t>분석 결과지 발급 수, 유료 전환율, 매출 통계 대시보드</t>
  </si>
  <si>
    <t>배너·팝업 관리</t>
  </si>
  <si>
    <t>메인 배너 이미지 등록/기간 설정 + 팝업 설정</t>
  </si>
  <si>
    <t>4.공통메뉴구조</t>
  </si>
  <si>
    <t>FAQ 등록·수정·삭제, 사이트별 구분 표시</t>
  </si>
  <si>
    <t>약관 버전 관리, 필수/선택 여부 설정</t>
  </si>
  <si>
    <t>구독 현황 대시보드</t>
  </si>
  <si>
    <t>등급별 가입자 수, 매출, 해지율 통계</t>
  </si>
  <si>
    <t>알림 관리</t>
  </si>
  <si>
    <t>알림 발송 설정</t>
  </si>
  <si>
    <t>시스템 알림 발송 조건·방법 설정, 발송 이력</t>
  </si>
  <si>
    <t>이의신청 관리</t>
  </si>
  <si>
    <t>이의신청 처리</t>
  </si>
  <si>
    <t>이의신청 목록 조회, 담당자 배정, 처리 결과 입력</t>
  </si>
  <si>
    <t>단체 접수 관리</t>
  </si>
  <si>
    <t>단체 접수 현황</t>
  </si>
  <si>
    <t>학교·기업 단체 접수 목록, 구성원별 접수 상태</t>
  </si>
  <si>
    <t>신규+AI신규</t>
  </si>
  <si>
    <t>📌 총 개발 화면</t>
  </si>
  <si>
    <t>이성일원본 131화면 + 신규 40화면 = 총 171화면 (DB설계·인프라 항목 제외)</t>
  </si>
  <si>
    <t>화면명</t>
  </si>
  <si>
    <t>/register</t>
  </si>
  <si>
    <t>홈/대시보드</t>
  </si>
  <si>
    <t>/home</t>
  </si>
  <si>
    <t>시험 접수</t>
  </si>
  <si>
    <t>/exams</t>
  </si>
  <si>
    <t>/my/results</t>
  </si>
  <si>
    <t>자격증·교재</t>
  </si>
  <si>
    <t>/my/certificates</t>
  </si>
  <si>
    <t>/my/profile</t>
  </si>
  <si>
    <t>/my/orders</t>
  </si>
  <si>
    <t>/my/support</t>
  </si>
  <si>
    <t>/examiner</t>
  </si>
  <si>
    <t>/examiner/profile</t>
  </si>
  <si>
    <t>/grader</t>
  </si>
  <si>
    <t>/grader/grade/:id</t>
  </si>
  <si>
    <t>/grader/profile</t>
  </si>
  <si>
    <t>/admin</t>
  </si>
  <si>
    <t>/admin/members</t>
  </si>
  <si>
    <t>/admin/exams</t>
  </si>
  <si>
    <t>성적/결과 관리</t>
  </si>
  <si>
    <t>/admin/results</t>
  </si>
  <si>
    <t>/admin/certs</t>
  </si>
  <si>
    <t>/admin/payments</t>
  </si>
  <si>
    <t>/admin/contents</t>
  </si>
  <si>
    <t>시스템 설정</t>
  </si>
  <si>
    <t>/admin/settings</t>
  </si>
  <si>
    <t>B2B 홈</t>
  </si>
  <si>
    <t>/b2b</t>
  </si>
  <si>
    <t>기업 회원가입</t>
  </si>
  <si>
    <t>/b2b/register</t>
  </si>
  <si>
    <t>/b2b/apply</t>
  </si>
  <si>
    <t>B2B 마이페이지</t>
  </si>
  <si>
    <t>/b2b/my</t>
  </si>
  <si>
    <t>① 공통 — 로그인 · 회원가입 (2개)</t>
  </si>
  <si>
    <t>페이지번호</t>
  </si>
  <si>
    <t>URL / 경로</t>
  </si>
  <si>
    <t>P-01</t>
  </si>
  <si>
    <t>/</t>
  </si>
  <si>
    <t>P-02</t>
  </si>
  <si>
    <t>P-03</t>
  </si>
  <si>
    <t>시험 안내 🆕</t>
  </si>
  <si>
    <t>/exam-guide/:type</t>
  </si>
  <si>
    <t>🆕</t>
  </si>
  <si>
    <t>P-04</t>
  </si>
  <si>
    <t>P-05</t>
  </si>
  <si>
    <t>P-06</t>
  </si>
  <si>
    <t>/practice</t>
  </si>
  <si>
    <t>P-07</t>
  </si>
  <si>
    <t>⛔ 시험 응시</t>
  </si>
  <si>
    <t>/exam/take</t>
  </si>
  <si>
    <t>P-08</t>
  </si>
  <si>
    <t>P-09</t>
  </si>
  <si>
    <t>AI 분석 결과 🆕</t>
  </si>
  <si>
    <t>/my/analysis/:id</t>
  </si>
  <si>
    <t>P-10</t>
  </si>
  <si>
    <t>P-11</t>
  </si>
  <si>
    <t>P-12</t>
  </si>
  <si>
    <t>P-13</t>
  </si>
  <si>
    <t>수험표</t>
  </si>
  <si>
    <t>/my/ticket</t>
  </si>
  <si>
    <t>P-14</t>
  </si>
  <si>
    <t>문의</t>
  </si>
  <si>
    <t>③ 출제자 — 복잡한 출제 효율화 (4개)</t>
  </si>
  <si>
    <t>P-15</t>
  </si>
  <si>
    <t>P-16</t>
  </si>
  <si>
    <t>⛔ 출제 에디터</t>
  </si>
  <si>
    <t>P-17</t>
  </si>
  <si>
    <t>/examiner/questions</t>
  </si>
  <si>
    <t>P-18</t>
  </si>
  <si>
    <t>마이페이지(출제자)</t>
  </si>
  <si>
    <t>④ 채점자 — 1시간 최대 처리량 (3개)</t>
  </si>
  <si>
    <t>P-19</t>
  </si>
  <si>
    <t>P-20</t>
  </si>
  <si>
    <t>⛔ 채점 작업대</t>
  </si>
  <si>
    <t>P-21</t>
  </si>
  <si>
    <t>마이페이지(채점자)</t>
  </si>
  <si>
    <t>P-22</t>
  </si>
  <si>
    <t>P-23</t>
  </si>
  <si>
    <t>P-24</t>
  </si>
  <si>
    <t>P-25</t>
  </si>
  <si>
    <t>/admin/questions</t>
  </si>
  <si>
    <t>P-26</t>
  </si>
  <si>
    <t>P-27</t>
  </si>
  <si>
    <t>P-28</t>
  </si>
  <si>
    <t>결제/정산</t>
  </si>
  <si>
    <t>P-29</t>
  </si>
  <si>
    <t>P-30</t>
  </si>
  <si>
    <t>⑥ B2B — 기업·학교 단체 접수 (4개)</t>
  </si>
  <si>
    <t>P-31</t>
  </si>
  <si>
    <t>P-32</t>
  </si>
  <si>
    <t>P-33</t>
  </si>
  <si>
    <t>P-34</t>
  </si>
  <si>
    <t># AI 시험 플랫폼 — 화면 개발 지시서 (AI Prompt / 디자이너 / 개발자용)</t>
  </si>
  <si>
    <t>&gt; 이 문서를 AI(ChatGPT·Claude)에게 붙여넣고 '이 스펙으로 [화면명] 화면을 만들어줘'라고 지시하세요.</t>
  </si>
  <si>
    <t>&gt; 디자이너·개발자도 이 문서를 기준으로 작업합니다.</t>
  </si>
  <si>
    <t>---</t>
  </si>
  <si>
    <t>## 📌 프로젝트 개요</t>
  </si>
  <si>
    <t>- **서비스명**: AI 시험 플랫폼 (가칭: 휴텍씨)</t>
  </si>
  <si>
    <t>- **시험 3종**: AI 번역 시험 / AI 프롬프트 시험 / AI 윤리 시험</t>
  </si>
  <si>
    <t>- **총 화면 수**: 34개 (⛔독립 보안 환경 3개 포함)</t>
  </si>
  <si>
    <t>- **수익 모델**: 시험 접수료 + 연습문제 패키지 + AI 분석 리포트 + 자격증·교재 + B2B 단체 접수</t>
  </si>
  <si>
    <t>- **기술 스택**: React.js (Next.js) · Node.js · MySQL · JWT · 토스페이먼츠 · AWS</t>
  </si>
  <si>
    <t>## 🎯 역할별 설계 원칙</t>
  </si>
  <si>
    <t>### 수험생 (UX + 넛지 + 수익 Hook)</t>
  </si>
  <si>
    <t>- 버튼 텍스트 예시: '실전처럼 연습하기', '내 약점을 AI가 분석해드립니다', '지금 자격증 신청하기'</t>
  </si>
  <si>
    <t>### 출제자 (효율 + 실수 방지)</t>
  </si>
  <si>
    <t>- 등급·분야가 매우 다양함 → 현재 컨텍스트(어떤 등급, 어떤 분야)를 항상 상단에 표시</t>
  </si>
  <si>
    <t>- 저장·수정·삭제에 확인 팝업, 자동저장(10초) 필수</t>
  </si>
  <si>
    <t>### 채점자 (속도 + 통계 실시간)</t>
  </si>
  <si>
    <t>- 1시간에 최대한 많은 채점 처리가 목표</t>
  </si>
  <si>
    <t>### 관리자 (전체 현황 + 빠른 처리)</t>
  </si>
  <si>
    <t>- 진행중 시험·채점 완료율·미처리 문의·결제 현황을 대시보드 1화면에서 파악</t>
  </si>
  <si>
    <t>## 💰 수익 Hook 포인트 (9곳)</t>
  </si>
  <si>
    <t>| 위치 | Hook 내용 | CTA 버튼 텍스트 예시 |</t>
  </si>
  <si>
    <t>|------|-----------|---------------------|</t>
  </si>
  <si>
    <t>| 회원가입 완료 | 시험 안내 유도 | '시험 구조 알아보기' |</t>
  </si>
  <si>
    <t>| 홈 대시보드 D-7일 | 연습문제 업셀 | '연습문제 무료 체험' |</t>
  </si>
  <si>
    <t>| 시험 접수 완료 | 연습문제 구매 | '실전처럼 연습하기' |</t>
  </si>
  <si>
    <t>| P-06 연습문제 | 연습 패키지 판매 | '기본팩 구매 / 무제한 구매' |</t>
  </si>
  <si>
    <t>| P-08 성적 확인 | AI 분석 리포트 판매 | '내 약점을 AI가 분석해드립니다 →' |</t>
  </si>
  <si>
    <t>| P-09 AI 분석 결과 | 재시험 준비 유도 | '다음 시험 바로 접수하기' |</t>
  </si>
  <si>
    <t>| P-10 자격증 | 자격증·교재 판매 | '자격증 신청하기 / 디지털 배지 받기' |</t>
  </si>
  <si>
    <t>| P-11 마이페이지 | 구독 업그레이드 | '프리미엄으로 업그레이드' |</t>
  </si>
  <si>
    <t>| P-31~34 B2B | 단체 접수 유도 | '우리 기업 단체 접수 문의하기' |</t>
  </si>
  <si>
    <t>## 📱 화면별 개발 지시서</t>
  </si>
  <si>
    <t>### [P-01] 로그인 (/)</t>
  </si>
  <si>
    <t>**목적**: 첫 인상으로 신뢰감 형성 + 빠른 로그인</t>
  </si>
  <si>
    <t>**레이아웃**: 좌우 2분할</t>
  </si>
  <si>
    <t>- 좌측 (40%): 시험 자격증 이미지 + '대한민국 No.1 AI 번역 자격증' 헤드카피 + 합격자 수 통계</t>
  </si>
  <si>
    <t>- 우측 (60%): 로그인 폼</t>
  </si>
  <si>
    <t>**컴포넌트**:</t>
  </si>
  <si>
    <t>- '아이디 찾기' / '비밀번호 재설정' → 모달 팝업 (별도 페이지 불필요)</t>
  </si>
  <si>
    <t>**보안**: 5회 실패 → 10분 계정 잠금 + 이메일 알림</t>
  </si>
  <si>
    <t>**AI 지시**: '전문 시험 플랫폼 로그인 화면. 우측에 로그인 폼, 좌측에 권위 있는 이미지. 깔끔하고 신뢰감 있는 디자인. 색상: 네이비(#1F3864) + 흰색.'</t>
  </si>
  <si>
    <t>### [P-02] 회원가입 (/register)</t>
  </si>
  <si>
    <t>**목적**: 신규 수험생 온보딩, 완료 후 시험 안내로 자연 이동</t>
  </si>
  <si>
    <t>**레이아웃**: 중앙 카드형 Wizard</t>
  </si>
  <si>
    <t>- Step 1/4: 이용약관 (필수/선택 체크박스, 전체 동의 버튼)</t>
  </si>
  <si>
    <t>- Step 2/4: 본인 인증 (휴대폰 SMS 인증코드 6자리)</t>
  </si>
  <si>
    <t>- Step 3/4: 기본 정보 (이름·이메일·비밀번호·국적 선택)</t>
  </si>
  <si>
    <t>- Step 4/4: 가입 완료 → '시험 안내 보러가기' CTA 버튼 (넛지)</t>
  </si>
  <si>
    <t>**넛지**: 완료 화면에 '첫 시험 접수 시 10% 할인' 쿠폰 발급 안내</t>
  </si>
  <si>
    <t>**AI 지시**: '4단계 회원가입 Wizard. 상단 진행바(1/2/3/4 스텝 표시). 모바일 우선 설계.'</t>
  </si>
  <si>
    <t>### [P-03] 시험 안내 /exam-guide/:examType 🆕</t>
  </si>
  <si>
    <t>**목적**: 접수 전 시험 권위와 가치 전달 → 접수 전환율 향상</t>
  </si>
  <si>
    <t>**레이아웃**: 풀페이지 랜딩 구성</t>
  </si>
  <si>
    <t>- Hero: 시험명 + '업계 인정 No.1' 뱃지 + 합격자 수 통계 숫자 (카운터 애니메이션)</t>
  </si>
  <si>
    <t>- Section 1: 등급 구조 인포그래픽 (전문1~2급, 교육1~8급, 일반1~3급)</t>
  </si>
  <si>
    <t>- Section 2: 시험 과목·시간·합격 기준 표</t>
  </si>
  <si>
    <t>- Section 3: 합격 후 혜택 (이력서 활용, 취업 우대 기업 로고)</t>
  </si>
  <si>
    <t>- Section 4: 합격자 후기 카드 (3개)</t>
  </si>
  <si>
    <t>- 하단 고정 CTA 바: '지금 접수하기' (강조색) + '연습문제 먼저 풀어보기'</t>
  </si>
  <si>
    <t>**AI 지시**: '권위 있는 자격증 시험 소개 랜딩 페이지. TOEIC 공식 사이트 스타일 참고. 신뢰감·전문성 강조.'</t>
  </si>
  <si>
    <t>### [P-05] 시험 접수 (/exams)</t>
  </si>
  <si>
    <t>**목적**: 시험 선택부터 결제까지 한 번의 Wizard로 완료</t>
  </si>
  <si>
    <t>**Wizard 4단계**:</t>
  </si>
  <si>
    <t>- ④완료: 수험번호 발급 + '연습문제로 실전처럼 준비하세요!' 배너+버튼 (💰 Hook)</t>
  </si>
  <si>
    <t>**AI 지시**: '4단계 시험 접수 Wizard. Step별 진행바. 마지막 단계에 연습문제 구매 유도 카드.'</t>
  </si>
  <si>
    <t>### [P-06] 연습문제 구매·응시 (/practice) 🆕 💰</t>
  </si>
  <si>
    <t>**목적**: 접수 후 실전 준비 + 수익 창출</t>
  </si>
  <si>
    <t>**상단**: 패키지 선택 카드 3개</t>
  </si>
  <si>
    <t>- 무료 체험: 1회, 기본 문항 5개</t>
  </si>
  <si>
    <t>- 기본팩 (유료): 3회, 시험 유형별 실전 문제 세트</t>
  </si>
  <si>
    <t>**결제 후**: 즉시 연습 응시 화면 진입 (실제 시험과 동일 UI)</t>
  </si>
  <si>
    <t>**완료 후**: '실전 시험도 이렇게 느껴집니다. 아직 접수 안 하셨나요?' CTA</t>
  </si>
  <si>
    <t>**AI 지시**: '3단계 가격 카드 UI (무료/기본/프리미엄). 결제 후 바로 응시 전환.'</t>
  </si>
  <si>
    <t>### [P-07] ⛔ 시험 응시 (/exam/take) — 독립 보안 환경 필수</t>
  </si>
  <si>
    <t>**보안 요구사항**:</t>
  </si>
  <si>
    <t>- 다른 창 전환 시: 경고 팝업 → 3회 초과 시 자동 종료·기록</t>
  </si>
  <si>
    <t>- 화면 캡처 방지 (CSS user-select: none, 우클릭 비활성화)</t>
  </si>
  <si>
    <t>**레이아웃**:</t>
  </si>
  <si>
    <t>- 상단 고정 바: 시험명 + 남은 시간 (빨강, 5분 이하 깜빡임) + 현재 문항/전체</t>
  </si>
  <si>
    <t>- 좌측 사이드: 문항 번호 목록 (완료=초록, 현재=파랑, 미완=회색)</t>
  </si>
  <si>
    <t xml:space="preserve">  · 번역시험: 원문(좌) + 번역 입력창(우) + AI 번역기 버튼</t>
  </si>
  <si>
    <t xml:space="preserve">  · 프롬프트시험: 프롬프트 입력창 + AI 실행 버튼 + 결과 확인창</t>
  </si>
  <si>
    <t xml:space="preserve">  · 윤리시험: 객관식 선택지 또는 단답형 입력창</t>
  </si>
  <si>
    <t>- 10초마다 자동저장. 하단: '임시저장됨 HH:MM' 표시</t>
  </si>
  <si>
    <t>**AI 지시**: '시험 응시 전용 풀스크린 UI. 집중 환경. 타이머 빨간색 강조. 사이드에 문항 진행 현황.'</t>
  </si>
  <si>
    <t>### [P-16] ⛔ 출제 에디터 (/examiner/compose/:examId) — 독립 환경</t>
  </si>
  <si>
    <t>**목적**: 복잡한 등급·분야 출제를 실수 없이 효율적으로</t>
  </si>
  <si>
    <t>**레이아웃**: 3패널</t>
  </si>
  <si>
    <t xml:space="preserve">  · 등급별 → 분야별 → 문항 번호 계층 구조</t>
  </si>
  <si>
    <t xml:space="preserve">  · 현재 편집 중 문항 하이라이트</t>
  </si>
  <si>
    <t xml:space="preserve">  · 완료=초록 뱃지, 미완=주황 뱃지</t>
  </si>
  <si>
    <t xml:space="preserve">  · 상단: 현재 컨텍스트 바 — '전문1급 &gt; 법률 분야 &gt; 3번 문항'</t>
  </si>
  <si>
    <t xml:space="preserve">  · 문제 입력 (리치텍스트 에디터, 이미지 첨부 가능)</t>
  </si>
  <si>
    <t xml:space="preserve">  · 정답 입력 (복수 정답 지원)</t>
  </si>
  <si>
    <t xml:space="preserve">  · 배점 설정 + 난이도 선택</t>
  </si>
  <si>
    <t xml:space="preserve">  · AI 도움말 버튼: 유사어 제안·문체 교정</t>
  </si>
  <si>
    <t xml:space="preserve">  · 하단: '이전 문항' / '저장 후 다음 문항' 버튼</t>
  </si>
  <si>
    <t xml:space="preserve">  · 수험생이 보게 될 화면 그대로 렌더링</t>
  </si>
  <si>
    <t xml:space="preserve">  · 체크리스트: 문제O / 정답O / 배점O / 난이도O</t>
  </si>
  <si>
    <t>**자동저장**: 10초마다. 우상단에 '자동저장됨 HH:MM' 표시</t>
  </si>
  <si>
    <t>**검토 요청**: 상단 우 '검토 요청 보내기' 버튼 → 관리자 알림 발송</t>
  </si>
  <si>
    <t>**AI 지시**: '출제자를 위한 3패널 에디터. 좌=문항목록, 중=편집기, 우=미리보기. 복잡한 등급/분야 네비게이션.'</t>
  </si>
  <si>
    <t>### [P-20] ⛔ 채점 작업대 (/grader/grade/:examId) — 독립 환경</t>
  </si>
  <si>
    <t>**목적**: 1시간에 최대 건수 처리, 오류 최소화</t>
  </si>
  <si>
    <t xml:space="preserve">  · 원문(회색 배경) + 수험생 답안(흰색 배경) 나란히 표시</t>
  </si>
  <si>
    <t xml:space="preserve">  · 모범 답안 펼치기 버튼 (확인 후 채점)</t>
  </si>
  <si>
    <t xml:space="preserve">  · 점수 슬라이더 (0~100) + 직접 입력 병행</t>
  </si>
  <si>
    <t xml:space="preserve">  · 빠른 버튼: [합격] [불합격] [보류]</t>
  </si>
  <si>
    <t xml:space="preserve">  · 키보드 단축키 안내: P=합격 / F=불합격 / H=보류 / Enter=다음</t>
  </si>
  <si>
    <t xml:space="preserve">  · 메모 입력란 (내부용, 수험생 미노출)</t>
  </si>
  <si>
    <t>- 하단: [← 이전] [다음 → Enter] 버튼</t>
  </si>
  <si>
    <t>**이탈 보호**: 채점 내용 자동 저장, 재접속 시 이어서 채점</t>
  </si>
  <si>
    <t>**AI 지시**: '채점자 전용 고속 처리 UI. 키보드 중심 조작. 실시간 통계 사이드바. 속도와 정확도 모두 최우선.'</t>
  </si>
  <si>
    <t>### [P-22] 관리자 대시보드 (/admin)</t>
  </si>
  <si>
    <t>**목적**: 전체 운영 현황을 한눈에 파악</t>
  </si>
  <si>
    <t>**레이아웃**: 그리드 대시보드</t>
  </si>
  <si>
    <t>- 상단 KPI 카드 4개: 오늘 응시자수 / 진행중 시험 / 채점 완료율 / 오늘 결제 금액</t>
  </si>
  <si>
    <t>- 최근 1대1 문의 5건 (바로 답변 버튼)</t>
  </si>
  <si>
    <t>**AI 지시**: '관리자 대시보드. 실시간 KPI 카드 + 타임라인 + 알림 패널. 다크/라이트 테마 지원.'</t>
  </si>
  <si>
    <t>## 🔧 공통 개발 가이드라인</t>
  </si>
  <si>
    <t>### 컬러 시스템</t>
  </si>
  <si>
    <t>- Primary: #1F3864 (네이비 — 권위·신뢰)</t>
  </si>
  <si>
    <t>- Secondary: #2E5FA3 (블루 — 행동 유도 버튼)</t>
  </si>
  <si>
    <t>- Success: #375623 (초록 — 합격·완료)</t>
  </si>
  <si>
    <t>- Warning: #C00000 (빨강 — 마감·위험)</t>
  </si>
  <si>
    <t>- Revenue: #7030A0 (보라 — 유료 기능·프리미엄)</t>
  </si>
  <si>
    <t>- Background: #F5F9FF (연파 — 배경 교차색)</t>
  </si>
  <si>
    <t>### 넛지 문구 가이드</t>
  </si>
  <si>
    <t>- 긍정 언어 사용: '~하면 더 잘 됩니다' (O) / '~하지 않으면 불이익' (X)</t>
  </si>
  <si>
    <t>- 행동 유도: 구체적 숫자 + 혜택 명시 ('연습문제 3회 풀면 합격률 28% 향상')</t>
  </si>
  <si>
    <t>- 시간 긴박감: D-day 카운트다운, '마감 임박' 배지</t>
  </si>
  <si>
    <t>### API 엔드포인트 (예시)</t>
  </si>
  <si>
    <t>- POST /api/exams/:id/register — 접수</t>
  </si>
  <si>
    <t>- GET /api/results/:userId — 성적 조회</t>
  </si>
  <si>
    <t>- POST /api/grade/:examId/submit — 채점 제출</t>
  </si>
  <si>
    <t>*이 문서는 AI 시험 플랫폼 개발을 위한 지시서입니다. 각 [P-NN] 섹션을 AI에게 복사하여 화면 개발을 요청하세요.*</t>
  </si>
  <si>
    <t>※ ⛔=보안 독립 환경 필수 | 💰=수익 Hook | 🆕=신규 추가 | 💾=데이터 수익화 | 이성일원본 131화면 대비 약 72% 감소</t>
  </si>
  <si>
    <t>주요 기능</t>
  </si>
  <si>
    <t>화면 구성 지시 (UI/UX)</t>
  </si>
  <si>
    <t>• JWT 발급 + 역할별 리다이렉트
• 소셜 로그인(카카오·네이버·구글)
• 아이디 찾기·비밀번호 재설정
• 5회 실패 시 10분 잠금</t>
  </si>
  <si>
    <t>좌측: 시험 권위 이미지+'대한민국 No.1 AI 자격증' 카피
우측: 이메일+비밀번호 폼, 소셜 버튼
아이디찾기·비번재설정 → 모달(별도 페이지 불필요)</t>
  </si>
  <si>
    <t>• 4단계 Wizard
• 휴대폰 SMS 본인인증
• 기본정보 입력
• 이용약관 동의(필수/선택 구분)</t>
  </si>
  <si>
    <t>상단 진행바(Step 1/2/3/4)
①약관 → ②SMS인증 → ③정보입력 → ④완료
완료 화면: '시험 안내 보러가기' CTA 버튼(넛지)</t>
  </si>
  <si>
    <t>② 수험생 — 넛지 퍼널 + 데이터 수익 (12개)</t>
  </si>
  <si>
    <t>• 시험 유형별 권위 랜딩(3종 각각)
• 등급·과목·시험시간 인포그래픽
• 합격 후 혜택 섹션
• 합격자 후기</t>
  </si>
  <si>
    <t>Hero: 시험 로고+카피
인포그래픽 섹션
합격자 후기 슬라이더
CTA: '지금 접수하기'(강조)+' 연습문제 풀기'(보조)</t>
  </si>
  <si>
    <t>• D-day 카운트다운
• 접수 현황 카드
• 공지사항(최신 3개)
• 빠른 메뉴(접수·연습·결과)
• D-7일 이하 자동 팝업</t>
  </si>
  <si>
    <t>상단 배너: 'D-{N}일 남았습니다'
중앙: 접수 현황 카드
하단 2열: 공지+빠른메뉴
D-7일 이하 → 연습문제 무료체험 팝업 자동 노출</t>
  </si>
  <si>
    <t>• 시험 선택(종류·등급·일정·지역 필터)
• 약관 동의
• 결제
• 완료+수험표 즉시 조회</t>
  </si>
  <si>
    <t>Wizard 4단계
완료화면: '연습문제로 준비하세요' 넛지 배너+버튼</t>
  </si>
  <si>
    <t>💰</t>
  </si>
  <si>
    <t>연습문제 🆕</t>
  </si>
  <si>
    <t>• 패키지 선택(무료1회/기본3회/프리미엄)
• 결제 후 즉시 응시
• 실제 시험과 동일 환경
• 결과 후 '실전 접수하기' CTA</t>
  </si>
  <si>
    <t>상단: 3종 패키지 카드(가격·포함횟수·혜택)
결제 후: 즉시 연습 응시 모드 진입
결과 화면: 틀린 문제 요약+'실전 접수' CTA</t>
  </si>
  <si>
    <t>🆕 💰</t>
  </si>
  <si>
    <t>⛔</t>
  </si>
  <si>
    <t>성적 &amp; 분석</t>
  </si>
  <si>
    <t>💰 💾</t>
  </si>
  <si>
    <t>• 구매 후 접근
• 영역별 레이더차트
• 강·약점 AI 해석
• 학습 경로 추천
• PDF 다운로드
• 유사 합격자 비교</t>
  </si>
  <si>
    <t>상단: 레이더차트(영역별 점수)
중단: AI 텍스트 분석(강점/약점/추천 학습)
하단 좌: 합격자 평균 비교 바차트
하단 우: PDF다운+공유+'다음 시험 준비' CTA</t>
  </si>
  <si>
    <t>🆕 💰 💾</t>
  </si>
  <si>
    <t>• 자격증 신청·배송 추적
• 디지털 배지 다운로드
• 교재·문제은행 구매
• 자격증 미리보기</t>
  </si>
  <si>
    <t>탭 2개: ①자격증 / ②교재·문제은행
자격증 탭: 합격건별 신청+배송상태+미리보기
LinkedIn 배지 추가 버튼(공유 Hook)
교재탭: 상품 카드+결제</t>
  </si>
  <si>
    <t>• 개인정보 수정
• 구독 관리(업그레이드·해지)
• 알림 설정(카톡·SMS·이메일)
• 회원 탈퇴</t>
  </si>
  <si>
    <t>탭 3개: ①개인정보 / ②구독 / ③알림
구독 탭: 현재 등급 배지+'프리미엄 업그레이드' 배너</t>
  </si>
  <si>
    <t>결제·주문</t>
  </si>
  <si>
    <t>• 결제 내역(필터별)
• 영수증 PDF 다운로드
• 환불 신청</t>
  </si>
  <si>
    <t>목록+필터(전체/접수/연습/분석/자격증)
환불 버튼 클릭→환불정책 팝업→신청 폼</t>
  </si>
  <si>
    <t>• 접수 건별 수험표 조회
• PDF 출력
• 시험장 지도 링크</t>
  </si>
  <si>
    <t>접수 건 카드 목록
수험표 미리보기 모달+PDF 출력 버튼</t>
  </si>
  <si>
    <t>• 1대1 문의(분류→작성→제출→이메일 알림)
• 이의신청(성적 발표 후 기간 내)
• 문의 내역 조회</t>
  </si>
  <si>
    <t>탭 2개: ①1대1문의 / ②이의신청
이의신청 탭: 기간 외엔 비활성화+남은기간 표시</t>
  </si>
  <si>
    <t>• 담당 시험 목록(상태 필터)
• 출제 진행률
• '이어서 출제하기' 빠른 버튼</t>
  </si>
  <si>
    <t>시험별 카드: 시험명·등급·분야·마감일·진행률 바
필터: 출제중/검토중/완료
'이어서 출제' CTA 즉시 노출</t>
  </si>
  <si>
    <t>/examiner/compose/:id</t>
  </si>
  <si>
    <t>• 등급·분야·유형·난이도 다중 필터
• 문제 등록·수정·삭제·미리보기
• 엑셀 일괄 업로드
• 사용 횟수·정답률 통계 확인</t>
  </si>
  <si>
    <t>목록+필터 영역
문제 카드: 요약·배점·사용횟수·수정일
등록·수정: 모달 처리(별도 페이지 불필요)
엑셀 업로드 버튼+결과 미리보기</t>
  </si>
  <si>
    <t>💾</t>
  </si>
  <si>
    <t>• 개인정보 수정
• 출제 내역(시험별 실적)
• 1대1 문의</t>
  </si>
  <si>
    <t>탭: ①개인정보 / ②출제 실적 / ③문의</t>
  </si>
  <si>
    <t>• 담당 채점 목록
• 시험별 완료/미완/보류 수
• 오늘 목표 vs 실적 진행바
• '채점 시작/이어서' 버튼</t>
  </si>
  <si>
    <t>시험별 카드: 채점현황 게이지
오늘 처리량 목표 진행바
'이어서 채점' CTA 즉시 노출</t>
  </si>
  <si>
    <t>• 개인정보 수정
• 채점 실적(월별)
• 정산 내역
• 문의</t>
  </si>
  <si>
    <t>탭: ①개인정보 / ②채점 실적 / ③정산 / ④문의</t>
  </si>
  <si>
    <t>⑤ 관리자 — 전체 현황 한눈에 (12개, 신규 3개 포함)</t>
  </si>
  <si>
    <t>• 실시간 KPI 카드(오늘 응시자·진행중 시험·채점 완료율·결제 금액)
• 시험 현황 타임라인
• 미처리 문의·이의신청 뱃지
• 전체 시험 상태 타일뷰</t>
  </si>
  <si>
    <t>KPI 카드 4개(상단)
중앙: 시험 현황 타임라인
우측: 오늘 알림 목록
하단: 전체 시험 상태 타일</t>
  </si>
  <si>
    <t>• 수험생·출제자·채점자 탭
• 다중 필터(상태·구독·가입일)
• 일괄 처리(알림·정지)
• 슬라이드 패널 상세/수정/승인</t>
  </si>
  <si>
    <t>탭 전환 + 검색+필터 바
목록 테이블(체크박스+일괄처리)
우측 슬라이드패널: 상세·수정·구독변경·승인</t>
  </si>
  <si>
    <t>• 시험 등록·수정·삭제
• 접수현황
• 출제자·채점자 배정
• 결과 발표 스케줄</t>
  </si>
  <si>
    <t>탭: 시험정보·접수현황·출제배정·채점배정·결과발표
시험 등록·수정: 모달 처리
배정: 검색 선택 or 드래그&amp;드롭</t>
  </si>
  <si>
    <t>• 전체 문제 조회(등급·분야·난이도 필터)
• 난이도 분포 차트
• 승인·반려 처리
• 문제별 정답률 통계</t>
  </si>
  <si>
    <t>필터 바 + 목록 테이블
난이도 분포 도넛차트(우측)
승인·반려: 인라인 버튼
정답률 컬럼: 색상 바(낮으면 빨강)</t>
  </si>
  <si>
    <t>• 시험별 성적 목록
• 합격·불합격·보류 현황
• 이의신청 처리
• 성적 발표 일괄 처리</t>
  </si>
  <si>
    <t>탭: 성적목록·이의신청
성적 목록: 합격률 차트+목록
이의신청: 접수→검토→결과 입력 플로우</t>
  </si>
  <si>
    <t>• 발급 신청 목록(상태별)
• 자격증 디자인 템플릿 관리
• 배송 정보 업데이트</t>
  </si>
  <si>
    <t>상태 탭: 신청·출력중·배송중·완료
디자인 탭: 템플릿 미리보기+편집</t>
  </si>
  <si>
    <t>• 결제 내역+필터
• 환불 처리
• AI 분석 상품 수익 현황
• 구독 등급별 매출 차트
• 정산 엑셀 다운로드</t>
  </si>
  <si>
    <t>결제 목록 테이블
수익 차트(기간별 매출, 상품별 비중 파이차트)
환불 탭: 신청목록+처리
엑셀 다운로드 버튼</t>
  </si>
  <si>
    <t>• 공지사항·FAQ·배너·팝업·약관 등록·수정·삭제
• 노출 ON/OFF
• 챗봇 안내 메시지 설정</t>
  </si>
  <si>
    <t>탭: 공지·FAQ·메인배너·팝업·이용약관
각 탭: 목록+인라인 노출 토글+수정 모달</t>
  </si>
  <si>
    <t>• 분류코드(등급·분야·영역)
• 구독 등급 혜택
• 알림 템플릿(카톡·SMS·이메일)
• AI 분석 상품 가격
• 결제 기준 단가</t>
  </si>
  <si>
    <t>탭: 분류코드·구독등급·알림템플릿·AI상품·결제기준
각 탭: 목록+편집 폼</t>
  </si>
  <si>
    <t>📊 상세 통계 🆕</t>
  </si>
  <si>
    <t>/admin/stats</t>
  </si>
  <si>
    <t>• 일·주·월별 접수자 추이
• 시험 유형별 합격률
• 매출 집계(일·월별)
• 회원 가입 추이
• 문제별 정답률(교재 제작 활용)
• AI 분석 구매 통계</t>
  </si>
  <si>
    <t>상단: 기간 선택기(일·주·월)+시험분류 필터
차트 4개: 접수자추이(라인)·합격률(바)·매출(라인)·회원가입(바)
하단: 문제별 정답률 테이블(교재 제작 데이터)
Excel 다운로드 버튼</t>
  </si>
  <si>
    <t>🆕 💾</t>
  </si>
  <si>
    <t>💬 챗봇 관리 🆕</t>
  </si>
  <si>
    <t>/admin/chatbot</t>
  </si>
  <si>
    <t>• 챗봇 FAQ 항목 등록·수정
• 대화 로그 조회
• 미답변 질문 목록
• 챗봇 ON/OFF 설정</t>
  </si>
  <si>
    <t>탭: FAQ관리·대화로그·미답변·설정
FAQ 탭: 질문+답변 등록 폼(카테고리 구분)
로그 탭: 대화 타임라인 조회
설정 탭: 챗봇 노출 ON/OFF+환영 메시지</t>
  </si>
  <si>
    <t>💾 데이터 수익화 🆕</t>
  </si>
  <si>
    <t>/admin/data</t>
  </si>
  <si>
    <t>• 문제은행 데이터 통계(교재 제작 활용)
• AI 분석 학습 데이터 현황
• 데이터 상품(교재·API·분석 서비스) 관리
• 데이터 내보내기(CSV·JSON)</t>
  </si>
  <si>
    <t>탭: 문제통계·AI데이터·상품관리·내보내기
문제통계 탭: 정답률·오답패턴 히트맵
AI데이터 탭: 학습 데이터 볼륨+품질 지표
상품관리: 교재/API/분석 상품 등록+가격</t>
  </si>
  <si>
    <t>• 기업 고객 랜딩
• 단체 접수 혜택(할인율·관리 편의)
• 도입 기업 사례
• '단체 접수 문의' CTA</t>
  </si>
  <si>
    <t>Hero: '기업 단체 접수 — 편리하고 합리적으로'
혜택 섹션: 아이콘+설명 3개
도입 사례 슬라이더
CTA 버튼(강조)</t>
  </si>
  <si>
    <t>P-35</t>
  </si>
  <si>
    <t>• 기업 정보 입력
• 사업자등록번호 인증
• 담당자 정보
• 관리자 승인 후 활성화</t>
  </si>
  <si>
    <t>단계형 폼: 기업정보→담당자→완료
완료 후 '승인 대기 중' 안내 + 이메일 알림</t>
  </si>
  <si>
    <t>P-36</t>
  </si>
  <si>
    <t>• 구성원 엑셀 일괄 업로드
• 업로드 미리보기+오류 표시
• 일괄 결제(세금계산서)
• 구성원별 접수 상태 조회</t>
  </si>
  <si>
    <t>업로드 드래그&amp;드롭 영역
미리보기 테이블(오류행 빨강)
결제 확인 모달
완료 후 구성원 접수 현황 테이블</t>
  </si>
  <si>
    <t>P-37</t>
  </si>
  <si>
    <t>• 단체 접수 내역
• 구성원 관리(추가·삭제·재접수)
• 세금계산서 발행
• 단체 성적 현황 요약</t>
  </si>
  <si>
    <t>탭: 접수내역·구성원관리·결제·성적현황
성적현황 탭: 구성원별 합불 현황 표
B2B 분석 리포트 구매 CTA</t>
  </si>
  <si>
    <t>총 37화면</t>
  </si>
  <si>
    <t>공통2·수험생12·출제자4·채점자3·관리자12·B2B4</t>
  </si>
  <si>
    <t>⛔ 분리필수 3개 | 💰 수익 Hook | 💾 데이터 수익화 | 🆕 신규 추가</t>
  </si>
  <si>
    <t>◆ 신규 19. 연습문제 관리 (화면P-06 기반)</t>
  </si>
  <si>
    <t>연습문제 패키지</t>
  </si>
  <si>
    <t>패키지 번호</t>
  </si>
  <si>
    <t>PRAC001</t>
  </si>
  <si>
    <t>패키지명</t>
  </si>
  <si>
    <t>기본 3회 팩</t>
  </si>
  <si>
    <t>시험 종목 (FK)</t>
  </si>
  <si>
    <t>제공 횟수</t>
  </si>
  <si>
    <t>가격</t>
  </si>
  <si>
    <t>결제 기준 관리 연동</t>
  </si>
  <si>
    <t>노출 여부</t>
  </si>
  <si>
    <t>연습 응시 기록</t>
  </si>
  <si>
    <t>연습 응시 번호</t>
  </si>
  <si>
    <t>EX241010001</t>
  </si>
  <si>
    <t>회원 번호 (FK)</t>
  </si>
  <si>
    <t>회원 정보 참조</t>
  </si>
  <si>
    <t>패키지 번호 (FK)</t>
  </si>
  <si>
    <t>연습문제 패키지 참조</t>
  </si>
  <si>
    <t>응시일</t>
  </si>
  <si>
    <t>오답 목록 (JSON)</t>
  </si>
  <si>
    <t>JSON</t>
  </si>
  <si>
    <t>문항별 정답/오답 저장 (AI 학습 데이터용)</t>
  </si>
  <si>
    <t>◆ 신규 20. AI 분석 리포트 (화면P-08·P-09 기반)</t>
  </si>
  <si>
    <t>AI 분석 리포트</t>
  </si>
  <si>
    <t>리포트 번호</t>
  </si>
  <si>
    <t>RPT001</t>
  </si>
  <si>
    <t>접수 관리 번호 (FK)</t>
  </si>
  <si>
    <t>시험 접수 참조</t>
  </si>
  <si>
    <t>분석 등급</t>
  </si>
  <si>
    <t>무료기본 / 심화1 / 심화2 / 프리미엄</t>
  </si>
  <si>
    <t>구매 여부</t>
  </si>
  <si>
    <t>Y(유료) / N(무료기본)</t>
  </si>
  <si>
    <t>분석 내용 (JSON)</t>
  </si>
  <si>
    <t>영역별점수·강약점·추천학습경로 JSON</t>
  </si>
  <si>
    <t>생성일</t>
  </si>
  <si>
    <t>PDF URL</t>
  </si>
  <si>
    <t>S3 저장 경로</t>
  </si>
  <si>
    <t>◆ 신규 21. 구독 관리 (화면P-11 기반)</t>
  </si>
  <si>
    <t>구독 등급 정의</t>
  </si>
  <si>
    <t>등급 코드</t>
  </si>
  <si>
    <t>PREMIUM / STANDARD / BASIC</t>
  </si>
  <si>
    <t>월 가격</t>
  </si>
  <si>
    <t>혜택 목록 (JSON)</t>
  </si>
  <si>
    <t>연습문제 횟수·AI분석·할인율 등 JSON</t>
  </si>
  <si>
    <t>회원 구독 이력</t>
  </si>
  <si>
    <t>구독 이력 번호</t>
  </si>
  <si>
    <t>등급 코드 (FK)</t>
  </si>
  <si>
    <t>구독 등급 정의 참조</t>
  </si>
  <si>
    <t>시작일</t>
  </si>
  <si>
    <t>종료일</t>
  </si>
  <si>
    <t>자동 갱신</t>
  </si>
  <si>
    <t>◆ 신규 22. B2B 기업·단체 (화면P-34~37 기반)</t>
  </si>
  <si>
    <t>B2B 기업 정보</t>
  </si>
  <si>
    <t>기업 번호</t>
  </si>
  <si>
    <t>BIZ001</t>
  </si>
  <si>
    <t>기업명</t>
  </si>
  <si>
    <t>삼성전자</t>
  </si>
  <si>
    <t>담당자명</t>
  </si>
  <si>
    <t>담당자 이메일</t>
  </si>
  <si>
    <t>승인 상태</t>
  </si>
  <si>
    <t>대기 / 승인 / 반려</t>
  </si>
  <si>
    <t>단체 접수 번호</t>
  </si>
  <si>
    <t>GRP001</t>
  </si>
  <si>
    <t>기업 번호 (FK)</t>
  </si>
  <si>
    <t>B2B 기업 정보 참조</t>
  </si>
  <si>
    <t>시험 정보 (FK)</t>
  </si>
  <si>
    <t>구성원 목록 (JSON)</t>
  </si>
  <si>
    <t>회원번호 배열 또는 미가입자 정보</t>
  </si>
  <si>
    <t>구성원 미가입 시 처리 방식 확인</t>
  </si>
  <si>
    <t>세금계산서 발행</t>
  </si>
  <si>
    <t>◆ 신규 23. 학습 이력·오답 분석 (데이터 수익화용)</t>
  </si>
  <si>
    <t>학습 이력</t>
  </si>
  <si>
    <t>이력 번호</t>
  </si>
  <si>
    <t>AI번역/AI프롬프트/AI윤리</t>
  </si>
  <si>
    <t>세부 영역</t>
  </si>
  <si>
    <t>평균 점수 (해당 영역)</t>
  </si>
  <si>
    <t>시험 횟수별 추이</t>
  </si>
  <si>
    <t>분석 번호</t>
  </si>
  <si>
    <t>문제 번호 (FK)</t>
  </si>
  <si>
    <t>문제 및 채점 참조</t>
  </si>
  <si>
    <t>오답률</t>
  </si>
  <si>
    <t>문제별 전체 오답 비율 집계</t>
  </si>
  <si>
    <t>교재 제작 활용</t>
  </si>
  <si>
    <t>주요 오답 패턴 (JSON)</t>
  </si>
  <si>
    <t>가장 많이 틀린 오답 내용 집계</t>
  </si>
  <si>
    <t>AI 학습 데이터</t>
  </si>
  <si>
    <t>집계 날짜</t>
  </si>
  <si>
    <t>통계 집계 기준일</t>
  </si>
  <si>
    <t>◆ 신규 24. 챗봇 (화면P-29·P-32 기반)</t>
  </si>
  <si>
    <t>챗봇 FAQ</t>
  </si>
  <si>
    <t>FAQ 번호</t>
  </si>
  <si>
    <t>BOT001</t>
  </si>
  <si>
    <t>질문 키워드</t>
  </si>
  <si>
    <t>자격증 배송</t>
  </si>
  <si>
    <t>답변 내용</t>
  </si>
  <si>
    <t>접수·결제·시험·자격증·기타</t>
  </si>
  <si>
    <t>노출 순위</t>
  </si>
  <si>
    <t>챗봇 대화 로그</t>
  </si>
  <si>
    <t>대화 번호</t>
  </si>
  <si>
    <t>비로그인 시 NULL</t>
  </si>
  <si>
    <t>대화 내용 (JSON)</t>
  </si>
  <si>
    <t>질문·답변 타임스탬프 배열</t>
  </si>
  <si>
    <t>미답변 여부</t>
  </si>
  <si>
    <t>미답변=관리자 확인 필요</t>
  </si>
  <si>
    <t>대화 시작일시</t>
  </si>
  <si>
    <t>DATETIME</t>
  </si>
  <si>
    <t>◆ 신규 25. 통계 집계 (화면P-31 기반 — 관리자 상세 통계)</t>
  </si>
  <si>
    <t>통계 집계</t>
  </si>
  <si>
    <t>집계 번호</t>
  </si>
  <si>
    <t>집계 유형</t>
  </si>
  <si>
    <t>일별 / 주별 / 월별 / 시험분류별</t>
  </si>
  <si>
    <t>기준 날짜</t>
  </si>
  <si>
    <t>전체 또는 특정 종목</t>
  </si>
  <si>
    <t>접수자 수</t>
  </si>
  <si>
    <t>응시자 수</t>
  </si>
  <si>
    <t>합격자 수</t>
  </si>
  <si>
    <t>합격률</t>
  </si>
  <si>
    <t>소수점 1자리 (%)</t>
  </si>
  <si>
    <t>매출 합계</t>
  </si>
  <si>
    <t>당일/주/월 결제 합계</t>
  </si>
  <si>
    <t>신규 회원 수</t>
  </si>
  <si>
    <t>AI 분석 구매 수</t>
  </si>
  <si>
    <t>수익화 지표</t>
  </si>
  <si>
    <t>━━━━ 아래는 화면 설계 기반 신규 추가 DB 엔티티 (5개 섹션 / 오렌지 배경) ━━━━</t>
  </si>
  <si>
    <t>🌐 기타 서비스 계획 — 시험 외 원본 엑셀 자료 복원 (추후 개발)</t>
  </si>
  <si>
    <t>※ 원본 기획서의 시험 외 서비스 목록입니다. 시험 플랫폼 완료 후 단계적 개발 예정.</t>
  </si>
  <si>
    <t>① 메타번역 플랫폼 — AI 번역 서비스</t>
  </si>
  <si>
    <t>서비스명</t>
  </si>
  <si>
    <t>AI 문서·영상 번역</t>
  </si>
  <si>
    <t>TTT(문서), STT(음성→텍스트), TTS(텍스트→음성), STS(음성→음성). AI 에디터+번역 결과 관리</t>
  </si>
  <si>
    <t>동시통역 매칭</t>
  </si>
  <si>
    <t>전문 통역사 매칭</t>
  </si>
  <si>
    <t>동시통역 전문가와 수요자 매칭. 시간·언어·분야별 필터. 긴급 옵션</t>
  </si>
  <si>
    <t>비즈니스 번역</t>
  </si>
  <si>
    <t>계약서·제안서·보고서 등 특화 번역. 포맷 유지 변환</t>
  </si>
  <si>
    <t>법률 문서</t>
  </si>
  <si>
    <t>법률 전문 번역</t>
  </si>
  <si>
    <t>법률 계약서·특허·공증 번역. 법률 전문가 검토 연결</t>
  </si>
  <si>
    <t>웹툰·자막</t>
  </si>
  <si>
    <t>미디어 번역</t>
  </si>
  <si>
    <t>웹툰 말풍선, 유튜브·다큐·예능 자막 번역</t>
  </si>
  <si>
    <t>② 전문가 매칭 서비스 — 다양한 분야 연결</t>
  </si>
  <si>
    <t>유형</t>
  </si>
  <si>
    <t>상위 1% 매칭</t>
  </si>
  <si>
    <t>고급 전문가</t>
  </si>
  <si>
    <t>통역·번역·법률·컨설팅 상위 1% 전문가 매칭. 레벨 인증</t>
  </si>
  <si>
    <t>간병인 매칭</t>
  </si>
  <si>
    <t>간병·요양</t>
  </si>
  <si>
    <t>자격 보유 간병인과 요양 가정 매칭. 지역·언어 조건</t>
  </si>
  <si>
    <t>반도체 전문가</t>
  </si>
  <si>
    <t>반도체 컨설팅</t>
  </si>
  <si>
    <t>반도체·나노 기술 전문가 단기 자문 매칭</t>
  </si>
  <si>
    <t>강의 전문가</t>
  </si>
  <si>
    <t>강사 매칭</t>
  </si>
  <si>
    <t>기업 강의·특강·학교 강사 매칭</t>
  </si>
  <si>
    <t>영업 매칭</t>
  </si>
  <si>
    <t>영업 전문가</t>
  </si>
  <si>
    <t>B2B 영업, 해외 판로 개척 전문가 매칭</t>
  </si>
  <si>
    <t>③ 기타 확장 서비스 (구분값만 존재, 기획 초기)</t>
  </si>
  <si>
    <t>문서 독해</t>
  </si>
  <si>
    <t>AI 요약·번역 연동 독서 플랫폼</t>
  </si>
  <si>
    <t>기획 초기</t>
  </si>
  <si>
    <t>전시·영업</t>
  </si>
  <si>
    <t>전시회·갤러리 큐레이터 매칭, 영업 큐레이션</t>
  </si>
  <si>
    <t>협업 플랫폼</t>
  </si>
  <si>
    <t>다수 전문가 협업, 크라우드소싱 번역·검수</t>
  </si>
  <si>
    <t>사직서 서비스</t>
  </si>
  <si>
    <t>사직서·내용증명 등 법률 문서 자동 생성</t>
  </si>
  <si>
    <t>온라인·오프라인 분기 | 응시유형 3종(연습·응시·단체) | 문제유형 자동 렌더링 5가지: ①OX·4지선다·단답형→자동채점 ②서술형단문→AI기초채점 ③서술형장문(A4분량)→AI기초채점 ④비교의견형(원문+번역 나란히, 의견입력) ⑤비교수정형(원문+편집창 병렬) | 자동저장 30초 | 이탈감지 경고 | 화면캡처방지 | 최종답안 제출</t>
  </si>
  <si>
    <t>좌패널: 문제목록(번호+완료여부 색상) | 중앙: 문제유형별 컴포넌트 렌더링—객관식:라디오·체크박스, 서술형:에디터+글자수카운터, 비교형:좌우분할(원문|편집창) | 상단: 시험명·남은시간 카운트다운·진행률바 | 하단: 이전/다음·임시저장·최종제출 | 우하단고정: 긴급연락 버튼 | 보안: 우클릭·드래그·복사 차단</t>
  </si>
  <si>
    <t>합불판정·총점·영역별점수 | 등급·시험유형별 다른 결과 레이아웃(번역/프롬프트/윤리 각각 다른 템플릿) | 무료 기본분석 자동 제공 | AI상세분석 유료구매 CTA | PDF 결과지 다운로드 | 이의신청 버튼 | 자격증 신청 넛지</t>
  </si>
  <si>
    <t>상단: 합불 마크(대형)+등급·점수 | 중앙: 영역별 점수 레이더차트+강약점 요약 | 하단: 'AI 상세 분석 받기 🔓' 유료CTA 카드(금액·미리보기 포함) | 시험유형별 다른 결과템플릿 렌더링 | 등급별 색상테마 적용</t>
  </si>
  <si>
    <t>⑦ 추가 페이지 — 샘플공개 · 관리자CMS (2개)</t>
  </si>
  <si>
    <t>P-38</t>
  </si>
  <si>
    <t>📋 시험 문제 샘플 🆕</t>
  </si>
  <si>
    <t>/exam-sample/:id</t>
  </si>
  <si>
    <t>공개 URL(인증불요) | 시험유형별 샘플 1~3문제 체험(실제응시환경동일) | 답안입력가능 but 채점없음(체험전용) | '지금 접수하기' CTA 상단·하단 고정 | 관리자 CRUD가능(샘플내용·링크·공개여부)</t>
  </si>
  <si>
    <t>Hero: '이런 형태의 시험입니다' + 시험유형 아이콘 | 중앙: 샘플문제(문제유형별 실제UI) | 하단고정: 접수CTA버튼(강조색) | 관리자 편집모드: 인라인 에디터</t>
  </si>
  <si>
    <t>🆕신규·💰수익Hook</t>
  </si>
  <si>
    <t>P-39</t>
  </si>
  <si>
    <t>🛠️ 화면 CMS 관리 🆕</t>
  </si>
  <si>
    <t>/admin/cms</t>
  </si>
  <si>
    <t>역할별(수험생·출제자·채점자·B2B) 모든화면의 동적콘텐츠 설정 | 버튼텍스트·링크·노출여부 | 전체/역할별 공지배너 문구 | 팝업 스케줄링 | 시험일정 강조배너 | 즉시적용·예약발행 선택</t>
  </si>
  <si>
    <t>좌: 역할→페이지 트리선택 | 중앙: 선택페이지의 수정가능요소 목록(버튼텍스트/링크/공지/배너/팝업) | 우: 실시간 미리보기 패널 | 상단: 즉시적용·예약발행 토글 | 저장 시 CDN캐시 자동 갱신</t>
  </si>
  <si>
    <t>🆕신규</t>
  </si>
  <si>
    <t>📱 화면 목록 최종안 — 역할별·넛지·수익 Hook 최적화 (총 39화면)</t>
  </si>
  <si>
    <t>## ✏️ 시험 응시 화면 (P-07) — 문제 유형별 상세 지시</t>
  </si>
  <si>
    <t>### 온라인·오프라인·응시유형 분기 처리</t>
  </si>
  <si>
    <t>- 온라인: 브라우저 응시, 환경체크 후 입장</t>
  </si>
  <si>
    <t>- 오프라인: 현장 OMR/답안지 → 채점자가 관리자에서 결과 입력</t>
  </si>
  <si>
    <t>- 응시유형: `연습용`(체험, 합불없음) / `응시용`(실제시험) / `단체용`(기업/학교 일괄)</t>
  </si>
  <si>
    <t>### 문제 유형 5가지 — 동적 컴포넌트로 구현</t>
  </si>
  <si>
    <t>#### ① 객관식 (OX / 4지선다 / 단답형) — 자동채점</t>
  </si>
  <si>
    <t>- UI: 라디오버튼(4지선다) / 토글버튼(OX) / 텍스트 단답형</t>
  </si>
  <si>
    <t>- 채점: 정답DB와 대조, 즉시채점 또는 제출 후 일괄</t>
  </si>
  <si>
    <t>- 개발: `&lt;QuestionObjective&gt;` 컴포넌트, `answer` prop으로 정답 전달</t>
  </si>
  <si>
    <t>#### ② 서술형 단문 (간단 서술) — AI 기초채점</t>
  </si>
  <si>
    <t>- UI: 텍스트에리어 (글자수 카운터 포함, 예: '0/200자')</t>
  </si>
  <si>
    <t>- AI 채점 기준: 핵심어 포함여부 + 문장 완성도 (기초 수준)</t>
  </si>
  <si>
    <t>- 개발: `&lt;QuestionShortEssay&gt;` 컴포넌트, 채점 API: POST /grading/ai/short</t>
  </si>
  <si>
    <t>#### ③ 서술형 장문 (A4 분량) — AI 기초채점</t>
  </si>
  <si>
    <t>- UI: 풀스크린 에디터 (워드카운터, 단락구분 지원)</t>
  </si>
  <si>
    <t>- AI 채점: 구조(서론/본론/결론), 논리흐름, 핵심어 커버리지 (기초만)</t>
  </si>
  <si>
    <t>- 주의: '100% 자동채점 아님' 안내문 표시</t>
  </si>
  <si>
    <t>- 개발: `&lt;QuestionLongEssay&gt;` 컴포넌트, 채점 API: POST /grading/ai/essay</t>
  </si>
  <si>
    <t>#### ④ 비교의견형 — AI+휴먼 채점</t>
  </si>
  <si>
    <t>- UI: 좌우 분할뷰 (원문 | 번역/결과물 나란히) + 의견 입력창 (하단)</t>
  </si>
  <si>
    <t>- 응시자는 원문·번역을 비교하고 의견/평가 서술</t>
  </si>
  <si>
    <t>- 개발: `&lt;QuestionCompareopinion&gt;` 컴포넌트, 2패널 Flex 레이아웃</t>
  </si>
  <si>
    <t>#### ⑤ 비교수정형 — AI+휴먼 채점</t>
  </si>
  <si>
    <t>- UI: 좌우 분할뷰 (원문 | 수정가능 에디터) — 응시자가 번역/답안을 직접 수정</t>
  </si>
  <si>
    <t>- 버전 비교: 원본과의 diff 하이라이트 제공</t>
  </si>
  <si>
    <t>- 개발: `&lt;QuestionComparEdit&gt;` 컴포넌트, diff 라이브러리 사용</t>
  </si>
  <si>
    <t>### 공통 응시 환경 (보안)</t>
  </si>
  <si>
    <t>- 우클릭·드래그·복사 비활성화</t>
  </si>
  <si>
    <t>- 탭 이탈 감지: 3회 초과 시 시험 종료 경고</t>
  </si>
  <si>
    <t>- 자동저장: 30초 주기, localStorage 백업</t>
  </si>
  <si>
    <t>- 화면캡처 방지: CSS user-select:none + JS blur 이벤트</t>
  </si>
  <si>
    <t>## 📝 채점 작업대 (P-20) — 채점 방식 3단계 상세 지시</t>
  </si>
  <si>
    <t>### 채점 방식 3단계</t>
  </si>
  <si>
    <t>#### ① 간단 채점 (Simple Grading)</t>
  </si>
  <si>
    <t>- 대상: 객관식 자동합산 + 주관식 총점만 입력</t>
  </si>
  <si>
    <t>- UI: 점수 입력 숫자필드 1개 + 합격/불합격/보류 버튼</t>
  </si>
  <si>
    <t>- 속도: 화면당 5초 이내 처리 목표</t>
  </si>
  <si>
    <t>#### ② 세부 채점 (Detail Grading)</t>
  </si>
  <si>
    <t>- 대상: 주관식 문항별 기준 항목 채점</t>
  </si>
  <si>
    <t>- 항목: 정확성 / 문체 / 어휘 / 등급기준 충족도 (각 0~10점)</t>
  </si>
  <si>
    <t>- AI 기초채점 참고값 표시 (수정 가능)</t>
  </si>
  <si>
    <t>- UI: 항목별 슬라이더 or 숫자입력 + AI점수 비교표시</t>
  </si>
  <si>
    <t>#### ③ 코멘트 채점 (Comment Grading)</t>
  </si>
  <si>
    <t>- 세부채점 + 텍스트 피드백 필드 추가</t>
  </si>
  <si>
    <t>- 유료 개별피드백 신청자에게 표시됨</t>
  </si>
  <si>
    <t>- UI: 세부채점폼 + 텍스트에리어(200자 이상 권장 안내)</t>
  </si>
  <si>
    <t>### 채점자 UX 속도 설계 (1시간 최대처리 목표)</t>
  </si>
  <si>
    <t>- 키보드단축키: 1=합격, 2=불합격, 3=보류, Enter=다음</t>
  </si>
  <si>
    <t>- 진행통계 실시간: 채점완료수/전체수, 합격률, 평균점수</t>
  </si>
  <si>
    <t>- 목표치 표시: '오늘 ○○건 중 ○○건 완료'</t>
  </si>
  <si>
    <t>- 자동다음: 저장 후 자동 다음답안 이동 옵션</t>
  </si>
  <si>
    <t>## 📋 시험 문제 샘플 공개 페이지 (P-38) [신규]</t>
  </si>
  <si>
    <t>- URL: /exam-sample/:sampleId (공개, 인증 불필요)</t>
  </si>
  <si>
    <t>- 목적: 시험신청 전 문의를 통해 링크 전달 → 시험유형 미리 체험</t>
  </si>
  <si>
    <t>- 실제응시 환경과 동일한 UI (but 채점 없음, 체험 전용)</t>
  </si>
  <si>
    <t>- 상단·하단 고정: '지금 접수하기' CTA 버튼 (강조색)</t>
  </si>
  <si>
    <t>- 관리자 CRUD: 샘플 내용·공개여부·링크 관리 가능</t>
  </si>
  <si>
    <t>- 개발: 동일한 시험응시 컴포넌트 재사용, mode='sample' prop</t>
  </si>
  <si>
    <t>## 🛠️ 화면 CMS 관리 (P-39) [신규]</t>
  </si>
  <si>
    <t>- URL: /admin/cms</t>
  </si>
  <si>
    <t>- 목적: 관리자가 모든 역할별 화면의 동적 콘텐츠를 코드 수정 없이 실시간 변경</t>
  </si>
  <si>
    <t>- 관리 항목: 버튼텍스트·링크 / 공지배너 문구 / 팝업 스케줄링 / 시험일정 강조배너</t>
  </si>
  <si>
    <t>- 대상 역할: 수험생 / 출제자 / 채점자 / B2B 전체 화면</t>
  </si>
  <si>
    <t>- 즉시적용 OR 예약발행 선택</t>
  </si>
  <si>
    <t>- 저장 시 CDN 캐시 자동 갱신</t>
  </si>
  <si>
    <t>- 개발: CMS 설정을 DB에 저장 (cms_settings 테이블), 각 화면에서 API 조회 렌더링</t>
  </si>
  <si>
    <t>4단 검색(시험종류→등급→접수구분→시험명)으로 이전 시험 빠른 조회 | 문제 복사·수정·삭제 | 이전 시험 정답률·난이도 통계 참고 | 문제유형별 배점 설정 | AI 문제 생성 보조 | 문제은행 불러오기 | 임시저장·이어하기 | 출제 완료 후 검토요청</t>
  </si>
  <si>
    <t>상단: 현재 시험 정보 + 출제 진행률 | 좌패널: 4단 네비(시험종류→등급→문제유형→문제번호) | 중앙: 문제 에디터(유형별 컴포넌트 전환) | 우상패널: 이전 유사 시험 통계(정답률/난이도 분포) | 우하패널: AI 제안 문제 + 문제은행 검색 | 이전 시험 문항 불러와 수정 가능(복사모드)</t>
  </si>
  <si>
    <t>4단 검색(시험종류→등급→접수구분→수험생) | 그룹별 보기: 시험유형·등급·지역·접수구분 필터 | 개별 수험생 전체 답안 페이지 조회 | 채점방식 3단계(간단·세부·코멘트) | AI 기초채점 참고 | 합격·불합격·보류 판정 | 키보드단축키(1/2/3/Enter) | 실시간 그룹 통계</t>
  </si>
  <si>
    <t>좌패널: 4단 네비 + 그룹뷰(전체·특정등급·지역 등) 토글 | 중앙상단: 수험생 정보 + 응시 이력(이번+이전) | 중앙중간: 답안 전체 보기(문제-답안 세로 스크롤) | 중앙하단: 채점 입력폼(채점방식별 전환) | 우패널: AI채점 참고 + 동그룹 통계(평균점·합격률) | 상단바: 그룹 통계 요약(오늘 채점수/합격률/미완료수)</t>
  </si>
  <si>
    <t>📤 은정것 정리 파일 공유 요약 — 시험 파일에서 진행한 내용 + 공통 원칙</t>
  </si>
  <si>
    <t>이 시트의 내용을 은정것 정리.xlsx에 전달하여 나머지 홈페이지 작업의 기준 자료로 활용</t>
  </si>
  <si>
    <t>① 시험 파일(이 파일)에서 완성한 것 — 나머지 홈페이지의 참조 모델</t>
  </si>
  <si>
    <t>완성 내용</t>
  </si>
  <si>
    <t>시트번호</t>
  </si>
  <si>
    <t>활용 방법</t>
  </si>
  <si>
    <t>화면 설계</t>
  </si>
  <si>
    <t>39개 화면 (이성일원본 131→39, 80% 감소), P-01~P-39</t>
  </si>
  <si>
    <t>11번</t>
  </si>
  <si>
    <t>모든 홈페이지 화면 설계 참조 모델</t>
  </si>
  <si>
    <t>25개 엔티티 정의 (공통13개+시험전용12개)</t>
  </si>
  <si>
    <t>3번</t>
  </si>
  <si>
    <t>공통 DB는 재사용, 홈페이지별 DB만 추가</t>
  </si>
  <si>
    <t>AI 개발 지시 MD</t>
  </si>
  <si>
    <t>화면별 React 컴포넌트·API·UX 지시서 (320행+)</t>
  </si>
  <si>
    <t>12번</t>
  </si>
  <si>
    <t>AI 코딩 도구에 붙여넣어 직접 개발 지시</t>
  </si>
  <si>
    <t>개발 명세 (이성일형식)</t>
  </si>
  <si>
    <t>개발자용 화면 명세 (신규 40개 화면)</t>
  </si>
  <si>
    <t>10번</t>
  </si>
  <si>
    <t>개발자 전달용</t>
  </si>
  <si>
    <t>기타서비스 계획</t>
  </si>
  <si>
    <t>메타번역·매칭·통독 등 추후 개발 서비스</t>
  </si>
  <si>
    <t>15번</t>
  </si>
  <si>
    <t>다음 홈페이지 개발 시 기준</t>
  </si>
  <si>
    <t>② 모든 홈페이지에 적용되는 원칙 (새 홈페이지 만들 때 반드시 인지)</t>
  </si>
  <si>
    <t>원칙</t>
  </si>
  <si>
    <t>적용 방법</t>
  </si>
  <si>
    <t>공통 모듈 재사용</t>
  </si>
  <si>
    <t>결제·회원·알림·관리자·공지·배너·팝업·약관은 모든 사이트 공유</t>
  </si>
  <si>
    <t>새 홈페이지 = 공통 모듈 가져다 쓰고 사이트별 기능만 추가</t>
  </si>
  <si>
    <t>화면 최소화 (SPA)</t>
  </si>
  <si>
    <t>탭·모달·슬라이드패널·Wizard로 여러 화면을 1개로 통합</t>
  </si>
  <si>
    <t>예: 회원 CRUD를 목록+슬라이드패널 1개로</t>
  </si>
  <si>
    <t>4단계 검색 구조</t>
  </si>
  <si>
    <t>모든 역할의 관리 화면에 4단계 네비(분류1→2→3→개별) 적용</t>
  </si>
  <si>
    <t>검색 없이 4단 드릴다운으로 원하는 정보 바로 접근</t>
  </si>
  <si>
    <t>역할별 UX 최적화</t>
  </si>
  <si>
    <t>수험생=UX, 채점자=속도, 출제자=정보접근, 관리자=가시성</t>
  </si>
  <si>
    <t>역할마다 화면 구성 철학이 다름</t>
  </si>
  <si>
    <t>넛지(Nudge) 설계</t>
  </si>
  <si>
    <t>자연스러운 다음 행동 유도 (접수완료→연습문제, 결과→AI분석)</t>
  </si>
  <si>
    <t>모든 화면에 CTA·Hook 포인트 설계 필수</t>
  </si>
  <si>
    <t>수익 Hook 포인트</t>
  </si>
  <si>
    <t>연습문제, AI분석 결과지, 자격증, 데이터상품 등 수익 연결</t>
  </si>
  <si>
    <t>시험 외 홈페이지도 각각의 수익 Hook 포인트 설계</t>
  </si>
  <si>
    <t>DB 공통/사이트별 분리</t>
  </si>
  <si>
    <t>공통 DB는 1개 관리, 사이트별 DB는 독립 관리</t>
  </si>
  <si>
    <t>DB 관리 페이지는 1개에서 공통+사이트별 모두 관리</t>
  </si>
  <si>
    <t>③ DB 구분 — 공통 DB vs 시험 전용 DB (앞으로 홈페이지별 DB 추가 기준)</t>
  </si>
  <si>
    <t>엔티티명</t>
  </si>
  <si>
    <t>추가 예정 (다음 홈페이지)</t>
  </si>
  <si>
    <t>🟢 공통</t>
  </si>
  <si>
    <t>회원정보·결제·결제기준·알림·공지사항·블로그·FAQ·배너·팝업·약관·관리자·1:1상담·구독관리·B2B기업</t>
  </si>
  <si>
    <t>모든 홈페이지 공유 사용</t>
  </si>
  <si>
    <t>변경 시 전체 영향</t>
  </si>
  <si>
    <t>🔵 시험전용</t>
  </si>
  <si>
    <t>시험정보·시험접수/응시·자격증·시험양식·문제/채점·AI분석리포트·연습문제·학습이력·챗봇·통계집계</t>
  </si>
  <si>
    <t>시험 플랫폼에서만 사용</t>
  </si>
  <si>
    <t>다른 홈페이지 영향 없음</t>
  </si>
  <si>
    <t>🟡 번역(추후)</t>
  </si>
  <si>
    <t>번역프로젝트·번역요청·번역결과·에디터 작업이력</t>
  </si>
  <si>
    <t>메타번역 플랫폼용</t>
  </si>
  <si>
    <t>추후 추가 시 공통DB와 회원 연결</t>
  </si>
  <si>
    <t>🟡 매칭(추후)</t>
  </si>
  <si>
    <t>매칭요청·전문가배정·계약·리뷰</t>
  </si>
  <si>
    <t>전문가 매칭 플랫폼용</t>
  </si>
  <si>
    <t>추후 추가</t>
  </si>
  <si>
    <t>④ 앞으로 홈페이지 추가 시 체크리스트 (이 원칙 기반으로 작업)</t>
  </si>
  <si>
    <t>작업</t>
  </si>
  <si>
    <t>방법</t>
  </si>
  <si>
    <t>서비스 목적 정의</t>
  </si>
  <si>
    <t>이 홈페이지의 주요 역할과 수익 모델 명확화</t>
  </si>
  <si>
    <t>2단계</t>
  </si>
  <si>
    <t>시험 파일 11번 시트(최소 화면 목록)를 템플릿으로 역할별 화면 설계</t>
  </si>
  <si>
    <t>3단계</t>
  </si>
  <si>
    <t>공통모듈 확인</t>
  </si>
  <si>
    <t>결제·회원·알림 등 공통 모듈 목록 확인, 재사용 vs 신규 결정</t>
  </si>
  <si>
    <t>4단계</t>
  </si>
  <si>
    <t>DB 추가 설계</t>
  </si>
  <si>
    <t>공통 DB 참조 후 이 사이트에만 필요한 DB 엔티티 설계</t>
  </si>
  <si>
    <t>5단계</t>
  </si>
  <si>
    <t>MD 문서 작성</t>
  </si>
  <si>
    <t>시험 파일 12번 시트(AI MD) 형식으로 화면별 개발 지시서 작성</t>
  </si>
  <si>
    <t>6단계</t>
  </si>
  <si>
    <t>이성일형식 명세</t>
  </si>
  <si>
    <t>10번 시트 형식으로 개발자 전달용 화면 명세 작성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</si>
</sst>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sz val="10"/>
      <color theme="1"/>
      <name val="Arial"/>
      <family val="2"/>
      <scheme val="minor"/>
    </font>
    <font>
      <sz val="10"/>
      <color theme="1"/>
      <name val="Arial"/>
      <family val="2"/>
    </font>
    <font>
      <sz val="10"/>
      <color rgb="FF000000"/>
      <name val="Arial"/>
      <family val="2"/>
    </font>
    <font>
      <sz val="10"/>
      <color rgb="FF000000"/>
      <name val="Arial"/>
      <family val="2"/>
      <scheme val="minor"/>
    </font>
    <font>
      <sz val="10"/>
      <color theme="7"/>
      <name val="Arial"/>
      <family val="2"/>
      <scheme val="minor"/>
    </font>
    <font>
      <sz val="10"/>
      <color rgb="FFFF0000"/>
      <name val="Arial"/>
      <family val="2"/>
      <scheme val="minor"/>
    </font>
    <font>
      <sz val="10"/>
      <color rgb="FF34A853"/>
      <name val="Arial"/>
      <family val="2"/>
      <scheme val="minor"/>
    </font>
    <font>
      <sz val="11"/>
      <color rgb="FF000000"/>
      <name val="&quot;맑은 고딕&quot;"/>
      <family val="3"/>
      <charset val="129"/>
    </font>
    <font>
      <sz val="11"/>
      <color theme="1"/>
      <name val="Arial"/>
      <family val="2"/>
    </font>
    <font>
      <sz val="8"/>
      <name val="Arial"/>
      <family val="3"/>
      <charset val="129"/>
      <scheme val="minor"/>
    </font>
    <font>
      <b/>
      <sz val="13"/>
      <color rgb="FFFFFFFF"/>
      <name val="Arial"/>
      <family val="2"/>
      <scheme val="minor"/>
    </font>
    <font>
      <b/>
      <sz val="10"/>
      <color rgb="FF000000"/>
      <name val="Arial"/>
      <family val="2"/>
      <scheme val="minor"/>
    </font>
    <font>
      <b/>
      <sz val="10"/>
      <color rgb="FFFFFFFF"/>
      <name val="Arial"/>
      <family val="2"/>
      <scheme val="minor"/>
    </font>
    <font>
      <b/>
      <sz val="15"/>
      <color rgb="FF000000"/>
      <name val="Arial"/>
      <family val="2"/>
      <scheme val="minor"/>
    </font>
    <font>
      <b/>
      <sz val="14"/>
      <color rgb="FF000000"/>
      <name val="Arial"/>
      <family val="2"/>
      <scheme val="minor"/>
    </font>
    <font>
      <b/>
      <sz val="14"/>
      <color rgb="FF1F3864"/>
      <name val="Arial"/>
      <family val="2"/>
      <scheme val="minor"/>
    </font>
    <font>
      <b/>
      <sz val="11"/>
      <color rgb="FFFFFFFF"/>
      <name val="&quot;맑은 고딕&quot;"/>
      <family val="3"/>
      <charset val="129"/>
    </font>
    <font>
      <b/>
      <sz val="12"/>
      <color rgb="FFFFFFFF"/>
      <name val="Arial"/>
      <family val="2"/>
      <scheme val="minor"/>
    </font>
    <font>
      <b/>
      <sz val="11"/>
      <color rgb="FFFFFFFF"/>
      <name val="Arial"/>
      <family val="2"/>
      <scheme val="minor"/>
    </font>
    <font>
      <b/>
      <sz val="10"/>
      <color rgb="FF1F3864"/>
      <name val="Arial"/>
      <family val="2"/>
      <scheme val="minor"/>
    </font>
    <font>
      <b/>
      <sz val="18"/>
      <color rgb="FF000000"/>
      <name val="Arial"/>
      <family val="2"/>
      <scheme val="minor"/>
    </font>
    <font>
      <i/>
      <sz val="10"/>
      <color rgb="FF595959"/>
      <name val="Arial"/>
      <family val="2"/>
      <scheme val="minor"/>
    </font>
    <font>
      <b/>
      <sz val="11"/>
      <color rgb="FF000000"/>
      <name val="Arial"/>
      <family val="2"/>
      <scheme val="minor"/>
    </font>
    <font>
      <sz val="10"/>
      <color rgb="FF595959"/>
      <name val="Arial"/>
      <family val="2"/>
      <scheme val="minor"/>
    </font>
    <font>
      <b/>
      <sz val="10"/>
      <color rgb="FF000000"/>
      <name val="Arial"/>
      <family val="2"/>
    </font>
    <font>
      <sz val="10"/>
      <color rgb="FF000000"/>
      <name val="&quot;맑은 고딕&quot;"/>
      <family val="3"/>
      <charset val="129"/>
    </font>
    <font>
      <sz val="11"/>
      <color theme="1"/>
      <name val="Arial"/>
      <family val="2"/>
      <scheme val="minor"/>
    </font>
    <font>
      <b/>
      <sz val="14"/>
      <color theme="1"/>
      <name val="Malgun Gothic"/>
      <family val="3"/>
      <charset val="129"/>
    </font>
    <font>
      <b/>
      <i/>
      <sz val="14"/>
      <color theme="1"/>
      <name val="Malgun Gothic"/>
      <family val="3"/>
      <charset val="129"/>
    </font>
    <font>
      <b/>
      <i/>
      <sz val="10"/>
      <color theme="1"/>
      <name val="Arial"/>
      <family val="2"/>
      <scheme val="minor"/>
    </font>
    <font>
      <b/>
      <i/>
      <sz val="10"/>
      <color theme="1"/>
      <name val="Malgun Gothic"/>
      <family val="3"/>
      <charset val="129"/>
    </font>
    <font>
      <sz val="11"/>
      <color theme="1"/>
      <name val="Malgun Gothic"/>
      <family val="3"/>
      <charset val="129"/>
    </font>
    <font>
      <sz val="11"/>
      <name val="Calibri"/>
      <family val="2"/>
    </font>
    <font>
      <sz val="11"/>
      <color rgb="FFFF0000"/>
      <name val="Malgun Gothic"/>
      <family val="3"/>
      <charset val="129"/>
    </font>
    <font>
      <sz val="11"/>
      <color theme="1"/>
      <name val="Calibri"/>
      <family val="2"/>
    </font>
    <font>
      <sz val="11"/>
      <color rgb="FF000000"/>
      <name val="Malgun Gothic"/>
      <family val="3"/>
      <charset val="129"/>
    </font>
    <font>
      <sz val="11"/>
      <color rgb="FF000000"/>
      <name val="+mn-ea"/>
    </font>
    <font>
      <sz val="11"/>
      <color rgb="FF000000"/>
      <name val="맑은 고딕"/>
      <family val="3"/>
      <charset val="129"/>
    </font>
    <font>
      <b/>
      <sz val="12"/>
      <color rgb="FF2E5FA3"/>
      <name val="Arial"/>
      <family val="2"/>
      <scheme val="minor"/>
    </font>
    <font>
      <sz val="10"/>
      <color rgb="FF000000"/>
      <name val="Malgun Gothic"/>
      <family val="2"/>
      <charset val="129"/>
    </font>
  </fonts>
  <fills count="37">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CCCCCC"/>
        <bgColor rgb="FFCCCCCC"/>
      </patternFill>
    </fill>
    <fill>
      <patternFill patternType="solid">
        <fgColor theme="0"/>
        <bgColor theme="0"/>
      </patternFill>
    </fill>
    <fill>
      <patternFill patternType="solid">
        <fgColor rgb="FFFF9900"/>
        <bgColor rgb="FFFF9900"/>
      </patternFill>
    </fill>
    <fill>
      <patternFill patternType="solid">
        <fgColor rgb="FF1F3864"/>
        <bgColor indexed="64"/>
      </patternFill>
    </fill>
    <fill>
      <patternFill patternType="solid">
        <fgColor rgb="FFD6E4F7"/>
        <bgColor indexed="64"/>
      </patternFill>
    </fill>
    <fill>
      <patternFill patternType="solid">
        <fgColor rgb="FF2E5FA3"/>
        <bgColor indexed="64"/>
      </patternFill>
    </fill>
    <fill>
      <patternFill patternType="solid">
        <fgColor rgb="FFFFFF00"/>
        <bgColor indexed="64"/>
      </patternFill>
    </fill>
    <fill>
      <patternFill patternType="solid">
        <fgColor rgb="FFF5F9FF"/>
        <bgColor indexed="64"/>
      </patternFill>
    </fill>
    <fill>
      <patternFill patternType="solid">
        <fgColor rgb="FFC00000"/>
        <bgColor indexed="64"/>
      </patternFill>
    </fill>
    <fill>
      <patternFill patternType="solid">
        <fgColor rgb="FF375623"/>
        <bgColor indexed="64"/>
      </patternFill>
    </fill>
    <fill>
      <patternFill patternType="solid">
        <fgColor rgb="FF7030A0"/>
        <bgColor indexed="64"/>
      </patternFill>
    </fill>
    <fill>
      <patternFill patternType="solid">
        <fgColor rgb="FF7F7F7F"/>
        <bgColor indexed="64"/>
      </patternFill>
    </fill>
    <fill>
      <patternFill patternType="solid">
        <fgColor rgb="FFFFFFFF"/>
        <bgColor indexed="64"/>
      </patternFill>
    </fill>
    <fill>
      <patternFill patternType="solid">
        <fgColor rgb="FFFFF2CC"/>
        <bgColor indexed="64"/>
      </patternFill>
    </fill>
    <fill>
      <patternFill patternType="solid">
        <fgColor rgb="FFE2EFDA"/>
        <bgColor indexed="64"/>
      </patternFill>
    </fill>
    <fill>
      <patternFill patternType="solid">
        <fgColor rgb="FF7F3F00"/>
        <bgColor indexed="64"/>
      </patternFill>
    </fill>
    <fill>
      <patternFill patternType="solid">
        <fgColor rgb="FF4A86E8"/>
        <bgColor rgb="FF4A86E8"/>
      </patternFill>
    </fill>
    <fill>
      <patternFill patternType="solid">
        <fgColor rgb="FF92D050"/>
        <bgColor rgb="FF92D050"/>
      </patternFill>
    </fill>
    <fill>
      <patternFill patternType="solid">
        <fgColor rgb="FFF4B083"/>
        <bgColor rgb="FFF4B083"/>
      </patternFill>
    </fill>
    <fill>
      <patternFill patternType="solid">
        <fgColor rgb="FFF2F2F2"/>
        <bgColor rgb="FFF2F2F2"/>
      </patternFill>
    </fill>
    <fill>
      <patternFill patternType="solid">
        <fgColor rgb="FF00B050"/>
        <bgColor rgb="FF00B050"/>
      </patternFill>
    </fill>
    <fill>
      <patternFill patternType="solid">
        <fgColor rgb="FFFFE0E0"/>
        <bgColor indexed="64"/>
      </patternFill>
    </fill>
    <fill>
      <patternFill patternType="solid">
        <fgColor rgb="FFF4FAF0"/>
        <bgColor indexed="64"/>
      </patternFill>
    </fill>
    <fill>
      <patternFill patternType="solid">
        <fgColor rgb="FFFCE4D6"/>
        <bgColor indexed="64"/>
      </patternFill>
    </fill>
    <fill>
      <patternFill patternType="solid">
        <fgColor rgb="FFEEE0F7"/>
        <bgColor indexed="64"/>
      </patternFill>
    </fill>
    <fill>
      <patternFill patternType="solid">
        <fgColor rgb="FFDDEBF7"/>
        <bgColor indexed="64"/>
      </patternFill>
    </fill>
    <fill>
      <patternFill patternType="solid">
        <fgColor rgb="FFEEE8F7"/>
        <bgColor indexed="64"/>
      </patternFill>
    </fill>
    <fill>
      <patternFill patternType="solid">
        <fgColor rgb="FFE2863A"/>
        <bgColor indexed="64"/>
      </patternFill>
    </fill>
    <fill>
      <patternFill patternType="solid">
        <fgColor rgb="FFFFF3E6"/>
        <bgColor indexed="64"/>
      </patternFill>
    </fill>
    <fill>
      <patternFill patternType="solid">
        <fgColor rgb="FFFFF8F0"/>
        <bgColor indexed="64"/>
      </patternFill>
    </fill>
    <fill>
      <patternFill patternType="solid">
        <fgColor rgb="FF833C00"/>
        <bgColor indexed="64"/>
      </patternFill>
    </fill>
    <fill>
      <patternFill patternType="solid">
        <fgColor rgb="FFDDEEFF"/>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s>
  <cellStyleXfs count="2">
    <xf numFmtId="0" fontId="0" fillId="0" borderId="0"/>
    <xf numFmtId="0" fontId="27" fillId="0" borderId="0"/>
  </cellStyleXfs>
  <cellXfs count="187">
    <xf numFmtId="0" fontId="0" fillId="0" borderId="0" xfId="0"/>
    <xf numFmtId="0" fontId="1" fillId="0" borderId="0" xfId="0" applyFont="1" applyAlignment="1">
      <alignment vertical="center"/>
    </xf>
    <xf numFmtId="0" fontId="1" fillId="0" borderId="0" xfId="0" applyFont="1" applyAlignment="1">
      <alignment wrapText="1"/>
    </xf>
    <xf numFmtId="0" fontId="1" fillId="0" borderId="0" xfId="0" applyFont="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1" fillId="7" borderId="1" xfId="0" applyFont="1" applyFill="1" applyBorder="1" applyAlignment="1">
      <alignment vertical="center" wrapText="1"/>
    </xf>
    <xf numFmtId="0" fontId="1" fillId="6" borderId="1" xfId="0" applyFont="1" applyFill="1" applyBorder="1" applyAlignment="1">
      <alignment vertical="center" wrapText="1"/>
    </xf>
    <xf numFmtId="0" fontId="8" fillId="0" borderId="0" xfId="0" applyFont="1" applyAlignment="1">
      <alignment wrapText="1"/>
    </xf>
    <xf numFmtId="0" fontId="8" fillId="0" borderId="5" xfId="0" applyFont="1" applyBorder="1" applyAlignment="1">
      <alignment wrapText="1"/>
    </xf>
    <xf numFmtId="0" fontId="1" fillId="7" borderId="0" xfId="0" applyFont="1" applyFill="1" applyAlignment="1">
      <alignment wrapText="1"/>
    </xf>
    <xf numFmtId="0" fontId="8" fillId="0" borderId="4" xfId="0" applyFont="1" applyBorder="1" applyAlignment="1">
      <alignment wrapText="1"/>
    </xf>
    <xf numFmtId="0" fontId="8" fillId="7" borderId="5" xfId="0" applyFont="1" applyFill="1" applyBorder="1" applyAlignment="1">
      <alignment wrapText="1"/>
    </xf>
    <xf numFmtId="0" fontId="9" fillId="0" borderId="5" xfId="0" applyFont="1" applyBorder="1" applyAlignment="1">
      <alignment wrapText="1"/>
    </xf>
    <xf numFmtId="0" fontId="12" fillId="9" borderId="0" xfId="0" applyFont="1" applyFill="1"/>
    <xf numFmtId="0" fontId="14" fillId="0" borderId="0" xfId="0" applyFont="1"/>
    <xf numFmtId="0" fontId="13" fillId="8" borderId="0" xfId="0" applyFont="1" applyFill="1"/>
    <xf numFmtId="0" fontId="13" fillId="10" borderId="0" xfId="0" applyFont="1" applyFill="1"/>
    <xf numFmtId="0" fontId="15" fillId="0" borderId="0" xfId="0" applyFont="1"/>
    <xf numFmtId="0" fontId="13" fillId="8" borderId="1" xfId="0" applyFont="1" applyFill="1" applyBorder="1" applyAlignment="1">
      <alignment horizontal="center" vertical="center" wrapText="1"/>
    </xf>
    <xf numFmtId="0" fontId="17" fillId="8" borderId="1" xfId="0" applyFont="1" applyFill="1" applyBorder="1" applyAlignment="1">
      <alignment wrapText="1"/>
    </xf>
    <xf numFmtId="0" fontId="17" fillId="8" borderId="3" xfId="0" applyFont="1" applyFill="1" applyBorder="1" applyAlignment="1">
      <alignment wrapText="1"/>
    </xf>
    <xf numFmtId="0" fontId="17" fillId="8" borderId="0" xfId="0" applyFont="1" applyFill="1" applyAlignment="1">
      <alignment wrapText="1"/>
    </xf>
    <xf numFmtId="0" fontId="13" fillId="8" borderId="0" xfId="0" applyFont="1" applyFill="1" applyAlignment="1">
      <alignment wrapText="1"/>
    </xf>
    <xf numFmtId="0" fontId="17" fillId="10" borderId="4" xfId="0" applyFont="1" applyFill="1" applyBorder="1" applyAlignment="1">
      <alignment wrapText="1"/>
    </xf>
    <xf numFmtId="0" fontId="17" fillId="10" borderId="5" xfId="0" applyFont="1" applyFill="1" applyBorder="1" applyAlignment="1">
      <alignment wrapText="1"/>
    </xf>
    <xf numFmtId="0" fontId="17" fillId="10" borderId="0" xfId="0" applyFont="1" applyFill="1" applyAlignment="1">
      <alignment wrapText="1"/>
    </xf>
    <xf numFmtId="0" fontId="13" fillId="10" borderId="0" xfId="0" applyFont="1" applyFill="1" applyAlignment="1">
      <alignment wrapText="1"/>
    </xf>
    <xf numFmtId="0" fontId="0" fillId="12" borderId="0" xfId="0" applyFill="1"/>
    <xf numFmtId="0" fontId="19" fillId="10" borderId="0" xfId="0" applyFont="1" applyFill="1"/>
    <xf numFmtId="0" fontId="19" fillId="13" borderId="0" xfId="0" applyFont="1" applyFill="1"/>
    <xf numFmtId="0" fontId="19" fillId="14" borderId="0" xfId="0" applyFont="1" applyFill="1"/>
    <xf numFmtId="0" fontId="19" fillId="8" borderId="0" xfId="0" applyFont="1" applyFill="1"/>
    <xf numFmtId="0" fontId="19" fillId="15" borderId="0" xfId="0" applyFont="1" applyFill="1"/>
    <xf numFmtId="0" fontId="13" fillId="16" borderId="0" xfId="0" applyFont="1" applyFill="1"/>
    <xf numFmtId="0" fontId="19" fillId="16" borderId="0" xfId="0" applyFont="1" applyFill="1"/>
    <xf numFmtId="0" fontId="0" fillId="0" borderId="0" xfId="0" applyAlignment="1">
      <alignment wrapText="1"/>
    </xf>
    <xf numFmtId="0" fontId="0" fillId="17" borderId="0" xfId="0" applyFill="1" applyAlignment="1">
      <alignment wrapText="1"/>
    </xf>
    <xf numFmtId="0" fontId="0" fillId="17" borderId="0" xfId="0" applyFill="1"/>
    <xf numFmtId="0" fontId="11" fillId="8" borderId="0" xfId="0" applyFont="1" applyFill="1" applyAlignment="1">
      <alignment wrapText="1"/>
    </xf>
    <xf numFmtId="0" fontId="0" fillId="8" borderId="0" xfId="0" applyFill="1" applyAlignment="1">
      <alignment wrapText="1"/>
    </xf>
    <xf numFmtId="0" fontId="12" fillId="9" borderId="0" xfId="0" applyFont="1" applyFill="1" applyAlignment="1">
      <alignment horizontal="center" wrapText="1"/>
    </xf>
    <xf numFmtId="0" fontId="12" fillId="9" borderId="0" xfId="0" applyFont="1" applyFill="1" applyAlignment="1">
      <alignment wrapText="1"/>
    </xf>
    <xf numFmtId="0" fontId="11" fillId="15" borderId="0" xfId="0" applyFont="1" applyFill="1" applyAlignment="1">
      <alignment wrapText="1"/>
    </xf>
    <xf numFmtId="0" fontId="13" fillId="15" borderId="0" xfId="0" applyFont="1" applyFill="1" applyAlignment="1">
      <alignment wrapText="1"/>
    </xf>
    <xf numFmtId="0" fontId="19" fillId="10" borderId="0" xfId="0" applyFont="1" applyFill="1" applyAlignment="1">
      <alignment wrapText="1"/>
    </xf>
    <xf numFmtId="0" fontId="19" fillId="13" borderId="0" xfId="0" applyFont="1" applyFill="1" applyAlignment="1">
      <alignment wrapText="1"/>
    </xf>
    <xf numFmtId="0" fontId="19" fillId="14" borderId="0" xfId="0" applyFont="1" applyFill="1" applyAlignment="1">
      <alignment wrapText="1"/>
    </xf>
    <xf numFmtId="0" fontId="19" fillId="8" borderId="0" xfId="0" applyFont="1" applyFill="1" applyAlignment="1">
      <alignment wrapText="1"/>
    </xf>
    <xf numFmtId="0" fontId="19" fillId="15" borderId="0" xfId="0" applyFont="1" applyFill="1" applyAlignment="1">
      <alignment wrapText="1"/>
    </xf>
    <xf numFmtId="0" fontId="19" fillId="16" borderId="0" xfId="0" applyFont="1" applyFill="1" applyAlignment="1">
      <alignment wrapText="1"/>
    </xf>
    <xf numFmtId="0" fontId="21" fillId="0" borderId="0" xfId="0" applyFont="1" applyAlignment="1">
      <alignment wrapText="1"/>
    </xf>
    <xf numFmtId="0" fontId="4" fillId="0" borderId="0" xfId="0" applyFont="1" applyAlignment="1">
      <alignment wrapText="1"/>
    </xf>
    <xf numFmtId="0" fontId="4" fillId="0" borderId="0" xfId="0" applyFont="1" applyAlignment="1">
      <alignment horizontal="center" wrapText="1"/>
    </xf>
    <xf numFmtId="0" fontId="4" fillId="17" borderId="0" xfId="0" applyFont="1" applyFill="1" applyAlignment="1">
      <alignment horizontal="center" wrapText="1"/>
    </xf>
    <xf numFmtId="0" fontId="4" fillId="17" borderId="0" xfId="0" applyFont="1" applyFill="1" applyAlignment="1">
      <alignment wrapText="1"/>
    </xf>
    <xf numFmtId="0" fontId="4" fillId="12" borderId="0" xfId="0" applyFont="1" applyFill="1" applyAlignment="1">
      <alignment horizontal="center" wrapText="1"/>
    </xf>
    <xf numFmtId="0" fontId="4" fillId="12" borderId="0" xfId="0" applyFont="1" applyFill="1" applyAlignment="1">
      <alignment wrapText="1"/>
    </xf>
    <xf numFmtId="0" fontId="16" fillId="0" borderId="0" xfId="0" applyFont="1" applyAlignment="1">
      <alignment wrapText="1"/>
    </xf>
    <xf numFmtId="0" fontId="4" fillId="4" borderId="0" xfId="0" applyFont="1" applyFill="1" applyAlignment="1">
      <alignment wrapText="1"/>
    </xf>
    <xf numFmtId="0" fontId="5" fillId="4" borderId="0" xfId="0" applyFont="1" applyFill="1" applyAlignment="1">
      <alignment wrapText="1"/>
    </xf>
    <xf numFmtId="0" fontId="6" fillId="4" borderId="0" xfId="0" applyFont="1" applyFill="1" applyAlignment="1">
      <alignment wrapText="1"/>
    </xf>
    <xf numFmtId="0" fontId="7" fillId="4" borderId="0" xfId="0" applyFont="1" applyFill="1" applyAlignment="1">
      <alignment wrapText="1"/>
    </xf>
    <xf numFmtId="0" fontId="1" fillId="4" borderId="0" xfId="0" applyFont="1" applyFill="1" applyAlignment="1">
      <alignment wrapText="1"/>
    </xf>
    <xf numFmtId="0" fontId="2" fillId="0" borderId="5" xfId="0" applyFont="1" applyBorder="1" applyAlignment="1">
      <alignment wrapText="1"/>
    </xf>
    <xf numFmtId="0" fontId="14" fillId="17" borderId="0" xfId="0" applyFont="1" applyFill="1" applyAlignment="1">
      <alignment wrapText="1"/>
    </xf>
    <xf numFmtId="0" fontId="22" fillId="17" borderId="0" xfId="0" applyFont="1" applyFill="1" applyAlignment="1">
      <alignment wrapText="1"/>
    </xf>
    <xf numFmtId="0" fontId="12" fillId="17" borderId="0" xfId="0" applyFont="1" applyFill="1" applyAlignment="1">
      <alignment wrapText="1"/>
    </xf>
    <xf numFmtId="0" fontId="12" fillId="12" borderId="0" xfId="0" applyFont="1" applyFill="1" applyAlignment="1">
      <alignment wrapText="1"/>
    </xf>
    <xf numFmtId="0" fontId="4" fillId="17" borderId="0" xfId="0" applyFont="1" applyFill="1"/>
    <xf numFmtId="0" fontId="4" fillId="12" borderId="0" xfId="0" applyFont="1" applyFill="1"/>
    <xf numFmtId="0" fontId="4" fillId="17" borderId="0" xfId="0" applyFont="1" applyFill="1" applyAlignment="1">
      <alignment vertical="center" wrapText="1"/>
    </xf>
    <xf numFmtId="0" fontId="24" fillId="17" borderId="0" xfId="0" applyFont="1" applyFill="1" applyAlignment="1">
      <alignment wrapText="1"/>
    </xf>
    <xf numFmtId="0" fontId="4" fillId="12" borderId="0" xfId="0" applyFont="1" applyFill="1" applyAlignment="1">
      <alignment vertical="center" wrapText="1"/>
    </xf>
    <xf numFmtId="0" fontId="4" fillId="12" borderId="1" xfId="0" applyFont="1" applyFill="1" applyBorder="1" applyAlignment="1">
      <alignment vertical="center" wrapText="1"/>
    </xf>
    <xf numFmtId="0" fontId="4" fillId="17" borderId="1" xfId="0" applyFont="1" applyFill="1" applyBorder="1" applyAlignment="1">
      <alignment vertical="center" wrapText="1"/>
    </xf>
    <xf numFmtId="0" fontId="4" fillId="12" borderId="1" xfId="0" applyFont="1" applyFill="1" applyBorder="1" applyAlignment="1">
      <alignment wrapText="1"/>
    </xf>
    <xf numFmtId="0" fontId="3" fillId="17" borderId="1" xfId="0" applyFont="1" applyFill="1" applyBorder="1" applyAlignment="1">
      <alignment vertical="center" wrapText="1"/>
    </xf>
    <xf numFmtId="0" fontId="3" fillId="12" borderId="1" xfId="0" applyFont="1" applyFill="1" applyBorder="1" applyAlignment="1">
      <alignment vertical="center" wrapText="1"/>
    </xf>
    <xf numFmtId="0" fontId="3" fillId="17" borderId="0" xfId="0" applyFont="1" applyFill="1" applyAlignment="1">
      <alignment horizontal="left" wrapText="1"/>
    </xf>
    <xf numFmtId="0" fontId="3" fillId="12" borderId="0" xfId="0" applyFont="1" applyFill="1" applyAlignment="1">
      <alignment horizontal="left" wrapText="1"/>
    </xf>
    <xf numFmtId="0" fontId="3" fillId="17" borderId="1" xfId="0" applyFont="1" applyFill="1" applyBorder="1" applyAlignment="1">
      <alignment wrapText="1"/>
    </xf>
    <xf numFmtId="0" fontId="3" fillId="12" borderId="1" xfId="0" applyFont="1" applyFill="1" applyBorder="1" applyAlignment="1">
      <alignment wrapText="1"/>
    </xf>
    <xf numFmtId="0" fontId="17" fillId="14" borderId="4" xfId="0" applyFont="1" applyFill="1" applyBorder="1" applyAlignment="1">
      <alignment wrapText="1"/>
    </xf>
    <xf numFmtId="0" fontId="17" fillId="14" borderId="5" xfId="0" applyFont="1" applyFill="1" applyBorder="1" applyAlignment="1">
      <alignment wrapText="1"/>
    </xf>
    <xf numFmtId="0" fontId="17" fillId="15" borderId="4" xfId="0" applyFont="1" applyFill="1" applyBorder="1" applyAlignment="1">
      <alignment wrapText="1"/>
    </xf>
    <xf numFmtId="0" fontId="17" fillId="15" borderId="5" xfId="0" applyFont="1" applyFill="1" applyBorder="1" applyAlignment="1">
      <alignment wrapText="1"/>
    </xf>
    <xf numFmtId="0" fontId="17" fillId="13" borderId="4" xfId="0" applyFont="1" applyFill="1" applyBorder="1" applyAlignment="1">
      <alignment wrapText="1"/>
    </xf>
    <xf numFmtId="0" fontId="17" fillId="13" borderId="5" xfId="0" applyFont="1" applyFill="1" applyBorder="1" applyAlignment="1">
      <alignment wrapText="1"/>
    </xf>
    <xf numFmtId="0" fontId="17" fillId="16" borderId="4" xfId="0" applyFont="1" applyFill="1" applyBorder="1" applyAlignment="1">
      <alignment wrapText="1"/>
    </xf>
    <xf numFmtId="0" fontId="17" fillId="16" borderId="5" xfId="0" applyFont="1" applyFill="1" applyBorder="1" applyAlignment="1">
      <alignment wrapText="1"/>
    </xf>
    <xf numFmtId="0" fontId="26" fillId="17" borderId="4" xfId="0" applyFont="1" applyFill="1" applyBorder="1" applyAlignment="1">
      <alignment wrapText="1"/>
    </xf>
    <xf numFmtId="0" fontId="26" fillId="17" borderId="5" xfId="0" applyFont="1" applyFill="1" applyBorder="1" applyAlignment="1">
      <alignment wrapText="1"/>
    </xf>
    <xf numFmtId="0" fontId="26" fillId="12" borderId="4" xfId="0" applyFont="1" applyFill="1" applyBorder="1" applyAlignment="1">
      <alignment wrapText="1"/>
    </xf>
    <xf numFmtId="0" fontId="26" fillId="12" borderId="5" xfId="0" applyFont="1" applyFill="1" applyBorder="1" applyAlignment="1">
      <alignment wrapText="1"/>
    </xf>
    <xf numFmtId="0" fontId="26" fillId="17" borderId="0" xfId="0" applyFont="1" applyFill="1" applyAlignment="1">
      <alignment wrapText="1"/>
    </xf>
    <xf numFmtId="0" fontId="26" fillId="12" borderId="0" xfId="0" applyFont="1" applyFill="1" applyAlignment="1">
      <alignment wrapText="1"/>
    </xf>
    <xf numFmtId="0" fontId="18" fillId="8" borderId="0" xfId="0" applyFont="1" applyFill="1" applyAlignment="1">
      <alignment vertical="center" wrapText="1"/>
    </xf>
    <xf numFmtId="0" fontId="12" fillId="9" borderId="0" xfId="0" applyFont="1" applyFill="1" applyAlignment="1">
      <alignment vertical="center" wrapText="1"/>
    </xf>
    <xf numFmtId="0" fontId="12" fillId="9" borderId="1" xfId="0" applyFont="1" applyFill="1" applyBorder="1" applyAlignment="1">
      <alignment horizontal="center" vertical="center" wrapText="1"/>
    </xf>
    <xf numFmtId="0" fontId="3" fillId="17" borderId="0" xfId="0" applyFont="1" applyFill="1" applyAlignment="1">
      <alignment vertical="center" wrapText="1"/>
    </xf>
    <xf numFmtId="0" fontId="13" fillId="10" borderId="0" xfId="0" applyFont="1" applyFill="1" applyAlignment="1">
      <alignment vertical="center" wrapText="1"/>
    </xf>
    <xf numFmtId="0" fontId="13" fillId="10" borderId="1" xfId="0" applyFont="1" applyFill="1" applyBorder="1" applyAlignment="1">
      <alignment vertical="center" wrapText="1"/>
    </xf>
    <xf numFmtId="0" fontId="13" fillId="15" borderId="0" xfId="0" applyFont="1" applyFill="1" applyAlignment="1">
      <alignment vertical="center" wrapText="1"/>
    </xf>
    <xf numFmtId="0" fontId="13" fillId="15" borderId="1" xfId="0" applyFont="1" applyFill="1" applyBorder="1" applyAlignment="1">
      <alignment vertical="center" wrapText="1"/>
    </xf>
    <xf numFmtId="0" fontId="14" fillId="17" borderId="0" xfId="0" applyFont="1" applyFill="1"/>
    <xf numFmtId="0" fontId="24" fillId="0" borderId="0" xfId="0" applyFont="1"/>
    <xf numFmtId="0" fontId="12" fillId="18" borderId="0" xfId="0" applyFont="1" applyFill="1"/>
    <xf numFmtId="9" fontId="12" fillId="18" borderId="0" xfId="0" applyNumberFormat="1" applyFont="1" applyFill="1"/>
    <xf numFmtId="9" fontId="0" fillId="17" borderId="0" xfId="0" applyNumberFormat="1" applyFill="1"/>
    <xf numFmtId="9" fontId="0" fillId="12" borderId="0" xfId="0" applyNumberFormat="1" applyFill="1"/>
    <xf numFmtId="0" fontId="4" fillId="19" borderId="0" xfId="0" applyFont="1" applyFill="1" applyAlignment="1">
      <alignment wrapText="1"/>
    </xf>
    <xf numFmtId="0" fontId="12" fillId="19" borderId="0" xfId="0" applyFont="1" applyFill="1"/>
    <xf numFmtId="0" fontId="19" fillId="20" borderId="0" xfId="0" applyFont="1" applyFill="1"/>
    <xf numFmtId="0" fontId="4" fillId="19" borderId="0" xfId="0" applyFont="1" applyFill="1"/>
    <xf numFmtId="0" fontId="28" fillId="0" borderId="0" xfId="1" applyFont="1" applyAlignment="1">
      <alignment horizontal="center" vertical="center"/>
    </xf>
    <xf numFmtId="0" fontId="29" fillId="21" borderId="0" xfId="1" applyFont="1" applyFill="1" applyAlignment="1">
      <alignment horizontal="center" vertical="center"/>
    </xf>
    <xf numFmtId="0" fontId="30" fillId="21" borderId="1" xfId="1" applyFont="1" applyFill="1" applyBorder="1" applyAlignment="1">
      <alignment vertical="center"/>
    </xf>
    <xf numFmtId="0" fontId="27" fillId="0" borderId="0" xfId="1" applyAlignment="1">
      <alignment vertical="center"/>
    </xf>
    <xf numFmtId="0" fontId="27" fillId="0" borderId="1" xfId="1" applyBorder="1" applyAlignment="1">
      <alignment vertical="center"/>
    </xf>
    <xf numFmtId="0" fontId="31" fillId="21" borderId="0" xfId="1" applyFont="1" applyFill="1" applyAlignment="1">
      <alignment horizontal="center" vertical="center"/>
    </xf>
    <xf numFmtId="0" fontId="27" fillId="21" borderId="1" xfId="1" applyFill="1" applyBorder="1" applyAlignment="1">
      <alignment vertical="center"/>
    </xf>
    <xf numFmtId="0" fontId="32" fillId="22" borderId="1" xfId="1" applyFont="1" applyFill="1" applyBorder="1" applyAlignment="1">
      <alignment horizontal="center" vertical="center"/>
    </xf>
    <xf numFmtId="0" fontId="28" fillId="0" borderId="8" xfId="1" applyFont="1" applyBorder="1" applyAlignment="1">
      <alignment horizontal="center" vertical="center"/>
    </xf>
    <xf numFmtId="0" fontId="28" fillId="0" borderId="1" xfId="1" applyFont="1" applyBorder="1" applyAlignment="1">
      <alignment horizontal="center" vertical="center"/>
    </xf>
    <xf numFmtId="0" fontId="32" fillId="23" borderId="8" xfId="1" applyFont="1" applyFill="1" applyBorder="1" applyAlignment="1">
      <alignment horizontal="center" vertical="center"/>
    </xf>
    <xf numFmtId="0" fontId="32" fillId="23" borderId="1" xfId="1" applyFont="1" applyFill="1" applyBorder="1" applyAlignment="1">
      <alignment horizontal="center" vertical="center"/>
    </xf>
    <xf numFmtId="0" fontId="32" fillId="6" borderId="1" xfId="1" applyFont="1" applyFill="1" applyBorder="1" applyAlignment="1">
      <alignment vertical="center"/>
    </xf>
    <xf numFmtId="0" fontId="32" fillId="6" borderId="1" xfId="1" applyFont="1" applyFill="1" applyBorder="1" applyAlignment="1">
      <alignment horizontal="center" vertical="center"/>
    </xf>
    <xf numFmtId="0" fontId="32" fillId="3" borderId="1" xfId="1" applyFont="1" applyFill="1" applyBorder="1" applyAlignment="1">
      <alignment vertical="center"/>
    </xf>
    <xf numFmtId="0" fontId="32" fillId="3" borderId="1" xfId="1" applyFont="1" applyFill="1" applyBorder="1" applyAlignment="1">
      <alignment horizontal="center" vertical="center"/>
    </xf>
    <xf numFmtId="0" fontId="32" fillId="24" borderId="1" xfId="1" applyFont="1" applyFill="1" applyBorder="1" applyAlignment="1">
      <alignment horizontal="center" vertical="center"/>
    </xf>
    <xf numFmtId="0" fontId="32" fillId="24" borderId="1" xfId="1" applyFont="1" applyFill="1" applyBorder="1" applyAlignment="1">
      <alignment vertical="center"/>
    </xf>
    <xf numFmtId="0" fontId="34" fillId="24" borderId="1" xfId="1" applyFont="1" applyFill="1" applyBorder="1" applyAlignment="1">
      <alignment vertical="center"/>
    </xf>
    <xf numFmtId="0" fontId="35" fillId="3" borderId="1" xfId="1" applyFont="1" applyFill="1" applyBorder="1" applyAlignment="1">
      <alignment vertical="center"/>
    </xf>
    <xf numFmtId="0" fontId="36" fillId="24" borderId="1" xfId="1" applyFont="1" applyFill="1" applyBorder="1" applyAlignment="1">
      <alignment vertical="center"/>
    </xf>
    <xf numFmtId="0" fontId="36" fillId="25" borderId="1" xfId="1" applyFont="1" applyFill="1" applyBorder="1" applyAlignment="1">
      <alignment vertical="center"/>
    </xf>
    <xf numFmtId="0" fontId="32" fillId="25" borderId="1" xfId="1" applyFont="1" applyFill="1" applyBorder="1" applyAlignment="1">
      <alignment vertical="center"/>
    </xf>
    <xf numFmtId="0" fontId="32" fillId="25" borderId="1" xfId="1" applyFont="1" applyFill="1" applyBorder="1" applyAlignment="1">
      <alignment horizontal="center" vertical="center"/>
    </xf>
    <xf numFmtId="0" fontId="37" fillId="24" borderId="1" xfId="1" applyFont="1" applyFill="1" applyBorder="1" applyAlignment="1">
      <alignment horizontal="left" vertical="center" readingOrder="1"/>
    </xf>
    <xf numFmtId="0" fontId="37" fillId="25" borderId="1" xfId="1" applyFont="1" applyFill="1" applyBorder="1" applyAlignment="1">
      <alignment horizontal="left" vertical="center" readingOrder="1"/>
    </xf>
    <xf numFmtId="0" fontId="36" fillId="24" borderId="1" xfId="1" applyFont="1" applyFill="1" applyBorder="1" applyAlignment="1">
      <alignment horizontal="left" vertical="center" readingOrder="1"/>
    </xf>
    <xf numFmtId="0" fontId="32" fillId="24" borderId="1" xfId="1" applyFont="1" applyFill="1" applyBorder="1" applyAlignment="1">
      <alignment vertical="center" wrapText="1"/>
    </xf>
    <xf numFmtId="0" fontId="36" fillId="5" borderId="1" xfId="1" applyFont="1" applyFill="1" applyBorder="1" applyAlignment="1">
      <alignment vertical="center"/>
    </xf>
    <xf numFmtId="0" fontId="32" fillId="5" borderId="1" xfId="1" applyFont="1" applyFill="1" applyBorder="1" applyAlignment="1">
      <alignment vertical="center"/>
    </xf>
    <xf numFmtId="0" fontId="32" fillId="5" borderId="1" xfId="1" applyFont="1" applyFill="1" applyBorder="1" applyAlignment="1">
      <alignment horizontal="center" vertical="center"/>
    </xf>
    <xf numFmtId="0" fontId="27" fillId="6" borderId="0" xfId="1" applyFill="1" applyAlignment="1">
      <alignment vertical="center"/>
    </xf>
    <xf numFmtId="0" fontId="27" fillId="5" borderId="0" xfId="1" applyFill="1" applyAlignment="1">
      <alignment vertical="center"/>
    </xf>
    <xf numFmtId="0" fontId="27" fillId="5" borderId="10" xfId="1" applyFill="1" applyBorder="1" applyAlignment="1">
      <alignment vertical="center"/>
    </xf>
    <xf numFmtId="0" fontId="32" fillId="5" borderId="0" xfId="1" applyFont="1" applyFill="1" applyAlignment="1">
      <alignment vertical="center"/>
    </xf>
    <xf numFmtId="0" fontId="27" fillId="5" borderId="11" xfId="1" applyFill="1" applyBorder="1" applyAlignment="1">
      <alignment vertical="center"/>
    </xf>
    <xf numFmtId="0" fontId="27" fillId="5" borderId="1" xfId="1" applyFill="1" applyBorder="1" applyAlignment="1">
      <alignment vertical="center"/>
    </xf>
    <xf numFmtId="0" fontId="27" fillId="5" borderId="12" xfId="1" applyFill="1" applyBorder="1" applyAlignment="1">
      <alignment vertical="center"/>
    </xf>
    <xf numFmtId="0" fontId="27" fillId="5" borderId="6" xfId="1" applyFill="1" applyBorder="1" applyAlignment="1">
      <alignment vertical="center"/>
    </xf>
    <xf numFmtId="0" fontId="27" fillId="5" borderId="5" xfId="1" applyFill="1" applyBorder="1" applyAlignment="1">
      <alignment vertical="center"/>
    </xf>
    <xf numFmtId="0" fontId="27" fillId="2" borderId="0" xfId="1" applyFill="1" applyAlignment="1">
      <alignment vertical="center"/>
    </xf>
    <xf numFmtId="0" fontId="4" fillId="18" borderId="0" xfId="0" applyFont="1" applyFill="1" applyAlignment="1">
      <alignment wrapText="1"/>
    </xf>
    <xf numFmtId="0" fontId="12" fillId="18" borderId="0" xfId="0" applyFont="1" applyFill="1" applyAlignment="1">
      <alignment wrapText="1"/>
    </xf>
    <xf numFmtId="0" fontId="12" fillId="26" borderId="0" xfId="0" applyFont="1" applyFill="1" applyAlignment="1">
      <alignment wrapText="1"/>
    </xf>
    <xf numFmtId="0" fontId="4" fillId="27" borderId="0" xfId="0" applyFont="1" applyFill="1" applyAlignment="1">
      <alignment wrapText="1"/>
    </xf>
    <xf numFmtId="0" fontId="13" fillId="17" borderId="0" xfId="0" applyFont="1" applyFill="1" applyAlignment="1">
      <alignment wrapText="1"/>
    </xf>
    <xf numFmtId="0" fontId="4" fillId="28" borderId="0" xfId="0" applyFont="1" applyFill="1" applyAlignment="1">
      <alignment wrapText="1"/>
    </xf>
    <xf numFmtId="0" fontId="4" fillId="29" borderId="0" xfId="0" applyFont="1" applyFill="1" applyAlignment="1">
      <alignment wrapText="1"/>
    </xf>
    <xf numFmtId="0" fontId="23" fillId="18" borderId="0" xfId="0" applyFont="1" applyFill="1"/>
    <xf numFmtId="0" fontId="4" fillId="30" borderId="0" xfId="0" applyFont="1" applyFill="1" applyAlignment="1">
      <alignment wrapText="1"/>
    </xf>
    <xf numFmtId="0" fontId="39" fillId="0" borderId="0" xfId="0" applyFont="1" applyAlignment="1">
      <alignment wrapText="1"/>
    </xf>
    <xf numFmtId="0" fontId="4" fillId="31" borderId="0" xfId="0" applyFont="1" applyFill="1" applyAlignment="1">
      <alignment wrapText="1"/>
    </xf>
    <xf numFmtId="0" fontId="13" fillId="32" borderId="0" xfId="0" applyFont="1" applyFill="1"/>
    <xf numFmtId="0" fontId="4" fillId="33" borderId="0" xfId="0" applyFont="1" applyFill="1" applyAlignment="1">
      <alignment wrapText="1"/>
    </xf>
    <xf numFmtId="0" fontId="4" fillId="34" borderId="0" xfId="0" applyFont="1" applyFill="1" applyAlignment="1">
      <alignment wrapText="1"/>
    </xf>
    <xf numFmtId="0" fontId="4" fillId="11" borderId="0" xfId="0" applyFont="1" applyFill="1" applyAlignment="1">
      <alignment wrapText="1"/>
    </xf>
    <xf numFmtId="0" fontId="19" fillId="35" borderId="0" xfId="0" applyFont="1" applyFill="1"/>
    <xf numFmtId="0" fontId="20" fillId="0" borderId="0" xfId="0" applyFont="1" applyAlignment="1">
      <alignment wrapText="1"/>
    </xf>
    <xf numFmtId="0" fontId="4" fillId="36" borderId="0" xfId="0" applyFont="1" applyFill="1" applyAlignment="1">
      <alignment wrapText="1"/>
    </xf>
    <xf numFmtId="0" fontId="40" fillId="0" borderId="0" xfId="0" applyFont="1" applyAlignment="1">
      <alignment wrapText="1"/>
    </xf>
    <xf numFmtId="0" fontId="12" fillId="9" borderId="2" xfId="0" applyFont="1" applyFill="1" applyBorder="1" applyAlignment="1">
      <alignment horizontal="center" vertical="center" wrapText="1"/>
    </xf>
    <xf numFmtId="0" fontId="25" fillId="9" borderId="3" xfId="0" applyFont="1" applyFill="1" applyBorder="1" applyAlignment="1">
      <alignment wrapText="1"/>
    </xf>
    <xf numFmtId="0" fontId="32" fillId="5" borderId="2" xfId="1" applyFont="1" applyFill="1" applyBorder="1" applyAlignment="1">
      <alignment horizontal="center" vertical="center"/>
    </xf>
    <xf numFmtId="0" fontId="33" fillId="0" borderId="7" xfId="1" applyFont="1" applyBorder="1" applyAlignment="1">
      <alignment vertical="center"/>
    </xf>
    <xf numFmtId="0" fontId="33" fillId="0" borderId="3" xfId="1" applyFont="1" applyBorder="1" applyAlignment="1">
      <alignment vertical="center"/>
    </xf>
    <xf numFmtId="0" fontId="28" fillId="0" borderId="2" xfId="1" applyFont="1" applyBorder="1" applyAlignment="1">
      <alignment horizontal="center" vertical="center"/>
    </xf>
    <xf numFmtId="0" fontId="32" fillId="6" borderId="8" xfId="1" applyFont="1" applyFill="1" applyBorder="1" applyAlignment="1">
      <alignment horizontal="center" vertical="center"/>
    </xf>
    <xf numFmtId="0" fontId="33" fillId="0" borderId="9" xfId="1" applyFont="1" applyBorder="1" applyAlignment="1">
      <alignment vertical="center"/>
    </xf>
    <xf numFmtId="0" fontId="33" fillId="0" borderId="4" xfId="1" applyFont="1" applyBorder="1" applyAlignment="1">
      <alignment vertical="center"/>
    </xf>
    <xf numFmtId="0" fontId="32" fillId="24" borderId="8" xfId="1" applyFont="1" applyFill="1" applyBorder="1" applyAlignment="1">
      <alignment horizontal="center" vertical="center"/>
    </xf>
    <xf numFmtId="0" fontId="36" fillId="24" borderId="8" xfId="1" applyFont="1" applyFill="1" applyBorder="1" applyAlignment="1">
      <alignment horizontal="center" vertical="center"/>
    </xf>
    <xf numFmtId="0" fontId="32" fillId="5" borderId="8" xfId="1" applyFont="1" applyFill="1" applyBorder="1" applyAlignment="1">
      <alignment horizontal="center" vertical="center"/>
    </xf>
  </cellXfs>
  <cellStyles count="2">
    <cellStyle name="표준" xfId="0" builtinId="0"/>
    <cellStyle name="표준 2" xfId="1" xr:uid="{21DD6CAA-C19F-47E3-9527-16A91266DD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371475</xdr:colOff>
      <xdr:row>3</xdr:row>
      <xdr:rowOff>428625</xdr:rowOff>
    </xdr:from>
    <xdr:to>
      <xdr:col>14</xdr:col>
      <xdr:colOff>286782</xdr:colOff>
      <xdr:row>30</xdr:row>
      <xdr:rowOff>105670</xdr:rowOff>
    </xdr:to>
    <xdr:pic>
      <xdr:nvPicPr>
        <xdr:cNvPr id="2" name="그림 1">
          <a:extLst>
            <a:ext uri="{FF2B5EF4-FFF2-40B4-BE49-F238E27FC236}">
              <a16:creationId xmlns:a16="http://schemas.microsoft.com/office/drawing/2014/main" id="{53C83B95-4FD5-A1C4-3009-03F4460C3B9A}"/>
            </a:ext>
          </a:extLst>
        </xdr:cNvPr>
        <xdr:cNvPicPr>
          <a:picLocks noChangeAspect="1"/>
        </xdr:cNvPicPr>
      </xdr:nvPicPr>
      <xdr:blipFill>
        <a:blip xmlns:r="http://schemas.openxmlformats.org/officeDocument/2006/relationships" r:embed="rId1"/>
        <a:stretch>
          <a:fillRect/>
        </a:stretch>
      </xdr:blipFill>
      <xdr:spPr>
        <a:xfrm>
          <a:off x="8096250" y="1504950"/>
          <a:ext cx="7392432" cy="64112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1"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2402EF2-A311-4742-99E8-5A038B5DD2AC}">
  <we:reference id="wa200010725" version="1.0.0.1" store="ko-KR" storeType="OMEX"/>
  <we:alternateReferences>
    <we:reference id="wa200010725" version="1.0.0.1" store="WA200010725" storeType="OMEX"/>
  </we:alternateReferences>
  <we:properties>
    <we:property name="claude.fileId" value="&quot;ab81e340-7b7c-480a-a063-53e098a303a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EF2A9-A41F-47C7-96E3-0637F34FB16C}">
  <dimension ref="A1:I133"/>
  <sheetViews>
    <sheetView workbookViewId="0">
      <pane ySplit="1" topLeftCell="A4" activePane="bottomLeft" state="frozen"/>
      <selection pane="bottomLeft" activeCell="M32" sqref="M32"/>
    </sheetView>
  </sheetViews>
  <sheetFormatPr defaultRowHeight="12.75"/>
  <cols>
    <col min="1" max="1" width="8.28515625" customWidth="1"/>
    <col min="2" max="2" width="29.140625" customWidth="1"/>
    <col min="3" max="3" width="52.42578125" customWidth="1"/>
    <col min="4" max="4" width="26" customWidth="1"/>
    <col min="5" max="5" width="29.85546875" customWidth="1"/>
  </cols>
  <sheetData>
    <row r="1" spans="1:9" ht="46.5">
      <c r="B1" s="52"/>
      <c r="C1" s="51" t="s">
        <v>1508</v>
      </c>
      <c r="D1" s="52"/>
      <c r="E1" s="52"/>
      <c r="I1" s="52"/>
    </row>
    <row r="2" spans="1:9" ht="25.5">
      <c r="B2" s="52"/>
      <c r="C2" s="52" t="s">
        <v>1531</v>
      </c>
      <c r="D2" s="52"/>
      <c r="E2" s="52"/>
    </row>
    <row r="3" spans="1:9">
      <c r="A3" s="52"/>
      <c r="B3" s="52"/>
      <c r="C3" s="52"/>
      <c r="D3" s="52"/>
      <c r="E3" s="52"/>
    </row>
    <row r="4" spans="1:9" ht="49.5">
      <c r="A4" s="39" t="s">
        <v>788</v>
      </c>
      <c r="B4" s="40"/>
      <c r="C4" s="40"/>
      <c r="D4" s="40"/>
      <c r="E4" s="36"/>
    </row>
    <row r="5" spans="1:9">
      <c r="A5" s="41" t="s">
        <v>736</v>
      </c>
      <c r="B5" s="42" t="s">
        <v>789</v>
      </c>
      <c r="C5" s="42" t="s">
        <v>790</v>
      </c>
      <c r="D5" s="41" t="s">
        <v>156</v>
      </c>
      <c r="E5" s="36"/>
    </row>
    <row r="6" spans="1:9">
      <c r="A6" s="53">
        <v>1</v>
      </c>
      <c r="B6" s="52" t="s">
        <v>1146</v>
      </c>
      <c r="C6" s="52" t="s">
        <v>791</v>
      </c>
      <c r="D6" s="53" t="s">
        <v>792</v>
      </c>
      <c r="E6" s="52"/>
    </row>
    <row r="7" spans="1:9">
      <c r="A7" s="53">
        <v>2</v>
      </c>
      <c r="B7" s="52" t="s">
        <v>1147</v>
      </c>
      <c r="C7" s="52" t="s">
        <v>793</v>
      </c>
      <c r="D7" s="53" t="s">
        <v>792</v>
      </c>
      <c r="E7" s="52"/>
    </row>
    <row r="8" spans="1:9" ht="13.5">
      <c r="A8" s="53">
        <v>3</v>
      </c>
      <c r="B8" s="52" t="s">
        <v>1148</v>
      </c>
      <c r="C8" s="174" t="s">
        <v>794</v>
      </c>
      <c r="D8" s="53" t="s">
        <v>792</v>
      </c>
      <c r="E8" s="52"/>
    </row>
    <row r="9" spans="1:9">
      <c r="A9" s="53">
        <v>4</v>
      </c>
      <c r="B9" s="52" t="s">
        <v>1149</v>
      </c>
      <c r="C9" s="52" t="s">
        <v>795</v>
      </c>
      <c r="D9" s="53" t="s">
        <v>792</v>
      </c>
      <c r="E9" s="52"/>
    </row>
    <row r="10" spans="1:9">
      <c r="A10" s="53">
        <v>5</v>
      </c>
      <c r="B10" s="52" t="s">
        <v>1150</v>
      </c>
      <c r="C10" s="52" t="s">
        <v>796</v>
      </c>
      <c r="D10" s="53" t="s">
        <v>792</v>
      </c>
      <c r="E10" s="52"/>
    </row>
    <row r="11" spans="1:9">
      <c r="A11" s="53">
        <v>6</v>
      </c>
      <c r="B11" s="52" t="s">
        <v>1151</v>
      </c>
      <c r="C11" s="52" t="s">
        <v>797</v>
      </c>
      <c r="D11" s="53" t="s">
        <v>792</v>
      </c>
      <c r="E11" s="52"/>
    </row>
    <row r="12" spans="1:9">
      <c r="A12" s="53">
        <v>7</v>
      </c>
      <c r="B12" s="52" t="s">
        <v>1152</v>
      </c>
      <c r="C12" s="52" t="s">
        <v>798</v>
      </c>
      <c r="D12" s="53" t="s">
        <v>792</v>
      </c>
      <c r="E12" s="52"/>
    </row>
    <row r="13" spans="1:9">
      <c r="A13" s="53">
        <v>8</v>
      </c>
      <c r="B13" s="52" t="s">
        <v>1153</v>
      </c>
      <c r="C13" s="52" t="s">
        <v>799</v>
      </c>
      <c r="D13" s="53" t="s">
        <v>792</v>
      </c>
      <c r="E13" s="52"/>
    </row>
    <row r="14" spans="1:9">
      <c r="A14" s="52"/>
      <c r="B14" s="52"/>
      <c r="C14" s="52"/>
      <c r="D14" s="52"/>
      <c r="E14" s="52"/>
    </row>
    <row r="15" spans="1:9" ht="66">
      <c r="A15" s="43" t="s">
        <v>1532</v>
      </c>
      <c r="B15" s="44"/>
      <c r="C15" s="44"/>
      <c r="D15" s="44"/>
      <c r="E15" s="44"/>
    </row>
    <row r="16" spans="1:9">
      <c r="A16" s="41" t="s">
        <v>1509</v>
      </c>
      <c r="B16" s="42" t="s">
        <v>1510</v>
      </c>
      <c r="C16" s="42" t="s">
        <v>1511</v>
      </c>
      <c r="D16" s="41" t="s">
        <v>1512</v>
      </c>
      <c r="E16" s="41" t="s">
        <v>1513</v>
      </c>
    </row>
    <row r="17" spans="1:5" ht="25.5">
      <c r="A17" s="54">
        <v>1</v>
      </c>
      <c r="B17" s="55" t="s">
        <v>1367</v>
      </c>
      <c r="C17" s="55" t="s">
        <v>1368</v>
      </c>
      <c r="D17" s="55" t="s">
        <v>1533</v>
      </c>
      <c r="E17" s="54" t="s">
        <v>1514</v>
      </c>
    </row>
    <row r="18" spans="1:5">
      <c r="A18" s="56">
        <v>2</v>
      </c>
      <c r="B18" s="57" t="s">
        <v>1372</v>
      </c>
      <c r="C18" s="57" t="s">
        <v>1373</v>
      </c>
      <c r="D18" s="57" t="s">
        <v>1534</v>
      </c>
      <c r="E18" s="56" t="s">
        <v>1376</v>
      </c>
    </row>
    <row r="19" spans="1:5">
      <c r="A19" s="54">
        <v>3</v>
      </c>
      <c r="B19" s="55" t="s">
        <v>1377</v>
      </c>
      <c r="C19" s="55" t="s">
        <v>1378</v>
      </c>
      <c r="D19" s="55" t="s">
        <v>1535</v>
      </c>
      <c r="E19" s="54" t="s">
        <v>802</v>
      </c>
    </row>
    <row r="20" spans="1:5">
      <c r="A20" s="52"/>
      <c r="B20" s="52"/>
      <c r="C20" s="52"/>
      <c r="D20" s="52"/>
      <c r="E20" s="52"/>
    </row>
    <row r="21" spans="1:5">
      <c r="A21" s="52"/>
      <c r="B21" s="52"/>
      <c r="C21" s="52"/>
      <c r="D21" s="52"/>
      <c r="E21" s="52"/>
    </row>
    <row r="22" spans="1:5">
      <c r="A22" s="52"/>
      <c r="B22" s="52"/>
      <c r="C22" s="52"/>
      <c r="D22" s="52"/>
      <c r="E22" s="52"/>
    </row>
    <row r="23" spans="1:5">
      <c r="A23" s="52"/>
      <c r="B23" s="52"/>
      <c r="C23" s="52"/>
      <c r="D23" s="52"/>
      <c r="E23" s="52"/>
    </row>
    <row r="24" spans="1:5">
      <c r="A24" s="52"/>
      <c r="B24" s="52"/>
      <c r="C24" s="52"/>
      <c r="D24" s="52"/>
      <c r="E24" s="52"/>
    </row>
    <row r="25" spans="1:5">
      <c r="A25" s="52"/>
      <c r="B25" s="52"/>
      <c r="C25" s="52"/>
      <c r="D25" s="52"/>
      <c r="E25" s="52"/>
    </row>
    <row r="26" spans="1:5">
      <c r="A26" s="52"/>
      <c r="B26" s="52"/>
      <c r="C26" s="52"/>
      <c r="D26" s="52"/>
      <c r="E26" s="52"/>
    </row>
    <row r="27" spans="1:5" ht="82.5">
      <c r="A27" s="39" t="s">
        <v>1536</v>
      </c>
      <c r="B27" s="23"/>
      <c r="C27" s="23"/>
      <c r="D27" s="23"/>
      <c r="E27" s="23"/>
    </row>
    <row r="28" spans="1:5">
      <c r="A28" s="41" t="s">
        <v>1509</v>
      </c>
      <c r="B28" s="42" t="s">
        <v>1515</v>
      </c>
      <c r="C28" s="42" t="s">
        <v>1517</v>
      </c>
      <c r="D28" s="42" t="s">
        <v>1518</v>
      </c>
      <c r="E28" s="41" t="s">
        <v>1537</v>
      </c>
    </row>
    <row r="29" spans="1:5" ht="25.5">
      <c r="A29" s="54">
        <v>1</v>
      </c>
      <c r="B29" s="55" t="s">
        <v>806</v>
      </c>
      <c r="C29" s="55" t="s">
        <v>1519</v>
      </c>
      <c r="D29" s="55" t="s">
        <v>1538</v>
      </c>
      <c r="E29" s="55" t="s">
        <v>1539</v>
      </c>
    </row>
    <row r="30" spans="1:5">
      <c r="A30" s="56">
        <v>2</v>
      </c>
      <c r="B30" s="57" t="s">
        <v>510</v>
      </c>
      <c r="C30" s="57" t="s">
        <v>1520</v>
      </c>
      <c r="D30" s="57" t="s">
        <v>1521</v>
      </c>
      <c r="E30" s="57" t="s">
        <v>1522</v>
      </c>
    </row>
    <row r="31" spans="1:5">
      <c r="A31" s="54">
        <v>3</v>
      </c>
      <c r="B31" s="55" t="s">
        <v>732</v>
      </c>
      <c r="C31" s="55" t="s">
        <v>1523</v>
      </c>
      <c r="D31" s="55" t="s">
        <v>1524</v>
      </c>
      <c r="E31" s="55" t="s">
        <v>1525</v>
      </c>
    </row>
    <row r="32" spans="1:5">
      <c r="A32" s="56">
        <v>4</v>
      </c>
      <c r="B32" s="57" t="s">
        <v>807</v>
      </c>
      <c r="C32" s="57" t="s">
        <v>1526</v>
      </c>
      <c r="D32" s="57" t="s">
        <v>1527</v>
      </c>
      <c r="E32" s="57" t="s">
        <v>1528</v>
      </c>
    </row>
    <row r="33" spans="1:5">
      <c r="A33" s="54">
        <v>5</v>
      </c>
      <c r="B33" s="55" t="s">
        <v>808</v>
      </c>
      <c r="C33" s="55" t="s">
        <v>1529</v>
      </c>
      <c r="D33" s="55" t="s">
        <v>1527</v>
      </c>
      <c r="E33" s="55" t="s">
        <v>1530</v>
      </c>
    </row>
    <row r="34" spans="1:5">
      <c r="A34" s="56">
        <v>6</v>
      </c>
      <c r="B34" s="57" t="s">
        <v>809</v>
      </c>
      <c r="C34" s="57" t="s">
        <v>1483</v>
      </c>
      <c r="D34" s="57" t="s">
        <v>1521</v>
      </c>
      <c r="E34" s="57" t="s">
        <v>1530</v>
      </c>
    </row>
    <row r="35" spans="1:5">
      <c r="A35" s="52"/>
      <c r="B35" s="52"/>
      <c r="C35" s="52"/>
      <c r="D35" s="52"/>
      <c r="E35" s="52"/>
    </row>
    <row r="36" spans="1:5" ht="15">
      <c r="B36" s="45" t="s">
        <v>1154</v>
      </c>
      <c r="C36" s="45"/>
      <c r="D36" s="45"/>
      <c r="E36" s="45"/>
    </row>
    <row r="37" spans="1:5">
      <c r="A37" s="42" t="s">
        <v>736</v>
      </c>
      <c r="B37" s="42" t="s">
        <v>789</v>
      </c>
      <c r="C37" s="42" t="s">
        <v>1155</v>
      </c>
      <c r="D37" s="42" t="s">
        <v>1156</v>
      </c>
      <c r="E37" s="42" t="s">
        <v>255</v>
      </c>
    </row>
    <row r="38" spans="1:5" ht="25.5">
      <c r="A38" s="52">
        <v>1</v>
      </c>
      <c r="B38" s="52" t="s">
        <v>1146</v>
      </c>
      <c r="C38" s="52" t="s">
        <v>1157</v>
      </c>
      <c r="D38" s="52" t="s">
        <v>1158</v>
      </c>
      <c r="E38" s="52" t="s">
        <v>1159</v>
      </c>
    </row>
    <row r="39" spans="1:5" ht="25.5">
      <c r="A39" s="57">
        <v>2</v>
      </c>
      <c r="B39" s="57" t="s">
        <v>1147</v>
      </c>
      <c r="C39" s="57" t="s">
        <v>1160</v>
      </c>
      <c r="D39" s="57" t="s">
        <v>1161</v>
      </c>
      <c r="E39" s="57"/>
    </row>
    <row r="40" spans="1:5">
      <c r="A40" s="52">
        <v>3</v>
      </c>
      <c r="B40" s="52" t="s">
        <v>1148</v>
      </c>
      <c r="C40" s="52" t="s">
        <v>1162</v>
      </c>
      <c r="D40" s="52" t="s">
        <v>1163</v>
      </c>
      <c r="E40" s="52" t="s">
        <v>1164</v>
      </c>
    </row>
    <row r="41" spans="1:5">
      <c r="A41" s="57">
        <v>4</v>
      </c>
      <c r="B41" s="57" t="s">
        <v>1149</v>
      </c>
      <c r="C41" s="57" t="s">
        <v>1165</v>
      </c>
      <c r="D41" s="57" t="s">
        <v>1166</v>
      </c>
      <c r="E41" s="57"/>
    </row>
    <row r="42" spans="1:5">
      <c r="A42" s="52">
        <v>5</v>
      </c>
      <c r="B42" s="52" t="s">
        <v>1150</v>
      </c>
      <c r="C42" s="52" t="s">
        <v>1167</v>
      </c>
      <c r="D42" s="52" t="s">
        <v>1166</v>
      </c>
      <c r="E42" s="52" t="s">
        <v>1168</v>
      </c>
    </row>
    <row r="43" spans="1:5" ht="25.5">
      <c r="A43" s="57">
        <v>6</v>
      </c>
      <c r="B43" s="57" t="s">
        <v>1151</v>
      </c>
      <c r="C43" s="57" t="s">
        <v>1169</v>
      </c>
      <c r="D43" s="57" t="s">
        <v>1166</v>
      </c>
      <c r="E43" s="57" t="s">
        <v>1170</v>
      </c>
    </row>
    <row r="44" spans="1:5">
      <c r="A44" s="52">
        <v>7</v>
      </c>
      <c r="B44" s="52" t="s">
        <v>1152</v>
      </c>
      <c r="C44" s="52" t="s">
        <v>1171</v>
      </c>
      <c r="D44" s="52" t="s">
        <v>1172</v>
      </c>
      <c r="E44" s="52" t="s">
        <v>1173</v>
      </c>
    </row>
    <row r="45" spans="1:5" ht="25.5">
      <c r="A45" s="57">
        <v>8</v>
      </c>
      <c r="B45" s="57" t="s">
        <v>1153</v>
      </c>
      <c r="C45" s="57" t="s">
        <v>1174</v>
      </c>
      <c r="D45" s="57" t="s">
        <v>1175</v>
      </c>
      <c r="E45" s="57"/>
    </row>
    <row r="46" spans="1:5">
      <c r="A46" s="52"/>
      <c r="B46" s="52"/>
      <c r="C46" s="52"/>
      <c r="D46" s="52"/>
      <c r="E46" s="52"/>
    </row>
    <row r="47" spans="1:5">
      <c r="A47" s="52"/>
      <c r="B47" s="52"/>
      <c r="C47" s="52"/>
      <c r="D47" s="52"/>
      <c r="E47" s="52"/>
    </row>
    <row r="48" spans="1:5" ht="30">
      <c r="B48" s="46" t="s">
        <v>1176</v>
      </c>
      <c r="C48" s="46"/>
      <c r="D48" s="46"/>
      <c r="E48" s="46"/>
    </row>
    <row r="49" spans="1:5">
      <c r="A49" s="42" t="s">
        <v>736</v>
      </c>
      <c r="B49" s="42" t="s">
        <v>1177</v>
      </c>
      <c r="C49" s="42" t="s">
        <v>1178</v>
      </c>
      <c r="D49" s="42" t="s">
        <v>1179</v>
      </c>
      <c r="E49" s="42" t="s">
        <v>1180</v>
      </c>
    </row>
    <row r="50" spans="1:5">
      <c r="A50" s="52">
        <v>1</v>
      </c>
      <c r="B50" s="52" t="s">
        <v>1181</v>
      </c>
      <c r="C50" s="52" t="s">
        <v>1182</v>
      </c>
      <c r="D50" s="52" t="s">
        <v>1183</v>
      </c>
      <c r="E50" s="52" t="s">
        <v>1184</v>
      </c>
    </row>
    <row r="51" spans="1:5" ht="25.5">
      <c r="A51" s="57">
        <v>2</v>
      </c>
      <c r="B51" s="57" t="s">
        <v>1185</v>
      </c>
      <c r="C51" s="57" t="s">
        <v>1186</v>
      </c>
      <c r="D51" s="57" t="s">
        <v>1183</v>
      </c>
      <c r="E51" s="57" t="s">
        <v>1187</v>
      </c>
    </row>
    <row r="52" spans="1:5" ht="25.5">
      <c r="A52" s="52">
        <v>3</v>
      </c>
      <c r="B52" s="52" t="s">
        <v>1188</v>
      </c>
      <c r="C52" s="52" t="s">
        <v>1189</v>
      </c>
      <c r="D52" s="52" t="s">
        <v>1183</v>
      </c>
      <c r="E52" s="52" t="s">
        <v>1190</v>
      </c>
    </row>
    <row r="53" spans="1:5">
      <c r="A53" s="57">
        <v>4</v>
      </c>
      <c r="B53" s="57" t="s">
        <v>1191</v>
      </c>
      <c r="C53" s="57" t="s">
        <v>1192</v>
      </c>
      <c r="D53" s="57" t="s">
        <v>1183</v>
      </c>
      <c r="E53" s="57" t="s">
        <v>1193</v>
      </c>
    </row>
    <row r="54" spans="1:5">
      <c r="A54" s="52">
        <v>5</v>
      </c>
      <c r="B54" s="52" t="s">
        <v>1194</v>
      </c>
      <c r="C54" s="52" t="s">
        <v>1195</v>
      </c>
      <c r="D54" s="52" t="s">
        <v>1183</v>
      </c>
      <c r="E54" s="52" t="s">
        <v>734</v>
      </c>
    </row>
    <row r="55" spans="1:5" ht="25.5">
      <c r="A55" s="57">
        <v>6</v>
      </c>
      <c r="B55" s="57" t="s">
        <v>1196</v>
      </c>
      <c r="C55" s="57" t="s">
        <v>1197</v>
      </c>
      <c r="D55" s="57" t="s">
        <v>1198</v>
      </c>
      <c r="E55" s="57" t="s">
        <v>1193</v>
      </c>
    </row>
    <row r="56" spans="1:5" ht="25.5">
      <c r="A56" s="52">
        <v>7</v>
      </c>
      <c r="B56" s="52" t="s">
        <v>1199</v>
      </c>
      <c r="C56" s="52" t="s">
        <v>1200</v>
      </c>
      <c r="D56" s="52" t="s">
        <v>1198</v>
      </c>
      <c r="E56" s="52" t="s">
        <v>1190</v>
      </c>
    </row>
    <row r="57" spans="1:5">
      <c r="A57" s="57">
        <v>8</v>
      </c>
      <c r="B57" s="57" t="s">
        <v>1201</v>
      </c>
      <c r="C57" s="57" t="s">
        <v>1202</v>
      </c>
      <c r="D57" s="57" t="s">
        <v>1198</v>
      </c>
      <c r="E57" s="57" t="s">
        <v>1190</v>
      </c>
    </row>
    <row r="58" spans="1:5">
      <c r="A58" s="52">
        <v>9</v>
      </c>
      <c r="B58" s="52" t="s">
        <v>1203</v>
      </c>
      <c r="C58" s="52" t="s">
        <v>1204</v>
      </c>
      <c r="D58" s="52" t="s">
        <v>1198</v>
      </c>
      <c r="E58" s="52" t="s">
        <v>1190</v>
      </c>
    </row>
    <row r="59" spans="1:5">
      <c r="A59" s="57">
        <v>10</v>
      </c>
      <c r="B59" s="57" t="s">
        <v>1205</v>
      </c>
      <c r="C59" s="57" t="s">
        <v>1206</v>
      </c>
      <c r="D59" s="57" t="s">
        <v>1198</v>
      </c>
      <c r="E59" s="57" t="s">
        <v>1190</v>
      </c>
    </row>
    <row r="60" spans="1:5">
      <c r="A60" s="52">
        <v>11</v>
      </c>
      <c r="B60" s="52" t="s">
        <v>1207</v>
      </c>
      <c r="C60" s="52" t="s">
        <v>1208</v>
      </c>
      <c r="D60" s="52" t="s">
        <v>1209</v>
      </c>
      <c r="E60" s="52" t="s">
        <v>1190</v>
      </c>
    </row>
    <row r="61" spans="1:5" ht="25.5">
      <c r="A61" s="57">
        <v>12</v>
      </c>
      <c r="B61" s="57" t="s">
        <v>1210</v>
      </c>
      <c r="C61" s="57" t="s">
        <v>1211</v>
      </c>
      <c r="D61" s="57" t="s">
        <v>1209</v>
      </c>
      <c r="E61" s="57" t="s">
        <v>1212</v>
      </c>
    </row>
    <row r="62" spans="1:5" ht="25.5">
      <c r="A62" s="52">
        <v>13</v>
      </c>
      <c r="B62" s="52" t="s">
        <v>1213</v>
      </c>
      <c r="C62" s="52" t="s">
        <v>1214</v>
      </c>
      <c r="D62" s="52" t="s">
        <v>1209</v>
      </c>
      <c r="E62" s="52" t="s">
        <v>1187</v>
      </c>
    </row>
    <row r="63" spans="1:5">
      <c r="A63" s="57">
        <v>14</v>
      </c>
      <c r="B63" s="57" t="s">
        <v>1215</v>
      </c>
      <c r="C63" s="57" t="s">
        <v>1216</v>
      </c>
      <c r="D63" s="57" t="s">
        <v>1209</v>
      </c>
      <c r="E63" s="57" t="s">
        <v>1193</v>
      </c>
    </row>
    <row r="64" spans="1:5">
      <c r="A64" s="52">
        <v>15</v>
      </c>
      <c r="B64" s="52" t="s">
        <v>1217</v>
      </c>
      <c r="C64" s="52" t="s">
        <v>1218</v>
      </c>
      <c r="D64" s="52" t="s">
        <v>1209</v>
      </c>
      <c r="E64" s="52" t="s">
        <v>1190</v>
      </c>
    </row>
    <row r="65" spans="1:5">
      <c r="A65" s="52"/>
      <c r="B65" s="52"/>
      <c r="C65" s="52"/>
      <c r="D65" s="52"/>
      <c r="E65" s="52"/>
    </row>
    <row r="66" spans="1:5">
      <c r="A66" s="52"/>
      <c r="B66" s="52"/>
      <c r="C66" s="52"/>
      <c r="D66" s="52"/>
      <c r="E66" s="52"/>
    </row>
    <row r="67" spans="1:5" ht="15">
      <c r="B67" s="47" t="s">
        <v>1219</v>
      </c>
      <c r="C67" s="47"/>
      <c r="D67" s="47"/>
      <c r="E67" s="47"/>
    </row>
    <row r="68" spans="1:5">
      <c r="A68" s="42" t="s">
        <v>736</v>
      </c>
      <c r="B68" s="42" t="s">
        <v>1220</v>
      </c>
      <c r="C68" s="42" t="s">
        <v>1221</v>
      </c>
      <c r="D68" s="42" t="s">
        <v>211</v>
      </c>
      <c r="E68" s="42" t="s">
        <v>1222</v>
      </c>
    </row>
    <row r="69" spans="1:5">
      <c r="A69" s="52">
        <v>1</v>
      </c>
      <c r="B69" s="52" t="s">
        <v>1223</v>
      </c>
      <c r="C69" s="52" t="s">
        <v>1224</v>
      </c>
      <c r="D69" s="52" t="s">
        <v>1225</v>
      </c>
      <c r="E69" s="52"/>
    </row>
    <row r="70" spans="1:5">
      <c r="A70" s="57">
        <v>2</v>
      </c>
      <c r="B70" s="57" t="s">
        <v>1226</v>
      </c>
      <c r="C70" s="57" t="s">
        <v>1227</v>
      </c>
      <c r="D70" s="57" t="s">
        <v>1225</v>
      </c>
      <c r="E70" s="57"/>
    </row>
    <row r="71" spans="1:5">
      <c r="A71" s="52">
        <v>3</v>
      </c>
      <c r="B71" s="52" t="s">
        <v>1228</v>
      </c>
      <c r="C71" s="52" t="s">
        <v>1229</v>
      </c>
      <c r="D71" s="52" t="s">
        <v>1225</v>
      </c>
      <c r="E71" s="52"/>
    </row>
    <row r="72" spans="1:5">
      <c r="A72" s="57">
        <v>4</v>
      </c>
      <c r="B72" s="57" t="s">
        <v>1230</v>
      </c>
      <c r="C72" s="57" t="s">
        <v>1231</v>
      </c>
      <c r="D72" s="57" t="s">
        <v>1225</v>
      </c>
      <c r="E72" s="57"/>
    </row>
    <row r="73" spans="1:5">
      <c r="A73" s="52">
        <v>5</v>
      </c>
      <c r="B73" s="52" t="s">
        <v>1232</v>
      </c>
      <c r="C73" s="52" t="s">
        <v>1233</v>
      </c>
      <c r="D73" s="52" t="s">
        <v>1234</v>
      </c>
      <c r="E73" s="52"/>
    </row>
    <row r="74" spans="1:5">
      <c r="A74" s="57">
        <v>6</v>
      </c>
      <c r="B74" s="57" t="s">
        <v>1235</v>
      </c>
      <c r="C74" s="57" t="s">
        <v>1236</v>
      </c>
      <c r="D74" s="57" t="s">
        <v>1234</v>
      </c>
      <c r="E74" s="57"/>
    </row>
    <row r="75" spans="1:5" ht="25.5">
      <c r="A75" s="52">
        <v>7</v>
      </c>
      <c r="B75" s="52" t="s">
        <v>1237</v>
      </c>
      <c r="C75" s="52" t="s">
        <v>1238</v>
      </c>
      <c r="D75" s="52" t="s">
        <v>1234</v>
      </c>
      <c r="E75" s="52"/>
    </row>
    <row r="76" spans="1:5">
      <c r="A76" s="57">
        <v>8</v>
      </c>
      <c r="B76" s="57" t="s">
        <v>1239</v>
      </c>
      <c r="C76" s="57" t="s">
        <v>1240</v>
      </c>
      <c r="D76" s="57" t="s">
        <v>1241</v>
      </c>
      <c r="E76" s="57"/>
    </row>
    <row r="77" spans="1:5">
      <c r="A77" s="52">
        <v>9</v>
      </c>
      <c r="B77" s="52" t="s">
        <v>1242</v>
      </c>
      <c r="C77" s="52" t="s">
        <v>1243</v>
      </c>
      <c r="D77" s="52" t="s">
        <v>1241</v>
      </c>
      <c r="E77" s="52"/>
    </row>
    <row r="78" spans="1:5">
      <c r="A78" s="57">
        <v>10</v>
      </c>
      <c r="B78" s="57" t="s">
        <v>1244</v>
      </c>
      <c r="C78" s="57" t="s">
        <v>1245</v>
      </c>
      <c r="D78" s="57" t="s">
        <v>1241</v>
      </c>
      <c r="E78" s="57"/>
    </row>
    <row r="79" spans="1:5">
      <c r="A79" s="52"/>
      <c r="B79" s="52"/>
      <c r="C79" s="52"/>
      <c r="D79" s="52"/>
      <c r="E79" s="52"/>
    </row>
    <row r="80" spans="1:5">
      <c r="A80" s="52"/>
      <c r="B80" s="52"/>
      <c r="C80" s="52"/>
      <c r="D80" s="52"/>
      <c r="E80" s="52"/>
    </row>
    <row r="81" spans="1:5" ht="15">
      <c r="B81" s="48" t="s">
        <v>1246</v>
      </c>
      <c r="C81" s="48"/>
      <c r="D81" s="48"/>
      <c r="E81" s="48"/>
    </row>
    <row r="82" spans="1:5">
      <c r="A82" s="42" t="s">
        <v>736</v>
      </c>
      <c r="B82" s="42" t="s">
        <v>1247</v>
      </c>
      <c r="C82" s="42" t="s">
        <v>731</v>
      </c>
      <c r="D82" s="42" t="s">
        <v>1248</v>
      </c>
      <c r="E82" s="42" t="s">
        <v>1249</v>
      </c>
    </row>
    <row r="83" spans="1:5" ht="25.5">
      <c r="A83" s="52">
        <v>1</v>
      </c>
      <c r="B83" s="52" t="s">
        <v>1250</v>
      </c>
      <c r="C83" s="52" t="s">
        <v>1251</v>
      </c>
      <c r="D83" s="52" t="s">
        <v>1252</v>
      </c>
      <c r="E83" s="52" t="s">
        <v>824</v>
      </c>
    </row>
    <row r="84" spans="1:5" ht="25.5">
      <c r="A84" s="57">
        <v>2</v>
      </c>
      <c r="B84" s="57" t="s">
        <v>1253</v>
      </c>
      <c r="C84" s="57" t="s">
        <v>1254</v>
      </c>
      <c r="D84" s="57" t="s">
        <v>1255</v>
      </c>
      <c r="E84" s="57" t="s">
        <v>809</v>
      </c>
    </row>
    <row r="85" spans="1:5" ht="25.5">
      <c r="A85" s="52">
        <v>3</v>
      </c>
      <c r="B85" s="52" t="s">
        <v>1256</v>
      </c>
      <c r="C85" s="52" t="s">
        <v>1257</v>
      </c>
      <c r="D85" s="52" t="s">
        <v>1258</v>
      </c>
      <c r="E85" s="52" t="s">
        <v>1259</v>
      </c>
    </row>
    <row r="86" spans="1:5" ht="25.5">
      <c r="A86" s="57">
        <v>4</v>
      </c>
      <c r="B86" s="57" t="s">
        <v>1260</v>
      </c>
      <c r="C86" s="57" t="s">
        <v>1261</v>
      </c>
      <c r="D86" s="57" t="s">
        <v>1262</v>
      </c>
      <c r="E86" s="57" t="s">
        <v>510</v>
      </c>
    </row>
    <row r="87" spans="1:5" ht="25.5">
      <c r="A87" s="52">
        <v>5</v>
      </c>
      <c r="B87" s="52" t="s">
        <v>1263</v>
      </c>
      <c r="C87" s="52" t="s">
        <v>1264</v>
      </c>
      <c r="D87" s="52" t="s">
        <v>1265</v>
      </c>
      <c r="E87" s="52" t="s">
        <v>1266</v>
      </c>
    </row>
    <row r="88" spans="1:5" ht="25.5">
      <c r="A88" s="57">
        <v>6</v>
      </c>
      <c r="B88" s="57" t="s">
        <v>1267</v>
      </c>
      <c r="C88" s="57" t="s">
        <v>1268</v>
      </c>
      <c r="D88" s="57" t="s">
        <v>1269</v>
      </c>
      <c r="E88" s="57" t="s">
        <v>1270</v>
      </c>
    </row>
    <row r="89" spans="1:5" ht="25.5">
      <c r="A89" s="52">
        <v>7</v>
      </c>
      <c r="B89" s="52" t="s">
        <v>1271</v>
      </c>
      <c r="C89" s="52" t="s">
        <v>1272</v>
      </c>
      <c r="D89" s="52" t="s">
        <v>1273</v>
      </c>
      <c r="E89" s="52" t="s">
        <v>425</v>
      </c>
    </row>
    <row r="90" spans="1:5" ht="25.5">
      <c r="A90" s="57">
        <v>8</v>
      </c>
      <c r="B90" s="57" t="s">
        <v>1274</v>
      </c>
      <c r="C90" s="57" t="s">
        <v>1275</v>
      </c>
      <c r="D90" s="57" t="s">
        <v>1276</v>
      </c>
      <c r="E90" s="57" t="s">
        <v>1277</v>
      </c>
    </row>
    <row r="91" spans="1:5" ht="25.5">
      <c r="A91" s="52">
        <v>9</v>
      </c>
      <c r="B91" s="52" t="s">
        <v>1278</v>
      </c>
      <c r="C91" s="52" t="s">
        <v>1279</v>
      </c>
      <c r="D91" s="52" t="s">
        <v>1280</v>
      </c>
      <c r="E91" s="52" t="s">
        <v>734</v>
      </c>
    </row>
    <row r="92" spans="1:5" ht="25.5">
      <c r="A92" s="57">
        <v>10</v>
      </c>
      <c r="B92" s="57" t="s">
        <v>1281</v>
      </c>
      <c r="C92" s="57" t="s">
        <v>1282</v>
      </c>
      <c r="D92" s="57" t="s">
        <v>1283</v>
      </c>
      <c r="E92" s="57" t="s">
        <v>1284</v>
      </c>
    </row>
    <row r="93" spans="1:5">
      <c r="A93" s="52"/>
      <c r="B93" s="52"/>
      <c r="C93" s="52"/>
      <c r="D93" s="52"/>
      <c r="E93" s="52"/>
    </row>
    <row r="94" spans="1:5">
      <c r="A94" s="52"/>
      <c r="B94" s="52"/>
      <c r="C94" s="52"/>
      <c r="D94" s="52"/>
      <c r="E94" s="52"/>
    </row>
    <row r="95" spans="1:5">
      <c r="A95" s="52"/>
      <c r="B95" s="52"/>
      <c r="C95" s="52"/>
      <c r="D95" s="52"/>
      <c r="E95" s="52"/>
    </row>
    <row r="96" spans="1:5" ht="30">
      <c r="B96" s="49" t="s">
        <v>1285</v>
      </c>
      <c r="C96" s="49"/>
      <c r="D96" s="49"/>
      <c r="E96" s="49"/>
    </row>
    <row r="97" spans="1:5">
      <c r="A97" s="42" t="s">
        <v>736</v>
      </c>
      <c r="B97" s="42" t="s">
        <v>1286</v>
      </c>
      <c r="C97" s="42" t="s">
        <v>1287</v>
      </c>
      <c r="D97" s="42" t="s">
        <v>211</v>
      </c>
      <c r="E97" s="42" t="s">
        <v>1288</v>
      </c>
    </row>
    <row r="98" spans="1:5">
      <c r="A98" s="52">
        <v>1</v>
      </c>
      <c r="B98" s="52" t="s">
        <v>1289</v>
      </c>
      <c r="C98" s="52" t="s">
        <v>1290</v>
      </c>
      <c r="D98" s="52" t="s">
        <v>1291</v>
      </c>
      <c r="E98" s="52" t="s">
        <v>1292</v>
      </c>
    </row>
    <row r="99" spans="1:5">
      <c r="A99" s="57">
        <v>2</v>
      </c>
      <c r="B99" s="57" t="s">
        <v>1293</v>
      </c>
      <c r="C99" s="57" t="s">
        <v>1294</v>
      </c>
      <c r="D99" s="57" t="s">
        <v>1291</v>
      </c>
      <c r="E99" s="57" t="s">
        <v>877</v>
      </c>
    </row>
    <row r="100" spans="1:5">
      <c r="A100" s="52">
        <v>3</v>
      </c>
      <c r="B100" s="52" t="s">
        <v>1295</v>
      </c>
      <c r="C100" s="52" t="s">
        <v>1296</v>
      </c>
      <c r="D100" s="52" t="s">
        <v>1291</v>
      </c>
      <c r="E100" s="52" t="s">
        <v>1297</v>
      </c>
    </row>
    <row r="101" spans="1:5">
      <c r="A101" s="57">
        <v>4</v>
      </c>
      <c r="B101" s="57" t="s">
        <v>1298</v>
      </c>
      <c r="C101" s="57" t="s">
        <v>1299</v>
      </c>
      <c r="D101" s="57" t="s">
        <v>1291</v>
      </c>
      <c r="E101" s="57" t="s">
        <v>877</v>
      </c>
    </row>
    <row r="102" spans="1:5" ht="25.5">
      <c r="A102" s="52">
        <v>5</v>
      </c>
      <c r="B102" s="52" t="s">
        <v>1300</v>
      </c>
      <c r="C102" s="52" t="s">
        <v>1301</v>
      </c>
      <c r="D102" s="52" t="s">
        <v>1291</v>
      </c>
      <c r="E102" s="52" t="s">
        <v>1302</v>
      </c>
    </row>
    <row r="103" spans="1:5" ht="25.5">
      <c r="A103" s="57">
        <v>6</v>
      </c>
      <c r="B103" s="57" t="s">
        <v>1303</v>
      </c>
      <c r="C103" s="57" t="s">
        <v>1304</v>
      </c>
      <c r="D103" s="57" t="s">
        <v>1305</v>
      </c>
      <c r="E103" s="57" t="s">
        <v>1306</v>
      </c>
    </row>
    <row r="104" spans="1:5" ht="25.5">
      <c r="A104" s="52">
        <v>7</v>
      </c>
      <c r="B104" s="52" t="s">
        <v>1307</v>
      </c>
      <c r="C104" s="52" t="s">
        <v>1308</v>
      </c>
      <c r="D104" s="52" t="s">
        <v>1305</v>
      </c>
      <c r="E104" s="52" t="s">
        <v>1309</v>
      </c>
    </row>
    <row r="105" spans="1:5">
      <c r="A105" s="57">
        <v>8</v>
      </c>
      <c r="B105" s="57" t="s">
        <v>1310</v>
      </c>
      <c r="C105" s="57" t="s">
        <v>1311</v>
      </c>
      <c r="D105" s="57" t="s">
        <v>1305</v>
      </c>
      <c r="E105" s="57" t="s">
        <v>1312</v>
      </c>
    </row>
    <row r="106" spans="1:5">
      <c r="A106" s="52">
        <v>9</v>
      </c>
      <c r="B106" s="52" t="s">
        <v>1313</v>
      </c>
      <c r="C106" s="52" t="s">
        <v>1314</v>
      </c>
      <c r="D106" s="52" t="s">
        <v>1305</v>
      </c>
      <c r="E106" s="52" t="s">
        <v>1297</v>
      </c>
    </row>
    <row r="107" spans="1:5">
      <c r="A107" s="57">
        <v>10</v>
      </c>
      <c r="B107" s="57" t="s">
        <v>1315</v>
      </c>
      <c r="C107" s="57" t="s">
        <v>1316</v>
      </c>
      <c r="D107" s="57" t="s">
        <v>1305</v>
      </c>
      <c r="E107" s="57" t="s">
        <v>1317</v>
      </c>
    </row>
    <row r="108" spans="1:5">
      <c r="A108" s="52">
        <v>11</v>
      </c>
      <c r="B108" s="52" t="s">
        <v>1318</v>
      </c>
      <c r="C108" s="52" t="s">
        <v>1319</v>
      </c>
      <c r="D108" s="52" t="s">
        <v>1320</v>
      </c>
      <c r="E108" s="52" t="s">
        <v>1321</v>
      </c>
    </row>
    <row r="109" spans="1:5">
      <c r="A109" s="57">
        <v>12</v>
      </c>
      <c r="B109" s="57" t="s">
        <v>1322</v>
      </c>
      <c r="C109" s="57" t="s">
        <v>1323</v>
      </c>
      <c r="D109" s="57" t="s">
        <v>1320</v>
      </c>
      <c r="E109" s="57" t="s">
        <v>1321</v>
      </c>
    </row>
    <row r="110" spans="1:5">
      <c r="A110" s="52">
        <v>13</v>
      </c>
      <c r="B110" s="52" t="s">
        <v>1324</v>
      </c>
      <c r="C110" s="52" t="s">
        <v>1325</v>
      </c>
      <c r="D110" s="52" t="s">
        <v>1320</v>
      </c>
      <c r="E110" s="52" t="s">
        <v>1326</v>
      </c>
    </row>
    <row r="111" spans="1:5">
      <c r="A111" s="57">
        <v>14</v>
      </c>
      <c r="B111" s="57" t="s">
        <v>1327</v>
      </c>
      <c r="C111" s="57" t="s">
        <v>1328</v>
      </c>
      <c r="D111" s="57" t="s">
        <v>1320</v>
      </c>
      <c r="E111" s="57" t="s">
        <v>1329</v>
      </c>
    </row>
    <row r="112" spans="1:5" ht="25.5">
      <c r="A112" s="52">
        <v>15</v>
      </c>
      <c r="B112" s="52" t="s">
        <v>1330</v>
      </c>
      <c r="C112" s="52" t="s">
        <v>1331</v>
      </c>
      <c r="D112" s="52" t="s">
        <v>1332</v>
      </c>
      <c r="E112" s="52" t="s">
        <v>1333</v>
      </c>
    </row>
    <row r="113" spans="1:6">
      <c r="A113" s="52"/>
      <c r="B113" s="52"/>
      <c r="C113" s="52"/>
      <c r="D113" s="52"/>
      <c r="E113" s="52"/>
    </row>
    <row r="114" spans="1:6">
      <c r="A114" s="52"/>
      <c r="B114" s="52"/>
      <c r="C114" s="52"/>
      <c r="D114" s="52"/>
      <c r="E114" s="52"/>
    </row>
    <row r="115" spans="1:6" ht="30">
      <c r="B115" s="50" t="s">
        <v>1334</v>
      </c>
      <c r="C115" s="50"/>
      <c r="D115" s="50"/>
      <c r="E115" s="50"/>
    </row>
    <row r="116" spans="1:6">
      <c r="B116" s="42" t="s">
        <v>1335</v>
      </c>
      <c r="C116" s="42" t="s">
        <v>1336</v>
      </c>
      <c r="D116" s="42" t="s">
        <v>1337</v>
      </c>
      <c r="E116" s="42" t="s">
        <v>1338</v>
      </c>
      <c r="F116" s="42" t="s">
        <v>1339</v>
      </c>
    </row>
    <row r="117" spans="1:6">
      <c r="B117" s="52" t="s">
        <v>375</v>
      </c>
      <c r="C117" s="52" t="s">
        <v>1190</v>
      </c>
      <c r="D117" s="52" t="s">
        <v>1340</v>
      </c>
      <c r="E117" s="52" t="s">
        <v>1341</v>
      </c>
      <c r="F117" s="52" t="s">
        <v>1342</v>
      </c>
    </row>
    <row r="118" spans="1:6">
      <c r="B118" s="57" t="s">
        <v>1343</v>
      </c>
      <c r="C118" s="57" t="s">
        <v>1190</v>
      </c>
      <c r="D118" s="57" t="s">
        <v>1340</v>
      </c>
      <c r="E118" s="57" t="s">
        <v>1341</v>
      </c>
      <c r="F118" s="57" t="s">
        <v>1342</v>
      </c>
    </row>
    <row r="119" spans="1:6">
      <c r="B119" s="52" t="s">
        <v>1344</v>
      </c>
      <c r="C119" s="52" t="s">
        <v>1190</v>
      </c>
      <c r="D119" s="52" t="s">
        <v>1340</v>
      </c>
      <c r="E119" s="52" t="s">
        <v>1341</v>
      </c>
      <c r="F119" s="52" t="s">
        <v>1342</v>
      </c>
    </row>
    <row r="120" spans="1:6">
      <c r="B120" s="57" t="s">
        <v>372</v>
      </c>
      <c r="C120" s="57" t="s">
        <v>1190</v>
      </c>
      <c r="D120" s="57" t="s">
        <v>1340</v>
      </c>
      <c r="E120" s="57" t="s">
        <v>1341</v>
      </c>
      <c r="F120" s="57" t="s">
        <v>1342</v>
      </c>
    </row>
    <row r="121" spans="1:6">
      <c r="B121" s="52" t="s">
        <v>1345</v>
      </c>
      <c r="C121" s="52" t="s">
        <v>1190</v>
      </c>
      <c r="D121" s="52" t="s">
        <v>1340</v>
      </c>
      <c r="E121" s="52" t="s">
        <v>1341</v>
      </c>
      <c r="F121" s="52" t="s">
        <v>1342</v>
      </c>
    </row>
    <row r="122" spans="1:6">
      <c r="B122" s="57" t="s">
        <v>1346</v>
      </c>
      <c r="C122" s="57" t="s">
        <v>1190</v>
      </c>
      <c r="D122" s="57" t="s">
        <v>1340</v>
      </c>
      <c r="E122" s="57" t="s">
        <v>1341</v>
      </c>
      <c r="F122" s="57" t="s">
        <v>1342</v>
      </c>
    </row>
    <row r="123" spans="1:6">
      <c r="B123" s="52" t="s">
        <v>1347</v>
      </c>
      <c r="C123" s="52" t="s">
        <v>1190</v>
      </c>
      <c r="D123" s="52" t="s">
        <v>1340</v>
      </c>
      <c r="E123" s="52" t="s">
        <v>1348</v>
      </c>
      <c r="F123" s="52" t="s">
        <v>1342</v>
      </c>
    </row>
    <row r="124" spans="1:6">
      <c r="B124" s="57" t="s">
        <v>1349</v>
      </c>
      <c r="C124" s="57" t="s">
        <v>1190</v>
      </c>
      <c r="D124" s="57" t="s">
        <v>1340</v>
      </c>
      <c r="E124" s="57" t="s">
        <v>1350</v>
      </c>
      <c r="F124" s="57" t="s">
        <v>1342</v>
      </c>
    </row>
    <row r="125" spans="1:6" ht="25.5">
      <c r="B125" s="52" t="s">
        <v>1351</v>
      </c>
      <c r="C125" s="52" t="s">
        <v>1190</v>
      </c>
      <c r="D125" s="52" t="s">
        <v>1340</v>
      </c>
      <c r="E125" s="52" t="s">
        <v>1352</v>
      </c>
      <c r="F125" s="52" t="s">
        <v>1342</v>
      </c>
    </row>
    <row r="126" spans="1:6">
      <c r="B126" s="57" t="s">
        <v>1353</v>
      </c>
      <c r="C126" s="57"/>
      <c r="D126" s="57"/>
      <c r="E126" s="57"/>
      <c r="F126" s="57"/>
    </row>
    <row r="127" spans="1:6">
      <c r="B127" s="52" t="s">
        <v>1354</v>
      </c>
      <c r="C127" s="52" t="s">
        <v>1190</v>
      </c>
      <c r="D127" s="52" t="s">
        <v>1355</v>
      </c>
      <c r="E127" s="52" t="s">
        <v>1356</v>
      </c>
      <c r="F127" s="52" t="s">
        <v>84</v>
      </c>
    </row>
    <row r="128" spans="1:6">
      <c r="B128" s="57" t="s">
        <v>1357</v>
      </c>
      <c r="C128" s="57" t="s">
        <v>1190</v>
      </c>
      <c r="D128" s="57" t="s">
        <v>1355</v>
      </c>
      <c r="E128" s="57" t="s">
        <v>1356</v>
      </c>
      <c r="F128" s="57" t="s">
        <v>84</v>
      </c>
    </row>
    <row r="129" spans="2:6">
      <c r="B129" s="52" t="s">
        <v>515</v>
      </c>
      <c r="C129" s="52" t="s">
        <v>1190</v>
      </c>
      <c r="D129" s="52" t="s">
        <v>1355</v>
      </c>
      <c r="E129" s="52" t="s">
        <v>1356</v>
      </c>
      <c r="F129" s="52" t="s">
        <v>84</v>
      </c>
    </row>
    <row r="130" spans="2:6">
      <c r="B130" s="57" t="s">
        <v>522</v>
      </c>
      <c r="C130" s="57" t="s">
        <v>1190</v>
      </c>
      <c r="D130" s="57" t="s">
        <v>1355</v>
      </c>
      <c r="E130" s="57" t="s">
        <v>1356</v>
      </c>
      <c r="F130" s="57" t="s">
        <v>84</v>
      </c>
    </row>
    <row r="131" spans="2:6">
      <c r="B131" s="52" t="s">
        <v>1358</v>
      </c>
      <c r="C131" s="52" t="s">
        <v>1190</v>
      </c>
      <c r="D131" s="52" t="s">
        <v>1355</v>
      </c>
      <c r="E131" s="52" t="s">
        <v>1356</v>
      </c>
      <c r="F131" s="52" t="s">
        <v>84</v>
      </c>
    </row>
    <row r="132" spans="2:6">
      <c r="B132" s="57" t="s">
        <v>1359</v>
      </c>
      <c r="C132" s="57" t="s">
        <v>1190</v>
      </c>
      <c r="D132" s="57" t="s">
        <v>1355</v>
      </c>
      <c r="E132" s="57" t="s">
        <v>1356</v>
      </c>
      <c r="F132" s="57" t="s">
        <v>84</v>
      </c>
    </row>
    <row r="133" spans="2:6">
      <c r="B133" s="52" t="s">
        <v>1360</v>
      </c>
      <c r="C133" s="52" t="s">
        <v>1190</v>
      </c>
      <c r="D133" s="52" t="s">
        <v>1355</v>
      </c>
      <c r="E133" s="52" t="s">
        <v>1356</v>
      </c>
      <c r="F133" s="52" t="s">
        <v>84</v>
      </c>
    </row>
  </sheetData>
  <phoneticPr fontId="10"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3338-A969-4A48-BD5D-746939D0B217}">
  <dimension ref="A1:G70"/>
  <sheetViews>
    <sheetView workbookViewId="0">
      <selection activeCell="A80" sqref="A80"/>
    </sheetView>
  </sheetViews>
  <sheetFormatPr defaultRowHeight="12.75"/>
  <cols>
    <col min="1" max="1" width="40.42578125" customWidth="1"/>
    <col min="2" max="2" width="26.5703125" customWidth="1"/>
    <col min="3" max="3" width="41.42578125" customWidth="1"/>
    <col min="4" max="4" width="49.28515625" customWidth="1"/>
    <col min="5" max="5" width="34.28515625" customWidth="1"/>
  </cols>
  <sheetData>
    <row r="1" spans="1:7" ht="39">
      <c r="C1" s="65" t="s">
        <v>1361</v>
      </c>
      <c r="D1" s="65"/>
      <c r="E1" s="65"/>
      <c r="F1" s="65"/>
      <c r="G1" s="65"/>
    </row>
    <row r="2" spans="1:7" ht="25.5">
      <c r="C2" s="66" t="s">
        <v>1362</v>
      </c>
      <c r="D2" s="66"/>
      <c r="E2" s="66"/>
      <c r="F2" s="66"/>
      <c r="G2" s="66"/>
    </row>
    <row r="3" spans="1:7">
      <c r="A3" s="55"/>
      <c r="B3" s="55"/>
      <c r="C3" s="55"/>
      <c r="D3" s="55"/>
      <c r="E3" s="55"/>
      <c r="F3" s="55"/>
      <c r="G3" s="55"/>
    </row>
    <row r="4" spans="1:7" ht="15">
      <c r="A4" s="48" t="s">
        <v>1363</v>
      </c>
      <c r="B4" s="48"/>
      <c r="C4" s="48"/>
      <c r="D4" s="48"/>
      <c r="E4" s="48"/>
      <c r="F4" s="48"/>
      <c r="G4" s="48"/>
    </row>
    <row r="5" spans="1:7">
      <c r="A5" s="42" t="s">
        <v>33</v>
      </c>
      <c r="B5" s="42" t="s">
        <v>1364</v>
      </c>
      <c r="C5" s="42" t="s">
        <v>1365</v>
      </c>
      <c r="D5" s="42" t="s">
        <v>1366</v>
      </c>
      <c r="E5" s="42" t="s">
        <v>801</v>
      </c>
      <c r="F5" s="42"/>
      <c r="G5" s="42"/>
    </row>
    <row r="6" spans="1:7" ht="25.5">
      <c r="A6" s="55" t="s">
        <v>1367</v>
      </c>
      <c r="B6" s="55" t="s">
        <v>1368</v>
      </c>
      <c r="C6" s="55" t="s">
        <v>1369</v>
      </c>
      <c r="D6" s="55" t="s">
        <v>1370</v>
      </c>
      <c r="E6" s="55" t="s">
        <v>1371</v>
      </c>
      <c r="F6" s="55"/>
      <c r="G6" s="55"/>
    </row>
    <row r="7" spans="1:7" ht="25.5">
      <c r="A7" s="57" t="s">
        <v>1372</v>
      </c>
      <c r="B7" s="57" t="s">
        <v>1373</v>
      </c>
      <c r="C7" s="57" t="s">
        <v>1374</v>
      </c>
      <c r="D7" s="57" t="s">
        <v>1375</v>
      </c>
      <c r="E7" s="57" t="s">
        <v>1376</v>
      </c>
      <c r="F7" s="57"/>
      <c r="G7" s="57"/>
    </row>
    <row r="8" spans="1:7">
      <c r="A8" s="55" t="s">
        <v>1377</v>
      </c>
      <c r="B8" s="55" t="s">
        <v>1378</v>
      </c>
      <c r="C8" s="55" t="s">
        <v>1379</v>
      </c>
      <c r="D8" s="55" t="s">
        <v>1380</v>
      </c>
      <c r="E8" s="55" t="s">
        <v>802</v>
      </c>
      <c r="F8" s="55"/>
      <c r="G8" s="55"/>
    </row>
    <row r="9" spans="1:7">
      <c r="A9" s="55"/>
      <c r="B9" s="55"/>
      <c r="C9" s="55"/>
      <c r="D9" s="55"/>
      <c r="E9" s="55"/>
      <c r="F9" s="55"/>
      <c r="G9" s="55"/>
    </row>
    <row r="10" spans="1:7" ht="15">
      <c r="A10" s="45" t="s">
        <v>1381</v>
      </c>
      <c r="B10" s="45"/>
      <c r="C10" s="45"/>
      <c r="D10" s="45"/>
      <c r="E10" s="45"/>
      <c r="F10" s="45"/>
      <c r="G10" s="45"/>
    </row>
    <row r="11" spans="1:7">
      <c r="A11" s="42" t="s">
        <v>1382</v>
      </c>
      <c r="B11" s="42" t="s">
        <v>1383</v>
      </c>
      <c r="C11" s="42" t="s">
        <v>730</v>
      </c>
      <c r="D11" s="42" t="s">
        <v>1384</v>
      </c>
      <c r="E11" s="42" t="s">
        <v>1385</v>
      </c>
      <c r="F11" s="42"/>
      <c r="G11" s="42"/>
    </row>
    <row r="12" spans="1:7" ht="25.5">
      <c r="A12" s="57" t="s">
        <v>1367</v>
      </c>
      <c r="B12" s="57" t="s">
        <v>1386</v>
      </c>
      <c r="C12" s="57" t="s">
        <v>1387</v>
      </c>
      <c r="D12" s="57" t="s">
        <v>1388</v>
      </c>
      <c r="E12" s="57" t="s">
        <v>810</v>
      </c>
      <c r="F12" s="57"/>
      <c r="G12" s="57"/>
    </row>
    <row r="13" spans="1:7" ht="25.5">
      <c r="A13" s="55"/>
      <c r="B13" s="55" t="s">
        <v>1389</v>
      </c>
      <c r="C13" s="55" t="s">
        <v>1390</v>
      </c>
      <c r="D13" s="55" t="s">
        <v>1391</v>
      </c>
      <c r="E13" s="55" t="s">
        <v>811</v>
      </c>
      <c r="F13" s="55"/>
      <c r="G13" s="55"/>
    </row>
    <row r="14" spans="1:7" ht="25.5">
      <c r="A14" s="57"/>
      <c r="B14" s="57" t="s">
        <v>1392</v>
      </c>
      <c r="C14" s="57" t="s">
        <v>1393</v>
      </c>
      <c r="D14" s="57" t="s">
        <v>1391</v>
      </c>
      <c r="E14" s="57" t="s">
        <v>1394</v>
      </c>
      <c r="F14" s="57"/>
      <c r="G14" s="57"/>
    </row>
    <row r="15" spans="1:7" ht="25.5">
      <c r="A15" s="55"/>
      <c r="B15" s="55" t="s">
        <v>1395</v>
      </c>
      <c r="C15" s="55" t="s">
        <v>1396</v>
      </c>
      <c r="D15" s="55" t="s">
        <v>1397</v>
      </c>
      <c r="E15" s="55" t="s">
        <v>812</v>
      </c>
      <c r="F15" s="55"/>
      <c r="G15" s="55"/>
    </row>
    <row r="16" spans="1:7" ht="25.5">
      <c r="A16" s="57" t="s">
        <v>1372</v>
      </c>
      <c r="B16" s="57" t="s">
        <v>1398</v>
      </c>
      <c r="C16" s="57" t="s">
        <v>1399</v>
      </c>
      <c r="D16" s="57" t="s">
        <v>1400</v>
      </c>
      <c r="E16" s="57" t="s">
        <v>88</v>
      </c>
      <c r="F16" s="57"/>
      <c r="G16" s="57"/>
    </row>
    <row r="17" spans="1:7" ht="25.5">
      <c r="A17" s="55"/>
      <c r="B17" s="55" t="s">
        <v>1401</v>
      </c>
      <c r="C17" s="55" t="s">
        <v>1402</v>
      </c>
      <c r="D17" s="55" t="s">
        <v>1403</v>
      </c>
      <c r="E17" s="55" t="s">
        <v>88</v>
      </c>
      <c r="F17" s="55"/>
      <c r="G17" s="55"/>
    </row>
    <row r="18" spans="1:7" ht="25.5">
      <c r="A18" s="57"/>
      <c r="B18" s="57" t="s">
        <v>1404</v>
      </c>
      <c r="C18" s="57" t="s">
        <v>1405</v>
      </c>
      <c r="D18" s="57" t="s">
        <v>1406</v>
      </c>
      <c r="E18" s="57" t="s">
        <v>1407</v>
      </c>
      <c r="F18" s="57"/>
      <c r="G18" s="57"/>
    </row>
    <row r="19" spans="1:7" ht="25.5">
      <c r="A19" s="55"/>
      <c r="B19" s="55" t="s">
        <v>1408</v>
      </c>
      <c r="C19" s="55" t="s">
        <v>1409</v>
      </c>
      <c r="D19" s="55" t="s">
        <v>1410</v>
      </c>
      <c r="E19" s="55" t="s">
        <v>88</v>
      </c>
      <c r="F19" s="55"/>
      <c r="G19" s="55"/>
    </row>
    <row r="20" spans="1:7" ht="25.5">
      <c r="A20" s="57" t="s">
        <v>1377</v>
      </c>
      <c r="B20" s="57" t="s">
        <v>1411</v>
      </c>
      <c r="C20" s="57" t="s">
        <v>1412</v>
      </c>
      <c r="D20" s="57" t="s">
        <v>1400</v>
      </c>
      <c r="E20" s="57" t="s">
        <v>88</v>
      </c>
      <c r="F20" s="57"/>
      <c r="G20" s="57"/>
    </row>
    <row r="21" spans="1:7" ht="25.5">
      <c r="A21" s="55"/>
      <c r="B21" s="55" t="s">
        <v>1413</v>
      </c>
      <c r="C21" s="55" t="s">
        <v>1414</v>
      </c>
      <c r="D21" s="55" t="s">
        <v>1400</v>
      </c>
      <c r="E21" s="55" t="s">
        <v>88</v>
      </c>
      <c r="F21" s="55"/>
      <c r="G21" s="55"/>
    </row>
    <row r="22" spans="1:7" ht="25.5">
      <c r="A22" s="57"/>
      <c r="B22" s="57" t="s">
        <v>1415</v>
      </c>
      <c r="C22" s="57" t="s">
        <v>1416</v>
      </c>
      <c r="D22" s="57" t="s">
        <v>1400</v>
      </c>
      <c r="E22" s="57" t="s">
        <v>88</v>
      </c>
      <c r="F22" s="57"/>
      <c r="G22" s="57"/>
    </row>
    <row r="23" spans="1:7">
      <c r="A23" s="55"/>
      <c r="B23" s="55" t="s">
        <v>1417</v>
      </c>
      <c r="C23" s="55" t="s">
        <v>1418</v>
      </c>
      <c r="D23" s="55" t="s">
        <v>1400</v>
      </c>
      <c r="E23" s="55" t="s">
        <v>88</v>
      </c>
      <c r="F23" s="55"/>
      <c r="G23" s="55"/>
    </row>
    <row r="24" spans="1:7" ht="25.5">
      <c r="A24" s="57"/>
      <c r="B24" s="57" t="s">
        <v>1419</v>
      </c>
      <c r="C24" s="57" t="s">
        <v>1420</v>
      </c>
      <c r="D24" s="57" t="s">
        <v>1400</v>
      </c>
      <c r="E24" s="57" t="s">
        <v>88</v>
      </c>
      <c r="F24" s="57"/>
      <c r="G24" s="57"/>
    </row>
    <row r="25" spans="1:7">
      <c r="A25" s="55"/>
      <c r="B25" s="55"/>
      <c r="C25" s="55"/>
      <c r="D25" s="55"/>
      <c r="E25" s="55"/>
      <c r="F25" s="55"/>
      <c r="G25" s="55"/>
    </row>
    <row r="26" spans="1:7">
      <c r="A26" s="57" t="s">
        <v>1421</v>
      </c>
      <c r="B26" s="57"/>
      <c r="C26" s="57"/>
      <c r="D26" s="57"/>
      <c r="E26" s="57"/>
      <c r="F26" s="57"/>
      <c r="G26" s="57"/>
    </row>
    <row r="27" spans="1:7">
      <c r="A27" s="55" t="s">
        <v>250</v>
      </c>
      <c r="B27" s="55" t="s">
        <v>1367</v>
      </c>
      <c r="C27" s="55" t="s">
        <v>1372</v>
      </c>
      <c r="D27" s="55" t="s">
        <v>1377</v>
      </c>
      <c r="E27" s="55"/>
      <c r="F27" s="55"/>
      <c r="G27" s="55"/>
    </row>
    <row r="28" spans="1:7" ht="15">
      <c r="A28" s="47" t="s">
        <v>1422</v>
      </c>
      <c r="B28" s="47" t="s">
        <v>1423</v>
      </c>
      <c r="C28" s="47" t="s">
        <v>1424</v>
      </c>
      <c r="D28" s="47" t="s">
        <v>1400</v>
      </c>
      <c r="E28" s="47"/>
      <c r="F28" s="47"/>
      <c r="G28" s="47"/>
    </row>
    <row r="29" spans="1:7" ht="25.5">
      <c r="A29" s="42" t="s">
        <v>43</v>
      </c>
      <c r="B29" s="42" t="s">
        <v>1425</v>
      </c>
      <c r="C29" s="42" t="s">
        <v>1426</v>
      </c>
      <c r="D29" s="42" t="s">
        <v>1427</v>
      </c>
      <c r="E29" s="42"/>
      <c r="F29" s="42"/>
      <c r="G29" s="42"/>
    </row>
    <row r="30" spans="1:7">
      <c r="A30" s="57" t="s">
        <v>437</v>
      </c>
      <c r="B30" s="57" t="s">
        <v>1428</v>
      </c>
      <c r="C30" s="57" t="s">
        <v>1429</v>
      </c>
      <c r="D30" s="57" t="s">
        <v>1430</v>
      </c>
      <c r="E30" s="57"/>
      <c r="F30" s="57"/>
      <c r="G30" s="57"/>
    </row>
    <row r="31" spans="1:7">
      <c r="A31" s="55" t="s">
        <v>1431</v>
      </c>
      <c r="B31" s="55" t="s">
        <v>1432</v>
      </c>
      <c r="C31" s="55" t="s">
        <v>1433</v>
      </c>
      <c r="D31" s="55" t="s">
        <v>1434</v>
      </c>
      <c r="E31" s="55"/>
      <c r="F31" s="55"/>
      <c r="G31" s="55"/>
    </row>
    <row r="32" spans="1:7">
      <c r="A32" s="57" t="s">
        <v>1435</v>
      </c>
      <c r="B32" s="57" t="s">
        <v>1436</v>
      </c>
      <c r="C32" s="57" t="s">
        <v>1437</v>
      </c>
      <c r="D32" s="57" t="s">
        <v>1437</v>
      </c>
      <c r="E32" s="57"/>
      <c r="F32" s="57"/>
      <c r="G32" s="57"/>
    </row>
    <row r="33" spans="1:7">
      <c r="A33" s="55" t="s">
        <v>1438</v>
      </c>
      <c r="B33" s="55" t="s">
        <v>1439</v>
      </c>
      <c r="C33" s="55" t="s">
        <v>1440</v>
      </c>
      <c r="D33" s="55" t="s">
        <v>1441</v>
      </c>
      <c r="E33" s="55"/>
      <c r="F33" s="55"/>
      <c r="G33" s="55"/>
    </row>
    <row r="34" spans="1:7">
      <c r="A34" s="57" t="s">
        <v>1442</v>
      </c>
      <c r="B34" s="57" t="s">
        <v>1443</v>
      </c>
      <c r="C34" s="57" t="s">
        <v>1444</v>
      </c>
      <c r="D34" s="57" t="s">
        <v>1444</v>
      </c>
      <c r="E34" s="57"/>
      <c r="F34" s="57"/>
      <c r="G34" s="57"/>
    </row>
    <row r="35" spans="1:7">
      <c r="A35" s="55"/>
      <c r="B35" s="55"/>
      <c r="C35" s="55"/>
      <c r="D35" s="55"/>
      <c r="E35" s="55"/>
      <c r="F35" s="55"/>
      <c r="G35" s="55"/>
    </row>
    <row r="36" spans="1:7">
      <c r="A36" s="57"/>
      <c r="B36" s="57"/>
      <c r="C36" s="57"/>
      <c r="D36" s="57"/>
      <c r="E36" s="57"/>
      <c r="F36" s="57"/>
      <c r="G36" s="57"/>
    </row>
    <row r="37" spans="1:7">
      <c r="A37" s="55" t="s">
        <v>1445</v>
      </c>
      <c r="B37" s="55"/>
      <c r="C37" s="55"/>
      <c r="D37" s="55"/>
      <c r="E37" s="55"/>
      <c r="F37" s="55"/>
      <c r="G37" s="55"/>
    </row>
    <row r="38" spans="1:7">
      <c r="A38" s="57" t="s">
        <v>94</v>
      </c>
      <c r="B38" s="57" t="s">
        <v>1446</v>
      </c>
      <c r="C38" s="57" t="s">
        <v>1447</v>
      </c>
      <c r="D38" s="57" t="s">
        <v>1448</v>
      </c>
      <c r="E38" s="57"/>
      <c r="F38" s="57"/>
      <c r="G38" s="57"/>
    </row>
    <row r="39" spans="1:7" ht="15">
      <c r="A39" s="49" t="s">
        <v>1367</v>
      </c>
      <c r="B39" s="49" t="s">
        <v>136</v>
      </c>
      <c r="C39" s="49" t="s">
        <v>1449</v>
      </c>
      <c r="D39" s="49" t="s">
        <v>1450</v>
      </c>
      <c r="E39" s="49"/>
      <c r="F39" s="49"/>
      <c r="G39" s="49"/>
    </row>
    <row r="40" spans="1:7">
      <c r="A40" s="42"/>
      <c r="B40" s="42" t="s">
        <v>143</v>
      </c>
      <c r="C40" s="42" t="s">
        <v>195</v>
      </c>
      <c r="D40" s="42" t="s">
        <v>1451</v>
      </c>
      <c r="E40" s="42"/>
      <c r="F40" s="42"/>
      <c r="G40" s="42"/>
    </row>
    <row r="41" spans="1:7">
      <c r="A41" s="55"/>
      <c r="B41" s="55" t="s">
        <v>1452</v>
      </c>
      <c r="C41" s="55" t="s">
        <v>1453</v>
      </c>
      <c r="D41" s="55" t="s">
        <v>1454</v>
      </c>
      <c r="E41" s="55"/>
      <c r="F41" s="55"/>
      <c r="G41" s="55"/>
    </row>
    <row r="42" spans="1:7">
      <c r="A42" s="57"/>
      <c r="B42" s="57" t="s">
        <v>1455</v>
      </c>
      <c r="C42" s="57" t="s">
        <v>1456</v>
      </c>
      <c r="D42" s="57" t="s">
        <v>1457</v>
      </c>
      <c r="E42" s="57"/>
      <c r="F42" s="57"/>
      <c r="G42" s="57"/>
    </row>
    <row r="43" spans="1:7">
      <c r="A43" s="55" t="s">
        <v>1372</v>
      </c>
      <c r="B43" s="55" t="s">
        <v>1458</v>
      </c>
      <c r="C43" s="55" t="s">
        <v>1459</v>
      </c>
      <c r="D43" s="55" t="s">
        <v>1460</v>
      </c>
      <c r="E43" s="55"/>
      <c r="F43" s="55"/>
      <c r="G43" s="55"/>
    </row>
    <row r="44" spans="1:7">
      <c r="A44" s="57"/>
      <c r="B44" s="57" t="s">
        <v>1461</v>
      </c>
      <c r="C44" s="57" t="s">
        <v>1462</v>
      </c>
      <c r="D44" s="57" t="s">
        <v>1463</v>
      </c>
      <c r="E44" s="57"/>
      <c r="F44" s="57"/>
      <c r="G44" s="57"/>
    </row>
    <row r="45" spans="1:7">
      <c r="A45" s="55"/>
      <c r="B45" s="55" t="s">
        <v>1464</v>
      </c>
      <c r="C45" s="55" t="s">
        <v>1465</v>
      </c>
      <c r="D45" s="55" t="s">
        <v>1466</v>
      </c>
      <c r="E45" s="55"/>
      <c r="F45" s="55"/>
      <c r="G45" s="55"/>
    </row>
    <row r="46" spans="1:7">
      <c r="A46" s="57" t="s">
        <v>1377</v>
      </c>
      <c r="B46" s="57" t="s">
        <v>1467</v>
      </c>
      <c r="C46" s="57" t="s">
        <v>1468</v>
      </c>
      <c r="D46" s="57" t="s">
        <v>1469</v>
      </c>
      <c r="E46" s="57"/>
      <c r="F46" s="57"/>
      <c r="G46" s="57"/>
    </row>
    <row r="47" spans="1:7">
      <c r="A47" s="55"/>
      <c r="B47" s="55" t="s">
        <v>1464</v>
      </c>
      <c r="C47" s="55" t="s">
        <v>1470</v>
      </c>
      <c r="D47" s="55" t="s">
        <v>1471</v>
      </c>
      <c r="E47" s="55"/>
      <c r="F47" s="55"/>
      <c r="G47" s="55"/>
    </row>
    <row r="48" spans="1:7">
      <c r="A48" s="57"/>
      <c r="B48" s="57"/>
      <c r="C48" s="57"/>
      <c r="D48" s="57"/>
      <c r="E48" s="57"/>
      <c r="F48" s="57"/>
      <c r="G48" s="57"/>
    </row>
    <row r="49" spans="1:7">
      <c r="A49" s="55" t="s">
        <v>1472</v>
      </c>
      <c r="B49" s="55"/>
      <c r="C49" s="55"/>
      <c r="D49" s="55"/>
      <c r="E49" s="55"/>
      <c r="F49" s="55"/>
      <c r="G49" s="55"/>
    </row>
    <row r="50" spans="1:7">
      <c r="A50" s="57" t="s">
        <v>805</v>
      </c>
      <c r="B50" s="57" t="s">
        <v>1367</v>
      </c>
      <c r="C50" s="57" t="s">
        <v>1372</v>
      </c>
      <c r="D50" s="57" t="s">
        <v>1377</v>
      </c>
      <c r="E50" s="57" t="s">
        <v>731</v>
      </c>
      <c r="F50" s="57"/>
      <c r="G50" s="57"/>
    </row>
    <row r="51" spans="1:7" ht="30">
      <c r="A51" s="46" t="s">
        <v>1473</v>
      </c>
      <c r="B51" s="46" t="s">
        <v>1474</v>
      </c>
      <c r="C51" s="46" t="s">
        <v>1475</v>
      </c>
      <c r="D51" s="46" t="s">
        <v>1476</v>
      </c>
      <c r="E51" s="46" t="s">
        <v>1477</v>
      </c>
      <c r="F51" s="46"/>
      <c r="G51" s="46"/>
    </row>
    <row r="52" spans="1:7" ht="25.5">
      <c r="A52" s="42" t="s">
        <v>510</v>
      </c>
      <c r="B52" s="42" t="s">
        <v>1474</v>
      </c>
      <c r="C52" s="42" t="s">
        <v>1474</v>
      </c>
      <c r="D52" s="42" t="s">
        <v>1474</v>
      </c>
      <c r="E52" s="42" t="s">
        <v>1478</v>
      </c>
      <c r="F52" s="42"/>
      <c r="G52" s="42"/>
    </row>
    <row r="53" spans="1:7" ht="25.5">
      <c r="A53" s="55" t="s">
        <v>732</v>
      </c>
      <c r="B53" s="55" t="s">
        <v>1474</v>
      </c>
      <c r="C53" s="55" t="s">
        <v>1479</v>
      </c>
      <c r="D53" s="55" t="s">
        <v>1480</v>
      </c>
      <c r="E53" s="55" t="s">
        <v>1481</v>
      </c>
      <c r="F53" s="55"/>
      <c r="G53" s="55"/>
    </row>
    <row r="54" spans="1:7">
      <c r="A54" s="57" t="s">
        <v>807</v>
      </c>
      <c r="B54" s="57" t="s">
        <v>1474</v>
      </c>
      <c r="C54" s="57" t="s">
        <v>1474</v>
      </c>
      <c r="D54" s="57" t="s">
        <v>1476</v>
      </c>
      <c r="E54" s="57" t="s">
        <v>1482</v>
      </c>
      <c r="F54" s="57"/>
      <c r="G54" s="57"/>
    </row>
    <row r="55" spans="1:7">
      <c r="A55" s="55" t="s">
        <v>809</v>
      </c>
      <c r="B55" s="55" t="s">
        <v>1474</v>
      </c>
      <c r="C55" s="55" t="s">
        <v>1474</v>
      </c>
      <c r="D55" s="55" t="s">
        <v>1474</v>
      </c>
      <c r="E55" s="55" t="s">
        <v>1483</v>
      </c>
      <c r="F55" s="55"/>
      <c r="G55" s="55"/>
    </row>
    <row r="56" spans="1:7">
      <c r="A56" s="57" t="s">
        <v>808</v>
      </c>
      <c r="B56" s="57" t="s">
        <v>1484</v>
      </c>
      <c r="C56" s="57" t="s">
        <v>1485</v>
      </c>
      <c r="D56" s="57" t="s">
        <v>1476</v>
      </c>
      <c r="E56" s="57" t="s">
        <v>1486</v>
      </c>
      <c r="F56" s="57"/>
      <c r="G56" s="57"/>
    </row>
    <row r="57" spans="1:7">
      <c r="A57" s="55"/>
      <c r="B57" s="55"/>
      <c r="C57" s="55"/>
      <c r="D57" s="55"/>
      <c r="E57" s="55"/>
      <c r="F57" s="55"/>
      <c r="G57" s="55"/>
    </row>
    <row r="58" spans="1:7">
      <c r="A58" s="57" t="s">
        <v>1487</v>
      </c>
      <c r="B58" s="57"/>
      <c r="C58" s="57"/>
      <c r="D58" s="57"/>
      <c r="E58" s="57"/>
      <c r="F58" s="57"/>
      <c r="G58" s="57"/>
    </row>
    <row r="59" spans="1:7">
      <c r="A59" s="55" t="s">
        <v>94</v>
      </c>
      <c r="B59" s="55" t="s">
        <v>987</v>
      </c>
      <c r="C59" s="55" t="s">
        <v>165</v>
      </c>
      <c r="D59" s="55" t="s">
        <v>211</v>
      </c>
      <c r="E59" s="55"/>
      <c r="F59" s="55"/>
      <c r="G59" s="55"/>
    </row>
    <row r="60" spans="1:7" ht="30">
      <c r="A60" s="50" t="s">
        <v>1367</v>
      </c>
      <c r="B60" s="50" t="s">
        <v>1488</v>
      </c>
      <c r="C60" s="50" t="s">
        <v>1489</v>
      </c>
      <c r="D60" s="50" t="s">
        <v>1225</v>
      </c>
      <c r="E60" s="50"/>
      <c r="F60" s="50"/>
      <c r="G60" s="50"/>
    </row>
    <row r="61" spans="1:7">
      <c r="A61" s="42" t="s">
        <v>1367</v>
      </c>
      <c r="B61" s="42" t="s">
        <v>1490</v>
      </c>
      <c r="C61" s="42" t="s">
        <v>1491</v>
      </c>
      <c r="D61" s="42" t="s">
        <v>1225</v>
      </c>
      <c r="E61" s="42"/>
      <c r="F61" s="42"/>
      <c r="G61" s="42"/>
    </row>
    <row r="62" spans="1:7">
      <c r="A62" s="57" t="s">
        <v>1367</v>
      </c>
      <c r="B62" s="57" t="s">
        <v>1492</v>
      </c>
      <c r="C62" s="57" t="s">
        <v>1493</v>
      </c>
      <c r="D62" s="57" t="s">
        <v>1225</v>
      </c>
      <c r="E62" s="57"/>
      <c r="F62" s="57"/>
      <c r="G62" s="57"/>
    </row>
    <row r="63" spans="1:7">
      <c r="A63" s="55" t="s">
        <v>1367</v>
      </c>
      <c r="B63" s="55" t="s">
        <v>1494</v>
      </c>
      <c r="C63" s="55" t="s">
        <v>1495</v>
      </c>
      <c r="D63" s="55" t="s">
        <v>1496</v>
      </c>
      <c r="E63" s="55"/>
      <c r="F63" s="55"/>
      <c r="G63" s="55"/>
    </row>
    <row r="64" spans="1:7">
      <c r="A64" s="57" t="s">
        <v>1372</v>
      </c>
      <c r="B64" s="57" t="s">
        <v>1497</v>
      </c>
      <c r="C64" s="57" t="s">
        <v>1498</v>
      </c>
      <c r="D64" s="57" t="s">
        <v>1496</v>
      </c>
      <c r="E64" s="57"/>
      <c r="F64" s="57"/>
      <c r="G64" s="57"/>
    </row>
    <row r="65" spans="1:7" ht="25.5">
      <c r="A65" s="55" t="s">
        <v>1372</v>
      </c>
      <c r="B65" s="55" t="s">
        <v>1499</v>
      </c>
      <c r="C65" s="55" t="s">
        <v>1500</v>
      </c>
      <c r="D65" s="55" t="s">
        <v>1225</v>
      </c>
      <c r="E65" s="55"/>
      <c r="F65" s="55"/>
      <c r="G65" s="55"/>
    </row>
    <row r="66" spans="1:7">
      <c r="A66" s="57" t="s">
        <v>1377</v>
      </c>
      <c r="B66" s="57" t="s">
        <v>1501</v>
      </c>
      <c r="C66" s="57" t="s">
        <v>1502</v>
      </c>
      <c r="D66" s="57" t="s">
        <v>1503</v>
      </c>
      <c r="E66" s="57"/>
      <c r="F66" s="57"/>
      <c r="G66" s="57"/>
    </row>
    <row r="67" spans="1:7" ht="25.5">
      <c r="A67" s="55" t="s">
        <v>257</v>
      </c>
      <c r="B67" s="55" t="s">
        <v>1504</v>
      </c>
      <c r="C67" s="55" t="s">
        <v>1505</v>
      </c>
      <c r="D67" s="55" t="s">
        <v>1496</v>
      </c>
      <c r="E67" s="55"/>
      <c r="F67" s="55"/>
      <c r="G67" s="55"/>
    </row>
    <row r="68" spans="1:7" ht="25.5">
      <c r="A68" s="57" t="s">
        <v>257</v>
      </c>
      <c r="B68" s="57" t="s">
        <v>1506</v>
      </c>
      <c r="C68" s="57" t="s">
        <v>1507</v>
      </c>
      <c r="D68" s="57" t="s">
        <v>1225</v>
      </c>
      <c r="E68" s="57"/>
      <c r="F68" s="57"/>
      <c r="G68" s="57"/>
    </row>
    <row r="69" spans="1:7">
      <c r="A69" s="55"/>
      <c r="B69" s="55"/>
      <c r="C69" s="55"/>
      <c r="D69" s="55"/>
      <c r="E69" s="55"/>
      <c r="F69" s="55"/>
      <c r="G69" s="55"/>
    </row>
    <row r="70" spans="1:7">
      <c r="A70" s="57"/>
      <c r="B70" s="57"/>
      <c r="C70" s="57"/>
      <c r="D70" s="57"/>
      <c r="E70" s="57"/>
      <c r="F70" s="57"/>
      <c r="G70" s="57"/>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IA333"/>
  <sheetViews>
    <sheetView tabSelected="1" workbookViewId="0">
      <selection activeCell="J35" sqref="J35"/>
    </sheetView>
  </sheetViews>
  <sheetFormatPr defaultColWidth="12.5703125" defaultRowHeight="12.75"/>
  <cols>
    <col min="1" max="1" width="28" customWidth="1"/>
    <col min="2" max="2" width="13.7109375" customWidth="1"/>
    <col min="3" max="3" width="18.5703125" customWidth="1"/>
    <col min="4" max="4" width="16" customWidth="1"/>
    <col min="5" max="5" width="46.7109375" customWidth="1"/>
    <col min="6" max="6" width="35.7109375" customWidth="1"/>
    <col min="7" max="7" width="20.5703125" customWidth="1"/>
    <col min="8" max="8" width="8" customWidth="1"/>
    <col min="9" max="9" width="9.42578125" customWidth="1"/>
    <col min="10" max="10" width="12.28515625" customWidth="1"/>
    <col min="11" max="11" width="12.140625" customWidth="1"/>
    <col min="12" max="13" width="8.140625" customWidth="1"/>
    <col min="14" max="14" width="8.28515625" customWidth="1"/>
    <col min="15" max="15" width="9.5703125" customWidth="1"/>
    <col min="16" max="16" width="10.85546875" customWidth="1"/>
    <col min="17" max="17" width="8.5703125" customWidth="1"/>
    <col min="18" max="18" width="8.7109375" customWidth="1"/>
    <col min="19" max="19" width="11.140625" customWidth="1"/>
    <col min="20" max="20" width="11.42578125" customWidth="1"/>
    <col min="21" max="21" width="11.28515625" customWidth="1"/>
    <col min="22" max="22" width="14.140625" customWidth="1"/>
    <col min="23" max="23" width="8.5703125" customWidth="1"/>
    <col min="24" max="24" width="15.42578125" customWidth="1"/>
    <col min="25" max="25" width="9.42578125" customWidth="1"/>
    <col min="26" max="26" width="8.5703125" customWidth="1"/>
    <col min="27" max="27" width="10.28515625" customWidth="1"/>
    <col min="28" max="28" width="9.5703125" customWidth="1"/>
    <col min="29" max="29" width="9.7109375" customWidth="1"/>
    <col min="30" max="30" width="12.140625" customWidth="1"/>
    <col min="31" max="31" width="10.28515625" customWidth="1"/>
    <col min="32" max="32" width="9.85546875" customWidth="1"/>
    <col min="33" max="34" width="10.28515625" customWidth="1"/>
    <col min="35" max="35" width="10.140625" customWidth="1"/>
    <col min="36" max="38" width="11.7109375" customWidth="1"/>
    <col min="39" max="39" width="12.42578125" customWidth="1"/>
    <col min="40" max="40" width="8.140625" customWidth="1"/>
    <col min="41" max="41" width="7.28515625" customWidth="1"/>
    <col min="42" max="42" width="10.28515625" customWidth="1"/>
    <col min="43" max="43" width="8.5703125" customWidth="1"/>
    <col min="44" max="44" width="7.28515625" customWidth="1"/>
    <col min="45" max="45" width="9.42578125" customWidth="1"/>
    <col min="46" max="46" width="8.42578125" customWidth="1"/>
    <col min="47" max="47" width="12" customWidth="1"/>
    <col min="48" max="48" width="9" customWidth="1"/>
    <col min="49" max="49" width="8.85546875" customWidth="1"/>
    <col min="50" max="50" width="7.7109375" customWidth="1"/>
    <col min="51" max="51" width="10.85546875" customWidth="1"/>
    <col min="52" max="52" width="11.28515625" customWidth="1"/>
    <col min="53" max="53" width="14.7109375" customWidth="1"/>
    <col min="54" max="54" width="14.85546875" customWidth="1"/>
    <col min="55" max="55" width="11" customWidth="1"/>
    <col min="56" max="56" width="9.5703125" customWidth="1"/>
    <col min="57" max="59" width="9.42578125" customWidth="1"/>
    <col min="60" max="60" width="8.28515625" customWidth="1"/>
    <col min="61" max="61" width="9.42578125" customWidth="1"/>
    <col min="62" max="62" width="8" customWidth="1"/>
    <col min="63" max="63" width="7.7109375" customWidth="1"/>
    <col min="64" max="64" width="11" customWidth="1"/>
    <col min="65" max="65" width="8.7109375" customWidth="1"/>
    <col min="66" max="66" width="7.28515625" customWidth="1"/>
    <col min="67" max="67" width="7.42578125" customWidth="1"/>
    <col min="68" max="68" width="9" customWidth="1"/>
    <col min="69" max="69" width="10.42578125" customWidth="1"/>
    <col min="70" max="71" width="9.42578125" customWidth="1"/>
    <col min="72" max="72" width="9.140625" customWidth="1"/>
    <col min="73" max="73" width="8.42578125" customWidth="1"/>
    <col min="74" max="74" width="8.28515625" customWidth="1"/>
    <col min="75" max="80" width="7.28515625" customWidth="1"/>
    <col min="81" max="81" width="10.7109375" customWidth="1"/>
    <col min="82" max="89" width="7.28515625" customWidth="1"/>
    <col min="90" max="90" width="8.28515625" customWidth="1"/>
    <col min="91" max="91" width="7.28515625" customWidth="1"/>
    <col min="92" max="92" width="6.42578125" customWidth="1"/>
    <col min="93" max="95" width="7.28515625" customWidth="1"/>
    <col min="96" max="96" width="7.140625" customWidth="1"/>
    <col min="97" max="97" width="9.140625" customWidth="1"/>
    <col min="98" max="100" width="13.42578125" customWidth="1"/>
    <col min="101" max="101" width="24.7109375" customWidth="1"/>
    <col min="102" max="102" width="11.85546875" customWidth="1"/>
    <col min="103" max="111" width="7.28515625" customWidth="1"/>
    <col min="112" max="112" width="9.42578125" customWidth="1"/>
    <col min="113" max="114" width="7.28515625" customWidth="1"/>
    <col min="115" max="115" width="5.5703125" customWidth="1"/>
    <col min="116" max="116" width="7.140625" customWidth="1"/>
    <col min="117" max="129" width="7.28515625" customWidth="1"/>
    <col min="130" max="131" width="8" customWidth="1"/>
    <col min="132" max="132" width="7.28515625" customWidth="1"/>
    <col min="133" max="133" width="6.7109375" customWidth="1"/>
    <col min="134" max="134" width="6.85546875" customWidth="1"/>
    <col min="135" max="135" width="6.7109375" customWidth="1"/>
    <col min="136" max="136" width="7.42578125" customWidth="1"/>
    <col min="137" max="137" width="5.42578125" customWidth="1"/>
    <col min="138" max="140" width="7.28515625" customWidth="1"/>
    <col min="141" max="141" width="8.28515625" customWidth="1"/>
    <col min="142" max="143" width="7.28515625" customWidth="1"/>
    <col min="144" max="144" width="3.85546875" customWidth="1"/>
    <col min="145" max="145" width="8" customWidth="1"/>
    <col min="146" max="146" width="6.42578125" hidden="1" customWidth="1"/>
    <col min="147" max="147" width="8" hidden="1" customWidth="1"/>
    <col min="148" max="148" width="7.28515625" hidden="1" customWidth="1"/>
    <col min="149" max="149" width="6.7109375" hidden="1" customWidth="1"/>
    <col min="150" max="150" width="7" hidden="1" customWidth="1"/>
    <col min="151" max="151" width="7.140625" hidden="1" customWidth="1"/>
    <col min="152" max="152" width="8" hidden="1" customWidth="1"/>
    <col min="153" max="158" width="7.28515625" hidden="1" customWidth="1"/>
    <col min="159" max="159" width="7" hidden="1" customWidth="1"/>
    <col min="160" max="160" width="3.85546875" hidden="1" customWidth="1"/>
    <col min="161" max="161" width="7.42578125" hidden="1" customWidth="1"/>
    <col min="162" max="162" width="10.5703125" hidden="1" customWidth="1"/>
    <col min="163" max="163" width="7" hidden="1" customWidth="1"/>
    <col min="164" max="164" width="7.140625" hidden="1" customWidth="1"/>
    <col min="165" max="165" width="9" hidden="1" customWidth="1"/>
    <col min="166" max="166" width="8" hidden="1" customWidth="1"/>
    <col min="167" max="167" width="9" hidden="1" customWidth="1"/>
    <col min="168" max="168" width="9" customWidth="1"/>
    <col min="169" max="169" width="5.42578125" customWidth="1"/>
    <col min="170" max="170" width="5.7109375" customWidth="1"/>
    <col min="171" max="171" width="3.85546875" customWidth="1"/>
    <col min="172" max="172" width="7.28515625" customWidth="1"/>
    <col min="173" max="174" width="8" customWidth="1"/>
    <col min="175" max="175" width="8.85546875" customWidth="1"/>
    <col min="176" max="177" width="8" customWidth="1"/>
    <col min="178" max="178" width="9.7109375" customWidth="1"/>
    <col min="179" max="179" width="9.42578125" customWidth="1"/>
    <col min="180" max="183" width="8" customWidth="1"/>
    <col min="184" max="184" width="8.42578125" customWidth="1"/>
    <col min="185" max="185" width="7.28515625" customWidth="1"/>
    <col min="186" max="186" width="8.5703125" customWidth="1"/>
    <col min="187" max="188" width="5.42578125" customWidth="1"/>
    <col min="189" max="189" width="7.28515625" customWidth="1"/>
    <col min="190" max="190" width="8.28515625" customWidth="1"/>
    <col min="191" max="191" width="6.7109375" customWidth="1"/>
    <col min="192" max="192" width="3.85546875" customWidth="1"/>
    <col min="193" max="193" width="8.5703125" customWidth="1"/>
    <col min="194" max="235" width="8.28515625" customWidth="1"/>
  </cols>
  <sheetData>
    <row r="1" spans="1:195" ht="58.5">
      <c r="A1" s="65" t="s">
        <v>815</v>
      </c>
      <c r="B1" s="65"/>
      <c r="C1" s="65"/>
      <c r="D1" s="65"/>
      <c r="E1" s="65"/>
      <c r="F1" s="65"/>
      <c r="G1" s="65"/>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
      <c r="FG1" s="3"/>
      <c r="FH1" s="3"/>
      <c r="FI1" s="3"/>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row>
    <row r="2" spans="1:195" ht="38.25">
      <c r="A2" s="55" t="s">
        <v>816</v>
      </c>
      <c r="B2" s="55"/>
      <c r="C2" s="55"/>
      <c r="D2" s="55"/>
      <c r="E2" s="55"/>
      <c r="F2" s="55"/>
      <c r="G2" s="55"/>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row>
    <row r="3" spans="1:195">
      <c r="A3" s="52"/>
      <c r="B3" s="52"/>
      <c r="C3" s="52"/>
      <c r="D3" s="52"/>
      <c r="E3" s="52"/>
      <c r="F3" s="52"/>
      <c r="G3" s="52"/>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59"/>
      <c r="FG3" s="59"/>
      <c r="FH3" s="59"/>
      <c r="FI3" s="59"/>
    </row>
    <row r="4" spans="1:195">
      <c r="A4" s="23" t="s">
        <v>817</v>
      </c>
      <c r="B4" s="23" t="s">
        <v>818</v>
      </c>
      <c r="C4" s="23" t="s">
        <v>819</v>
      </c>
      <c r="D4" s="23" t="s">
        <v>820</v>
      </c>
      <c r="E4" s="23" t="s">
        <v>821</v>
      </c>
      <c r="F4" s="23" t="s">
        <v>255</v>
      </c>
      <c r="G4" s="23" t="s">
        <v>822</v>
      </c>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60"/>
      <c r="FG4" s="61"/>
      <c r="FH4" s="62"/>
      <c r="FI4" s="61"/>
    </row>
    <row r="5" spans="1:195" ht="15">
      <c r="A5" s="48" t="s">
        <v>823</v>
      </c>
      <c r="B5" s="48"/>
      <c r="C5" s="48"/>
      <c r="D5" s="48"/>
      <c r="E5" s="48"/>
      <c r="F5" s="48"/>
      <c r="G5" s="48"/>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60"/>
      <c r="FG5" s="61"/>
      <c r="FH5" s="60"/>
      <c r="FI5" s="60"/>
    </row>
    <row r="6" spans="1:195">
      <c r="A6" s="55"/>
      <c r="B6" s="55" t="s">
        <v>824</v>
      </c>
      <c r="C6" s="55" t="s">
        <v>2</v>
      </c>
      <c r="D6" s="55" t="s">
        <v>825</v>
      </c>
      <c r="E6" s="55" t="s">
        <v>826</v>
      </c>
      <c r="F6" s="55" t="s">
        <v>827</v>
      </c>
      <c r="G6" s="55"/>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60"/>
      <c r="FG6" s="61"/>
      <c r="FH6" s="60"/>
      <c r="FI6" s="60"/>
    </row>
    <row r="7" spans="1:195">
      <c r="A7" s="57"/>
      <c r="B7" s="57" t="s">
        <v>824</v>
      </c>
      <c r="C7" s="57" t="s">
        <v>3</v>
      </c>
      <c r="D7" s="57" t="s">
        <v>828</v>
      </c>
      <c r="E7" s="57" t="s">
        <v>829</v>
      </c>
      <c r="F7" s="57" t="s">
        <v>830</v>
      </c>
      <c r="G7" s="57"/>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62"/>
      <c r="FG7" s="61"/>
      <c r="FH7" s="60"/>
      <c r="FI7" s="60"/>
    </row>
    <row r="8" spans="1:195" ht="25.5">
      <c r="A8" s="55"/>
      <c r="B8" s="55" t="s">
        <v>824</v>
      </c>
      <c r="C8" s="55" t="s">
        <v>4</v>
      </c>
      <c r="D8" s="55" t="s">
        <v>828</v>
      </c>
      <c r="E8" s="55" t="s">
        <v>831</v>
      </c>
      <c r="F8" s="55" t="s">
        <v>832</v>
      </c>
      <c r="G8" s="55"/>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60"/>
      <c r="FG8" s="61"/>
      <c r="FH8" s="60"/>
      <c r="FI8" s="60"/>
    </row>
    <row r="9" spans="1:195">
      <c r="A9" s="57"/>
      <c r="B9" s="57" t="s">
        <v>824</v>
      </c>
      <c r="C9" s="57" t="s">
        <v>5</v>
      </c>
      <c r="D9" s="57" t="s">
        <v>828</v>
      </c>
      <c r="E9" s="57" t="s">
        <v>833</v>
      </c>
      <c r="F9" s="57"/>
      <c r="G9" s="57"/>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c r="DH9" s="36"/>
      <c r="DI9" s="36"/>
      <c r="DJ9" s="36"/>
      <c r="DK9" s="36"/>
      <c r="DL9" s="36"/>
      <c r="DM9" s="36"/>
      <c r="DN9" s="36"/>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c r="ER9" s="36"/>
      <c r="ES9" s="36"/>
      <c r="ET9" s="36"/>
      <c r="EU9" s="36"/>
      <c r="EV9" s="36"/>
      <c r="EW9" s="36"/>
      <c r="EX9" s="36"/>
      <c r="EY9" s="36"/>
      <c r="EZ9" s="36"/>
      <c r="FA9" s="36"/>
      <c r="FB9" s="36"/>
      <c r="FC9" s="36"/>
      <c r="FD9" s="36"/>
      <c r="FE9" s="36"/>
      <c r="FF9" s="60"/>
      <c r="FG9" s="61"/>
      <c r="FH9" s="60"/>
      <c r="FI9" s="60"/>
    </row>
    <row r="10" spans="1:195" ht="25.5">
      <c r="A10" s="55"/>
      <c r="B10" s="55" t="s">
        <v>824</v>
      </c>
      <c r="C10" s="55" t="s">
        <v>6</v>
      </c>
      <c r="D10" s="55" t="s">
        <v>828</v>
      </c>
      <c r="E10" s="55" t="s">
        <v>834</v>
      </c>
      <c r="F10" s="55"/>
      <c r="G10" s="55" t="s">
        <v>835</v>
      </c>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60"/>
      <c r="FG10" s="61"/>
      <c r="FH10" s="60"/>
      <c r="FI10" s="60"/>
    </row>
    <row r="11" spans="1:195">
      <c r="A11" s="57"/>
      <c r="B11" s="57" t="s">
        <v>824</v>
      </c>
      <c r="C11" s="57" t="s">
        <v>7</v>
      </c>
      <c r="D11" s="57" t="s">
        <v>825</v>
      </c>
      <c r="E11" s="57" t="s">
        <v>76</v>
      </c>
      <c r="F11" s="57"/>
      <c r="G11" s="57"/>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c r="DG11" s="36"/>
      <c r="DH11" s="36"/>
      <c r="DI11" s="36"/>
      <c r="DJ11" s="36"/>
      <c r="DK11" s="36"/>
      <c r="DL11" s="36"/>
      <c r="DM11" s="36"/>
      <c r="DN11" s="36"/>
      <c r="DO11" s="36"/>
      <c r="DP11" s="36"/>
      <c r="DQ11" s="36"/>
      <c r="DR11" s="36"/>
      <c r="DS11" s="36"/>
      <c r="DT11" s="36"/>
      <c r="DU11" s="36"/>
      <c r="DV11" s="36"/>
      <c r="DW11" s="36"/>
      <c r="DX11" s="36"/>
      <c r="DY11" s="36"/>
      <c r="DZ11" s="36"/>
      <c r="EA11" s="36"/>
      <c r="EB11" s="36"/>
      <c r="EC11" s="36"/>
      <c r="ED11" s="36"/>
      <c r="EE11" s="36"/>
      <c r="EF11" s="36"/>
      <c r="EG11" s="36"/>
      <c r="EH11" s="36"/>
      <c r="EI11" s="36"/>
      <c r="EJ11" s="36"/>
      <c r="EK11" s="36"/>
      <c r="EL11" s="36"/>
      <c r="EM11" s="36"/>
      <c r="EN11" s="36"/>
      <c r="EO11" s="36"/>
      <c r="EP11" s="36"/>
      <c r="EQ11" s="36"/>
      <c r="ER11" s="36"/>
      <c r="ES11" s="36"/>
      <c r="ET11" s="36"/>
      <c r="EU11" s="36"/>
      <c r="EV11" s="36"/>
      <c r="EW11" s="36"/>
      <c r="EX11" s="36"/>
      <c r="EY11" s="36"/>
      <c r="EZ11" s="36"/>
      <c r="FA11" s="36"/>
      <c r="FB11" s="36"/>
      <c r="FC11" s="36"/>
      <c r="FD11" s="36"/>
      <c r="FE11" s="36"/>
      <c r="FF11" s="60"/>
      <c r="FG11" s="61"/>
      <c r="FH11" s="60"/>
      <c r="FI11" s="60"/>
    </row>
    <row r="12" spans="1:195">
      <c r="A12" s="55"/>
      <c r="B12" s="55" t="s">
        <v>824</v>
      </c>
      <c r="C12" s="55" t="s">
        <v>8</v>
      </c>
      <c r="D12" s="55" t="s">
        <v>828</v>
      </c>
      <c r="E12" s="55" t="s">
        <v>836</v>
      </c>
      <c r="F12" s="55"/>
      <c r="G12" s="55"/>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60"/>
      <c r="FG12" s="61"/>
      <c r="FH12" s="60"/>
      <c r="FI12" s="60"/>
    </row>
    <row r="13" spans="1:195">
      <c r="A13" s="57"/>
      <c r="B13" s="57" t="s">
        <v>824</v>
      </c>
      <c r="C13" s="57" t="s">
        <v>9</v>
      </c>
      <c r="D13" s="57" t="s">
        <v>837</v>
      </c>
      <c r="E13" s="57">
        <v>34</v>
      </c>
      <c r="F13" s="57" t="s">
        <v>838</v>
      </c>
      <c r="G13" s="57"/>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c r="DH13" s="36"/>
      <c r="DI13" s="36"/>
      <c r="DJ13" s="36"/>
      <c r="DK13" s="36"/>
      <c r="DL13" s="36"/>
      <c r="DM13" s="36"/>
      <c r="DN13" s="36"/>
      <c r="DO13" s="36"/>
      <c r="DP13" s="36"/>
      <c r="DQ13" s="36"/>
      <c r="DR13" s="36"/>
      <c r="DS13" s="36"/>
      <c r="DT13" s="36"/>
      <c r="DU13" s="36"/>
      <c r="DV13" s="36"/>
      <c r="DW13" s="36"/>
      <c r="DX13" s="36"/>
      <c r="DY13" s="36"/>
      <c r="DZ13" s="36"/>
      <c r="EA13" s="36"/>
      <c r="EB13" s="36"/>
      <c r="EC13" s="36"/>
      <c r="ED13" s="36"/>
      <c r="EE13" s="36"/>
      <c r="EF13" s="36"/>
      <c r="EG13" s="36"/>
      <c r="EH13" s="36"/>
      <c r="EI13" s="36"/>
      <c r="EJ13" s="36"/>
      <c r="EK13" s="36"/>
      <c r="EL13" s="36"/>
      <c r="EM13" s="36"/>
      <c r="EN13" s="36"/>
      <c r="EO13" s="36"/>
      <c r="EP13" s="36"/>
      <c r="EQ13" s="36"/>
      <c r="ER13" s="36"/>
      <c r="ES13" s="36"/>
      <c r="ET13" s="36"/>
      <c r="EU13" s="36"/>
      <c r="EV13" s="36"/>
      <c r="EW13" s="36"/>
      <c r="EX13" s="36"/>
      <c r="EY13" s="36"/>
      <c r="EZ13" s="36"/>
      <c r="FA13" s="36"/>
      <c r="FB13" s="36"/>
      <c r="FC13" s="36"/>
      <c r="FD13" s="36"/>
      <c r="FE13" s="36"/>
      <c r="FF13" s="60"/>
      <c r="FG13" s="61"/>
      <c r="FH13" s="60"/>
      <c r="FI13" s="60"/>
    </row>
    <row r="14" spans="1:195">
      <c r="A14" s="55"/>
      <c r="B14" s="55" t="s">
        <v>824</v>
      </c>
      <c r="C14" s="55" t="s">
        <v>10</v>
      </c>
      <c r="D14" s="55" t="s">
        <v>839</v>
      </c>
      <c r="E14" s="55" t="s">
        <v>83</v>
      </c>
      <c r="F14" s="55"/>
      <c r="G14" s="55"/>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60"/>
      <c r="FG14" s="61"/>
      <c r="FH14" s="60"/>
      <c r="FI14" s="60"/>
    </row>
    <row r="15" spans="1:195">
      <c r="A15" s="57"/>
      <c r="B15" s="57" t="s">
        <v>824</v>
      </c>
      <c r="C15" s="57" t="s">
        <v>90</v>
      </c>
      <c r="D15" s="57" t="s">
        <v>825</v>
      </c>
      <c r="E15" s="57" t="s">
        <v>186</v>
      </c>
      <c r="F15" s="57" t="s">
        <v>840</v>
      </c>
      <c r="G15" s="57"/>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60"/>
      <c r="FG15" s="61"/>
      <c r="FH15" s="60"/>
      <c r="FI15" s="60"/>
    </row>
    <row r="16" spans="1:195">
      <c r="A16" s="55"/>
      <c r="B16" s="55" t="s">
        <v>824</v>
      </c>
      <c r="C16" s="55" t="s">
        <v>11</v>
      </c>
      <c r="D16" s="55" t="s">
        <v>825</v>
      </c>
      <c r="E16" s="55">
        <v>1012345678</v>
      </c>
      <c r="F16" s="55"/>
      <c r="G16" s="55"/>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63"/>
      <c r="FG16" s="63"/>
      <c r="FH16" s="63"/>
      <c r="FI16" s="63"/>
    </row>
    <row r="17" spans="1:165" ht="25.5">
      <c r="A17" s="57"/>
      <c r="B17" s="57" t="s">
        <v>824</v>
      </c>
      <c r="C17" s="57" t="s">
        <v>12</v>
      </c>
      <c r="D17" s="57" t="s">
        <v>825</v>
      </c>
      <c r="E17" s="57" t="s">
        <v>77</v>
      </c>
      <c r="F17" s="57" t="s">
        <v>841</v>
      </c>
      <c r="G17" s="57" t="s">
        <v>842</v>
      </c>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63"/>
      <c r="FG17" s="63"/>
      <c r="FH17" s="63"/>
      <c r="FI17" s="63"/>
    </row>
    <row r="18" spans="1:165">
      <c r="A18" s="55"/>
      <c r="B18" s="55" t="s">
        <v>824</v>
      </c>
      <c r="C18" s="55" t="s">
        <v>13</v>
      </c>
      <c r="D18" s="55" t="s">
        <v>825</v>
      </c>
      <c r="E18" s="55" t="s">
        <v>78</v>
      </c>
      <c r="F18" s="55" t="s">
        <v>843</v>
      </c>
      <c r="G18" s="55"/>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63"/>
      <c r="FG18" s="63"/>
      <c r="FH18" s="63"/>
      <c r="FI18" s="63"/>
    </row>
    <row r="19" spans="1:165">
      <c r="A19" s="57"/>
      <c r="B19" s="57" t="s">
        <v>824</v>
      </c>
      <c r="C19" s="57" t="s">
        <v>14</v>
      </c>
      <c r="D19" s="57" t="s">
        <v>825</v>
      </c>
      <c r="E19" s="57"/>
      <c r="F19" s="57"/>
      <c r="G19" s="57"/>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c r="DH19" s="36"/>
      <c r="DI19" s="36"/>
      <c r="DJ19" s="36"/>
      <c r="DK19" s="36"/>
      <c r="DL19" s="36"/>
      <c r="DM19" s="36"/>
      <c r="DN19" s="36"/>
      <c r="DO19" s="36"/>
      <c r="DP19" s="36"/>
      <c r="DQ19" s="36"/>
      <c r="DR19" s="36"/>
      <c r="DS19" s="36"/>
      <c r="DT19" s="36"/>
      <c r="DU19" s="36"/>
      <c r="DV19" s="36"/>
      <c r="DW19" s="36"/>
      <c r="DX19" s="36"/>
      <c r="DY19" s="36"/>
      <c r="DZ19" s="36"/>
      <c r="EA19" s="36"/>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c r="FD19" s="36"/>
      <c r="FE19" s="36"/>
      <c r="FF19" s="63"/>
      <c r="FG19" s="63"/>
      <c r="FH19" s="63"/>
      <c r="FI19" s="63"/>
    </row>
    <row r="20" spans="1:165">
      <c r="A20" s="55"/>
      <c r="B20" s="55" t="s">
        <v>824</v>
      </c>
      <c r="C20" s="55" t="s">
        <v>15</v>
      </c>
      <c r="D20" s="55" t="s">
        <v>828</v>
      </c>
      <c r="E20" s="55" t="s">
        <v>844</v>
      </c>
      <c r="F20" s="55"/>
      <c r="G20" s="55"/>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63"/>
      <c r="FG20" s="63"/>
      <c r="FH20" s="63"/>
      <c r="FI20" s="63"/>
    </row>
    <row r="21" spans="1:165">
      <c r="A21" s="57"/>
      <c r="B21" s="57" t="s">
        <v>824</v>
      </c>
      <c r="C21" s="57" t="s">
        <v>16</v>
      </c>
      <c r="D21" s="57" t="s">
        <v>825</v>
      </c>
      <c r="E21" s="57" t="s">
        <v>79</v>
      </c>
      <c r="F21" s="57"/>
      <c r="G21" s="57"/>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63"/>
      <c r="FG21" s="63"/>
      <c r="FH21" s="63"/>
      <c r="FI21" s="63"/>
    </row>
    <row r="22" spans="1:165">
      <c r="A22" s="55"/>
      <c r="B22" s="55" t="s">
        <v>824</v>
      </c>
      <c r="C22" s="55" t="s">
        <v>17</v>
      </c>
      <c r="D22" s="55" t="s">
        <v>845</v>
      </c>
      <c r="E22" s="55" t="s">
        <v>846</v>
      </c>
      <c r="F22" s="55"/>
      <c r="G22" s="55"/>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63"/>
      <c r="FG22" s="63"/>
      <c r="FH22" s="63"/>
      <c r="FI22" s="63"/>
    </row>
    <row r="23" spans="1:165">
      <c r="A23" s="57"/>
      <c r="B23" s="57" t="s">
        <v>824</v>
      </c>
      <c r="C23" s="57" t="s">
        <v>18</v>
      </c>
      <c r="D23" s="57" t="s">
        <v>825</v>
      </c>
      <c r="E23" s="57" t="s">
        <v>80</v>
      </c>
      <c r="F23" s="57"/>
      <c r="G23" s="57"/>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c r="EJ23" s="36"/>
      <c r="EK23" s="36"/>
      <c r="EL23" s="36"/>
      <c r="EM23" s="36"/>
      <c r="EN23" s="36"/>
      <c r="EO23" s="36"/>
      <c r="EP23" s="36"/>
      <c r="EQ23" s="36"/>
      <c r="ER23" s="36"/>
      <c r="ES23" s="36"/>
      <c r="ET23" s="36"/>
      <c r="EU23" s="36"/>
      <c r="EV23" s="36"/>
      <c r="EW23" s="36"/>
      <c r="EX23" s="36"/>
      <c r="EY23" s="36"/>
      <c r="EZ23" s="36"/>
      <c r="FA23" s="36"/>
      <c r="FB23" s="36"/>
      <c r="FC23" s="36"/>
      <c r="FD23" s="36"/>
      <c r="FE23" s="36"/>
      <c r="FF23" s="63"/>
      <c r="FG23" s="63"/>
      <c r="FH23" s="63"/>
      <c r="FI23" s="63"/>
    </row>
    <row r="24" spans="1:165">
      <c r="A24" s="55"/>
      <c r="B24" s="55" t="s">
        <v>824</v>
      </c>
      <c r="C24" s="55" t="s">
        <v>19</v>
      </c>
      <c r="D24" s="55" t="s">
        <v>839</v>
      </c>
      <c r="E24" s="55" t="s">
        <v>83</v>
      </c>
      <c r="F24" s="55"/>
      <c r="G24" s="55"/>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row>
    <row r="25" spans="1:165">
      <c r="A25" s="57"/>
      <c r="B25" s="57" t="s">
        <v>824</v>
      </c>
      <c r="C25" s="57" t="s">
        <v>20</v>
      </c>
      <c r="D25" s="57" t="s">
        <v>828</v>
      </c>
      <c r="E25" s="57" t="s">
        <v>847</v>
      </c>
      <c r="F25" s="57"/>
      <c r="G25" s="57"/>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row>
    <row r="26" spans="1:165">
      <c r="A26" s="55"/>
      <c r="B26" s="55" t="s">
        <v>824</v>
      </c>
      <c r="C26" s="55" t="s">
        <v>21</v>
      </c>
      <c r="D26" s="55" t="s">
        <v>848</v>
      </c>
      <c r="E26" s="55" t="s">
        <v>81</v>
      </c>
      <c r="F26" s="55" t="s">
        <v>100</v>
      </c>
      <c r="G26" s="55"/>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row>
    <row r="27" spans="1:165" ht="25.5">
      <c r="A27" s="57"/>
      <c r="B27" s="57" t="s">
        <v>824</v>
      </c>
      <c r="C27" s="57" t="s">
        <v>22</v>
      </c>
      <c r="D27" s="57" t="s">
        <v>825</v>
      </c>
      <c r="E27" s="57" t="s">
        <v>849</v>
      </c>
      <c r="F27" s="57"/>
      <c r="G27" s="57" t="s">
        <v>101</v>
      </c>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row>
    <row r="28" spans="1:165">
      <c r="A28" s="55"/>
      <c r="B28" s="55" t="s">
        <v>824</v>
      </c>
      <c r="C28" s="55" t="s">
        <v>23</v>
      </c>
      <c r="D28" s="55" t="s">
        <v>828</v>
      </c>
      <c r="E28" s="55" t="s">
        <v>850</v>
      </c>
      <c r="F28" s="55" t="s">
        <v>851</v>
      </c>
      <c r="G28" s="55" t="s">
        <v>852</v>
      </c>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row>
    <row r="29" spans="1:165">
      <c r="A29" s="57"/>
      <c r="B29" s="57" t="s">
        <v>824</v>
      </c>
      <c r="C29" s="57" t="s">
        <v>24</v>
      </c>
      <c r="D29" s="57" t="s">
        <v>845</v>
      </c>
      <c r="E29" s="57" t="s">
        <v>853</v>
      </c>
      <c r="F29" s="57"/>
      <c r="G29" s="57"/>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c r="EV29" s="36"/>
      <c r="EW29" s="36"/>
      <c r="EX29" s="36"/>
      <c r="EY29" s="36"/>
      <c r="EZ29" s="36"/>
      <c r="FA29" s="36"/>
      <c r="FB29" s="36"/>
      <c r="FC29" s="36"/>
      <c r="FD29" s="36"/>
      <c r="FE29" s="36"/>
      <c r="FF29" s="36"/>
      <c r="FG29" s="36"/>
      <c r="FH29" s="36"/>
      <c r="FI29" s="36"/>
    </row>
    <row r="30" spans="1:165">
      <c r="A30" s="55"/>
      <c r="B30" s="55" t="s">
        <v>824</v>
      </c>
      <c r="C30" s="55" t="s">
        <v>25</v>
      </c>
      <c r="D30" s="55" t="s">
        <v>825</v>
      </c>
      <c r="E30" s="55"/>
      <c r="F30" s="55"/>
      <c r="G30" s="55"/>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row>
    <row r="31" spans="1:165" ht="15">
      <c r="A31" s="45" t="s">
        <v>854</v>
      </c>
      <c r="B31" s="45"/>
      <c r="C31" s="45"/>
      <c r="D31" s="45"/>
      <c r="E31" s="45"/>
      <c r="F31" s="45"/>
      <c r="G31" s="45"/>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c r="EV31" s="36"/>
      <c r="EW31" s="36"/>
      <c r="EX31" s="36"/>
      <c r="EY31" s="36"/>
      <c r="EZ31" s="36"/>
      <c r="FA31" s="36"/>
      <c r="FB31" s="36"/>
      <c r="FC31" s="36"/>
      <c r="FD31" s="36"/>
      <c r="FE31" s="36"/>
      <c r="FF31" s="36"/>
      <c r="FG31" s="36"/>
      <c r="FH31" s="36"/>
      <c r="FI31" s="36"/>
    </row>
    <row r="32" spans="1:165">
      <c r="A32" s="55"/>
      <c r="B32" s="55" t="s">
        <v>426</v>
      </c>
      <c r="C32" s="55" t="s">
        <v>104</v>
      </c>
      <c r="D32" s="55" t="s">
        <v>825</v>
      </c>
      <c r="E32" s="55" t="s">
        <v>826</v>
      </c>
      <c r="F32" s="55" t="s">
        <v>855</v>
      </c>
      <c r="G32" s="55"/>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row>
    <row r="33" spans="1:165">
      <c r="A33" s="57"/>
      <c r="B33" s="57" t="s">
        <v>426</v>
      </c>
      <c r="C33" s="57" t="s">
        <v>105</v>
      </c>
      <c r="D33" s="57" t="s">
        <v>856</v>
      </c>
      <c r="E33" s="57" t="s">
        <v>142</v>
      </c>
      <c r="F33" s="57" t="s">
        <v>147</v>
      </c>
      <c r="G33" s="57"/>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c r="EV33" s="36"/>
      <c r="EW33" s="36"/>
      <c r="EX33" s="36"/>
      <c r="EY33" s="36"/>
      <c r="EZ33" s="36"/>
      <c r="FA33" s="36"/>
      <c r="FB33" s="36"/>
      <c r="FC33" s="36"/>
      <c r="FD33" s="36"/>
      <c r="FE33" s="36"/>
      <c r="FF33" s="36"/>
      <c r="FG33" s="36"/>
      <c r="FH33" s="36"/>
      <c r="FI33" s="36"/>
    </row>
    <row r="34" spans="1:165">
      <c r="A34" s="55"/>
      <c r="B34" s="55" t="s">
        <v>426</v>
      </c>
      <c r="C34" s="55" t="s">
        <v>28</v>
      </c>
      <c r="D34" s="55" t="s">
        <v>839</v>
      </c>
      <c r="E34" s="55"/>
      <c r="F34" s="55" t="s">
        <v>857</v>
      </c>
      <c r="G34" s="55"/>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row>
    <row r="35" spans="1:165" ht="25.5">
      <c r="A35" s="57"/>
      <c r="B35" s="57" t="s">
        <v>426</v>
      </c>
      <c r="C35" s="57" t="s">
        <v>858</v>
      </c>
      <c r="D35" s="57" t="s">
        <v>828</v>
      </c>
      <c r="E35" s="57" t="s">
        <v>859</v>
      </c>
      <c r="F35" s="57" t="s">
        <v>860</v>
      </c>
      <c r="G35" s="57" t="s">
        <v>861</v>
      </c>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36"/>
      <c r="DR35" s="36"/>
      <c r="DS35" s="36"/>
      <c r="DT35" s="36"/>
      <c r="DU35" s="36"/>
      <c r="DV35" s="36"/>
      <c r="DW35" s="36"/>
      <c r="DX35" s="36"/>
      <c r="DY35" s="36"/>
      <c r="DZ35" s="36"/>
      <c r="EA35" s="36"/>
      <c r="EB35" s="36"/>
      <c r="EC35" s="36"/>
      <c r="ED35" s="36"/>
      <c r="EE35" s="36"/>
      <c r="EF35" s="36"/>
      <c r="EG35" s="36"/>
      <c r="EH35" s="36"/>
      <c r="EI35" s="36"/>
      <c r="EJ35" s="36"/>
      <c r="EK35" s="36"/>
      <c r="EL35" s="36"/>
      <c r="EM35" s="36"/>
      <c r="EN35" s="36"/>
      <c r="EO35" s="36"/>
      <c r="EP35" s="36"/>
      <c r="EQ35" s="36"/>
      <c r="ER35" s="36"/>
      <c r="ES35" s="36"/>
      <c r="ET35" s="36"/>
      <c r="EU35" s="36"/>
      <c r="EV35" s="36"/>
      <c r="EW35" s="36"/>
      <c r="EX35" s="36"/>
      <c r="EY35" s="36"/>
      <c r="EZ35" s="36"/>
      <c r="FA35" s="36"/>
      <c r="FB35" s="36"/>
      <c r="FC35" s="36"/>
      <c r="FD35" s="36"/>
      <c r="FE35" s="36"/>
      <c r="FF35" s="36"/>
      <c r="FG35" s="36"/>
      <c r="FH35" s="36"/>
      <c r="FI35" s="36"/>
    </row>
    <row r="36" spans="1:165">
      <c r="A36" s="55"/>
      <c r="B36" s="55" t="s">
        <v>426</v>
      </c>
      <c r="C36" s="55" t="s">
        <v>40</v>
      </c>
      <c r="D36" s="55" t="s">
        <v>839</v>
      </c>
      <c r="E36" s="55"/>
      <c r="F36" s="55" t="s">
        <v>147</v>
      </c>
      <c r="G36" s="55"/>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36"/>
      <c r="DG36" s="36"/>
      <c r="DH36" s="36"/>
      <c r="DI36" s="36"/>
      <c r="DJ36" s="36"/>
      <c r="DK36" s="36"/>
      <c r="DL36" s="36"/>
      <c r="DM36" s="36"/>
      <c r="DN36" s="36"/>
      <c r="DO36" s="36"/>
      <c r="DP36" s="36"/>
      <c r="DQ36" s="36"/>
      <c r="DR36" s="36"/>
      <c r="DS36" s="36"/>
      <c r="DT36" s="36"/>
      <c r="DU36" s="36"/>
      <c r="DV36" s="36"/>
      <c r="DW36" s="36"/>
      <c r="DX36" s="36"/>
      <c r="DY36" s="36"/>
      <c r="DZ36" s="36"/>
      <c r="EA36" s="36"/>
      <c r="EB36" s="36"/>
      <c r="EC36" s="36"/>
      <c r="ED36" s="36"/>
      <c r="EE36" s="36"/>
      <c r="EF36" s="36"/>
      <c r="EG36" s="36"/>
      <c r="EH36" s="36"/>
      <c r="EI36" s="36"/>
      <c r="EJ36" s="36"/>
      <c r="EK36" s="36"/>
      <c r="EL36" s="36"/>
      <c r="EM36" s="36"/>
      <c r="EN36" s="36"/>
      <c r="EO36" s="36"/>
      <c r="EP36" s="36"/>
      <c r="EQ36" s="36"/>
      <c r="ER36" s="36"/>
      <c r="ES36" s="36"/>
      <c r="ET36" s="36"/>
      <c r="EU36" s="36"/>
      <c r="EV36" s="36"/>
      <c r="EW36" s="36"/>
      <c r="EX36" s="36"/>
      <c r="EY36" s="36"/>
      <c r="EZ36" s="36"/>
      <c r="FA36" s="36"/>
      <c r="FB36" s="36"/>
      <c r="FC36" s="36"/>
      <c r="FD36" s="36"/>
      <c r="FE36" s="36"/>
      <c r="FF36" s="36"/>
      <c r="FG36" s="36"/>
      <c r="FH36" s="36"/>
      <c r="FI36" s="36"/>
    </row>
    <row r="37" spans="1:165">
      <c r="A37" s="57"/>
      <c r="B37" s="57" t="s">
        <v>426</v>
      </c>
      <c r="C37" s="57" t="s">
        <v>34</v>
      </c>
      <c r="D37" s="57" t="s">
        <v>828</v>
      </c>
      <c r="E37" s="57" t="s">
        <v>862</v>
      </c>
      <c r="F37" s="57"/>
      <c r="G37" s="57"/>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row>
    <row r="38" spans="1:165">
      <c r="A38" s="55"/>
      <c r="B38" s="55" t="s">
        <v>426</v>
      </c>
      <c r="C38" s="55" t="s">
        <v>35</v>
      </c>
      <c r="D38" s="55" t="s">
        <v>825</v>
      </c>
      <c r="E38" s="55" t="s">
        <v>135</v>
      </c>
      <c r="F38" s="55"/>
      <c r="G38" s="55"/>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36"/>
      <c r="DG38" s="36"/>
      <c r="DH38" s="36"/>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c r="EK38" s="36"/>
      <c r="EL38" s="36"/>
      <c r="EM38" s="36"/>
      <c r="EN38" s="36"/>
      <c r="EO38" s="36"/>
      <c r="EP38" s="36"/>
      <c r="EQ38" s="36"/>
      <c r="ER38" s="36"/>
      <c r="ES38" s="36"/>
      <c r="ET38" s="36"/>
      <c r="EU38" s="36"/>
      <c r="EV38" s="36"/>
      <c r="EW38" s="36"/>
      <c r="EX38" s="36"/>
      <c r="EY38" s="36"/>
      <c r="EZ38" s="36"/>
      <c r="FA38" s="36"/>
      <c r="FB38" s="36"/>
      <c r="FC38" s="36"/>
      <c r="FD38" s="36"/>
      <c r="FE38" s="36"/>
      <c r="FF38" s="36"/>
      <c r="FG38" s="36"/>
      <c r="FH38" s="36"/>
      <c r="FI38" s="36"/>
    </row>
    <row r="39" spans="1:165" ht="25.5">
      <c r="A39" s="57"/>
      <c r="B39" s="57" t="s">
        <v>426</v>
      </c>
      <c r="C39" s="57" t="s">
        <v>27</v>
      </c>
      <c r="D39" s="57" t="s">
        <v>828</v>
      </c>
      <c r="E39" s="57" t="s">
        <v>863</v>
      </c>
      <c r="F39" s="57"/>
      <c r="G39" s="57" t="s">
        <v>861</v>
      </c>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c r="CL39" s="36"/>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c r="EV39" s="36"/>
      <c r="EW39" s="36"/>
      <c r="EX39" s="36"/>
      <c r="EY39" s="36"/>
      <c r="EZ39" s="36"/>
      <c r="FA39" s="36"/>
      <c r="FB39" s="36"/>
      <c r="FC39" s="36"/>
      <c r="FD39" s="36"/>
      <c r="FE39" s="36"/>
      <c r="FF39" s="36"/>
      <c r="FG39" s="36"/>
      <c r="FH39" s="36"/>
      <c r="FI39" s="36"/>
    </row>
    <row r="40" spans="1:165">
      <c r="A40" s="55"/>
      <c r="B40" s="55" t="s">
        <v>426</v>
      </c>
      <c r="C40" s="55" t="s">
        <v>33</v>
      </c>
      <c r="D40" s="55" t="s">
        <v>825</v>
      </c>
      <c r="E40" s="55"/>
      <c r="F40" s="55"/>
      <c r="G40" s="55"/>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c r="EK40" s="36"/>
      <c r="EL40" s="36"/>
      <c r="EM40" s="36"/>
      <c r="EN40" s="36"/>
      <c r="EO40" s="36"/>
      <c r="EP40" s="36"/>
      <c r="EQ40" s="36"/>
      <c r="ER40" s="36"/>
      <c r="ES40" s="36"/>
      <c r="ET40" s="36"/>
      <c r="EU40" s="36"/>
      <c r="EV40" s="36"/>
      <c r="EW40" s="36"/>
      <c r="EX40" s="36"/>
      <c r="EY40" s="36"/>
      <c r="EZ40" s="36"/>
      <c r="FA40" s="36"/>
      <c r="FB40" s="36"/>
      <c r="FC40" s="36"/>
      <c r="FD40" s="36"/>
      <c r="FE40" s="36"/>
      <c r="FF40" s="36"/>
      <c r="FG40" s="36"/>
      <c r="FH40" s="36"/>
      <c r="FI40" s="36"/>
    </row>
    <row r="41" spans="1:165">
      <c r="A41" s="57"/>
      <c r="B41" s="57" t="s">
        <v>426</v>
      </c>
      <c r="C41" s="57" t="s">
        <v>106</v>
      </c>
      <c r="D41" s="57" t="s">
        <v>828</v>
      </c>
      <c r="E41" s="57" t="s">
        <v>864</v>
      </c>
      <c r="F41" s="57"/>
      <c r="G41" s="57"/>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36"/>
      <c r="DG41" s="36"/>
      <c r="DH41" s="36"/>
      <c r="DI41" s="36"/>
      <c r="DJ41" s="36"/>
      <c r="DK41" s="36"/>
      <c r="DL41" s="36"/>
      <c r="DM41" s="36"/>
      <c r="DN41" s="36"/>
      <c r="DO41" s="36"/>
      <c r="DP41" s="36"/>
      <c r="DQ41" s="36"/>
      <c r="DR41" s="36"/>
      <c r="DS41" s="36"/>
      <c r="DT41" s="36"/>
      <c r="DU41" s="36"/>
      <c r="DV41" s="36"/>
      <c r="DW41" s="36"/>
      <c r="DX41" s="36"/>
      <c r="DY41" s="36"/>
      <c r="DZ41" s="36"/>
      <c r="EA41" s="36"/>
      <c r="EB41" s="36"/>
      <c r="EC41" s="36"/>
      <c r="ED41" s="36"/>
      <c r="EE41" s="36"/>
      <c r="EF41" s="36"/>
      <c r="EG41" s="36"/>
      <c r="EH41" s="36"/>
      <c r="EI41" s="36"/>
      <c r="EJ41" s="36"/>
      <c r="EK41" s="36"/>
      <c r="EL41" s="36"/>
      <c r="EM41" s="36"/>
      <c r="EN41" s="36"/>
      <c r="EO41" s="36"/>
      <c r="EP41" s="36"/>
      <c r="EQ41" s="36"/>
      <c r="ER41" s="36"/>
      <c r="ES41" s="36"/>
      <c r="ET41" s="36"/>
      <c r="EU41" s="36"/>
      <c r="EV41" s="36"/>
      <c r="EW41" s="36"/>
      <c r="EX41" s="36"/>
      <c r="EY41" s="36"/>
      <c r="EZ41" s="36"/>
      <c r="FA41" s="36"/>
      <c r="FB41" s="36"/>
      <c r="FC41" s="36"/>
      <c r="FD41" s="36"/>
      <c r="FE41" s="36"/>
      <c r="FF41" s="36"/>
      <c r="FG41" s="36"/>
      <c r="FH41" s="36"/>
      <c r="FI41" s="36"/>
    </row>
    <row r="42" spans="1:165">
      <c r="A42" s="55"/>
      <c r="B42" s="55" t="s">
        <v>426</v>
      </c>
      <c r="C42" s="55" t="s">
        <v>107</v>
      </c>
      <c r="D42" s="55" t="s">
        <v>845</v>
      </c>
      <c r="E42" s="55" t="s">
        <v>846</v>
      </c>
      <c r="F42" s="55"/>
      <c r="G42" s="55"/>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c r="EV42" s="36"/>
      <c r="EW42" s="36"/>
      <c r="EX42" s="36"/>
      <c r="EY42" s="36"/>
      <c r="EZ42" s="36"/>
      <c r="FA42" s="36"/>
      <c r="FB42" s="36"/>
      <c r="FC42" s="36"/>
      <c r="FD42" s="36"/>
      <c r="FE42" s="36"/>
      <c r="FF42" s="36"/>
      <c r="FG42" s="36"/>
      <c r="FH42" s="36"/>
      <c r="FI42" s="36"/>
    </row>
    <row r="43" spans="1:165">
      <c r="A43" s="57"/>
      <c r="B43" s="57" t="s">
        <v>426</v>
      </c>
      <c r="C43" s="57" t="s">
        <v>865</v>
      </c>
      <c r="D43" s="57" t="s">
        <v>828</v>
      </c>
      <c r="E43" s="57" t="s">
        <v>866</v>
      </c>
      <c r="F43" s="57"/>
      <c r="G43" s="57" t="s">
        <v>861</v>
      </c>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DJ43" s="36"/>
      <c r="DK43" s="36"/>
      <c r="DL43" s="36"/>
      <c r="DM43" s="36"/>
      <c r="DN43" s="36"/>
      <c r="DO43" s="36"/>
      <c r="DP43" s="36"/>
      <c r="DQ43" s="36"/>
      <c r="DR43" s="36"/>
      <c r="DS43" s="36"/>
      <c r="DT43" s="36"/>
      <c r="DU43" s="36"/>
      <c r="DV43" s="36"/>
      <c r="DW43" s="36"/>
      <c r="DX43" s="36"/>
      <c r="DY43" s="36"/>
      <c r="DZ43" s="36"/>
      <c r="EA43" s="36"/>
      <c r="EB43" s="36"/>
      <c r="EC43" s="36"/>
      <c r="ED43" s="36"/>
      <c r="EE43" s="36"/>
      <c r="EF43" s="36"/>
      <c r="EG43" s="36"/>
      <c r="EH43" s="36"/>
      <c r="EI43" s="36"/>
      <c r="EJ43" s="36"/>
      <c r="EK43" s="36"/>
      <c r="EL43" s="36"/>
      <c r="EM43" s="36"/>
      <c r="EN43" s="36"/>
      <c r="EO43" s="36"/>
      <c r="EP43" s="36"/>
      <c r="EQ43" s="36"/>
      <c r="ER43" s="36"/>
      <c r="ES43" s="36"/>
      <c r="ET43" s="36"/>
      <c r="EU43" s="36"/>
      <c r="EV43" s="36"/>
      <c r="EW43" s="36"/>
      <c r="EX43" s="36"/>
      <c r="EY43" s="36"/>
      <c r="EZ43" s="36"/>
      <c r="FA43" s="36"/>
      <c r="FB43" s="36"/>
      <c r="FC43" s="36"/>
      <c r="FD43" s="36"/>
      <c r="FE43" s="36"/>
      <c r="FF43" s="36"/>
      <c r="FG43" s="36"/>
      <c r="FH43" s="36"/>
      <c r="FI43" s="36"/>
    </row>
    <row r="44" spans="1:165">
      <c r="A44" s="55"/>
      <c r="B44" s="55" t="s">
        <v>426</v>
      </c>
      <c r="C44" s="55" t="s">
        <v>867</v>
      </c>
      <c r="D44" s="55" t="s">
        <v>828</v>
      </c>
      <c r="E44" s="55"/>
      <c r="F44" s="55" t="s">
        <v>868</v>
      </c>
      <c r="G44" s="55" t="s">
        <v>861</v>
      </c>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S44" s="36"/>
      <c r="ET44" s="36"/>
      <c r="EU44" s="36"/>
      <c r="EV44" s="36"/>
      <c r="EW44" s="36"/>
      <c r="EX44" s="36"/>
      <c r="EY44" s="36"/>
      <c r="EZ44" s="36"/>
      <c r="FA44" s="36"/>
      <c r="FB44" s="36"/>
      <c r="FC44" s="36"/>
      <c r="FD44" s="36"/>
      <c r="FE44" s="36"/>
      <c r="FF44" s="36"/>
      <c r="FG44" s="36"/>
      <c r="FH44" s="36"/>
      <c r="FI44" s="36"/>
    </row>
    <row r="45" spans="1:165">
      <c r="A45" s="57"/>
      <c r="B45" s="57" t="s">
        <v>426</v>
      </c>
      <c r="C45" s="57" t="s">
        <v>869</v>
      </c>
      <c r="D45" s="57" t="s">
        <v>828</v>
      </c>
      <c r="E45" s="57"/>
      <c r="F45" s="57" t="s">
        <v>868</v>
      </c>
      <c r="G45" s="57" t="s">
        <v>861</v>
      </c>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c r="DS45" s="36"/>
      <c r="DT45" s="36"/>
      <c r="DU45" s="36"/>
      <c r="DV45" s="36"/>
      <c r="DW45" s="36"/>
      <c r="DX45" s="36"/>
      <c r="DY45" s="36"/>
      <c r="DZ45" s="36"/>
      <c r="EA45" s="36"/>
      <c r="EB45" s="36"/>
      <c r="EC45" s="36"/>
      <c r="ED45" s="36"/>
      <c r="EE45" s="36"/>
      <c r="EF45" s="36"/>
      <c r="EG45" s="36"/>
      <c r="EH45" s="36"/>
      <c r="EI45" s="36"/>
      <c r="EJ45" s="36"/>
      <c r="EK45" s="36"/>
      <c r="EL45" s="36"/>
      <c r="EM45" s="36"/>
      <c r="EN45" s="36"/>
      <c r="EO45" s="36"/>
      <c r="EP45" s="36"/>
      <c r="EQ45" s="36"/>
      <c r="ER45" s="36"/>
      <c r="ES45" s="36"/>
      <c r="ET45" s="36"/>
      <c r="EU45" s="36"/>
      <c r="EV45" s="36"/>
      <c r="EW45" s="36"/>
      <c r="EX45" s="36"/>
      <c r="EY45" s="36"/>
      <c r="EZ45" s="36"/>
      <c r="FA45" s="36"/>
      <c r="FB45" s="36"/>
      <c r="FC45" s="36"/>
      <c r="FD45" s="36"/>
      <c r="FE45" s="36"/>
      <c r="FF45" s="36"/>
      <c r="FG45" s="36"/>
      <c r="FH45" s="36"/>
      <c r="FI45" s="36"/>
    </row>
    <row r="46" spans="1:165">
      <c r="A46" s="55"/>
      <c r="B46" s="55" t="s">
        <v>426</v>
      </c>
      <c r="C46" s="55" t="s">
        <v>870</v>
      </c>
      <c r="D46" s="55" t="s">
        <v>828</v>
      </c>
      <c r="E46" s="55"/>
      <c r="F46" s="55" t="s">
        <v>868</v>
      </c>
      <c r="G46" s="55" t="s">
        <v>861</v>
      </c>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c r="EK46" s="36"/>
      <c r="EL46" s="36"/>
      <c r="EM46" s="36"/>
      <c r="EN46" s="36"/>
      <c r="EO46" s="36"/>
      <c r="EP46" s="36"/>
      <c r="EQ46" s="36"/>
      <c r="ER46" s="36"/>
      <c r="ES46" s="36"/>
      <c r="ET46" s="36"/>
      <c r="EU46" s="36"/>
      <c r="EV46" s="36"/>
      <c r="EW46" s="36"/>
      <c r="EX46" s="36"/>
      <c r="EY46" s="36"/>
      <c r="EZ46" s="36"/>
      <c r="FA46" s="36"/>
      <c r="FB46" s="36"/>
      <c r="FC46" s="36"/>
      <c r="FD46" s="36"/>
      <c r="FE46" s="36"/>
      <c r="FF46" s="36"/>
      <c r="FG46" s="36"/>
      <c r="FH46" s="36"/>
      <c r="FI46" s="36"/>
    </row>
    <row r="47" spans="1:165">
      <c r="A47" s="57"/>
      <c r="B47" s="57" t="s">
        <v>426</v>
      </c>
      <c r="C47" s="57" t="s">
        <v>108</v>
      </c>
      <c r="D47" s="57" t="s">
        <v>828</v>
      </c>
      <c r="E47" s="57" t="s">
        <v>871</v>
      </c>
      <c r="F47" s="57"/>
      <c r="G47" s="57"/>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row>
    <row r="48" spans="1:165">
      <c r="A48" s="55"/>
      <c r="B48" s="55" t="s">
        <v>426</v>
      </c>
      <c r="C48" s="55" t="s">
        <v>109</v>
      </c>
      <c r="D48" s="55" t="s">
        <v>825</v>
      </c>
      <c r="E48" s="55"/>
      <c r="F48" s="55"/>
      <c r="G48" s="55"/>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row>
    <row r="49" spans="1:165">
      <c r="A49" s="57"/>
      <c r="B49" s="57" t="s">
        <v>426</v>
      </c>
      <c r="C49" s="57" t="s">
        <v>110</v>
      </c>
      <c r="D49" s="57" t="s">
        <v>825</v>
      </c>
      <c r="E49" s="57"/>
      <c r="F49" s="57"/>
      <c r="G49" s="57"/>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row>
    <row r="50" spans="1:165">
      <c r="A50" s="55"/>
      <c r="B50" s="55" t="s">
        <v>426</v>
      </c>
      <c r="C50" s="55" t="s">
        <v>111</v>
      </c>
      <c r="D50" s="55" t="s">
        <v>828</v>
      </c>
      <c r="E50" s="55"/>
      <c r="F50" s="55" t="s">
        <v>872</v>
      </c>
      <c r="G50" s="55"/>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row>
    <row r="51" spans="1:165">
      <c r="A51" s="57"/>
      <c r="B51" s="57" t="s">
        <v>426</v>
      </c>
      <c r="C51" s="57" t="s">
        <v>873</v>
      </c>
      <c r="D51" s="57" t="s">
        <v>845</v>
      </c>
      <c r="E51" s="57" t="s">
        <v>846</v>
      </c>
      <c r="F51" s="57"/>
      <c r="G51" s="57"/>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c r="EW51" s="36"/>
      <c r="EX51" s="36"/>
      <c r="EY51" s="36"/>
      <c r="EZ51" s="36"/>
      <c r="FA51" s="36"/>
      <c r="FB51" s="36"/>
      <c r="FC51" s="36"/>
      <c r="FD51" s="36"/>
      <c r="FE51" s="36"/>
      <c r="FF51" s="36"/>
      <c r="FG51" s="36"/>
      <c r="FH51" s="36"/>
      <c r="FI51" s="36"/>
    </row>
    <row r="52" spans="1:165">
      <c r="A52" s="55"/>
      <c r="B52" s="55" t="s">
        <v>426</v>
      </c>
      <c r="C52" s="55" t="s">
        <v>112</v>
      </c>
      <c r="D52" s="55" t="s">
        <v>874</v>
      </c>
      <c r="E52" s="55" t="s">
        <v>137</v>
      </c>
      <c r="F52" s="55" t="s">
        <v>147</v>
      </c>
      <c r="G52" s="55"/>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c r="EY52" s="36"/>
      <c r="EZ52" s="36"/>
      <c r="FA52" s="36"/>
      <c r="FB52" s="36"/>
      <c r="FC52" s="36"/>
      <c r="FD52" s="36"/>
      <c r="FE52" s="36"/>
      <c r="FF52" s="36"/>
      <c r="FG52" s="36"/>
      <c r="FH52" s="36"/>
      <c r="FI52" s="36"/>
    </row>
    <row r="53" spans="1:165">
      <c r="A53" s="57"/>
      <c r="B53" s="57" t="s">
        <v>426</v>
      </c>
      <c r="C53" s="57" t="s">
        <v>113</v>
      </c>
      <c r="D53" s="57" t="s">
        <v>874</v>
      </c>
      <c r="E53" s="57" t="s">
        <v>138</v>
      </c>
      <c r="F53" s="57" t="s">
        <v>147</v>
      </c>
      <c r="G53" s="57"/>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row>
    <row r="54" spans="1:165">
      <c r="A54" s="55"/>
      <c r="B54" s="55" t="s">
        <v>426</v>
      </c>
      <c r="C54" s="55" t="s">
        <v>114</v>
      </c>
      <c r="D54" s="55" t="s">
        <v>837</v>
      </c>
      <c r="E54" s="55">
        <v>100</v>
      </c>
      <c r="F54" s="55" t="s">
        <v>875</v>
      </c>
      <c r="G54" s="55"/>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row>
    <row r="55" spans="1:165">
      <c r="A55" s="57"/>
      <c r="B55" s="57" t="s">
        <v>426</v>
      </c>
      <c r="C55" s="57" t="s">
        <v>115</v>
      </c>
      <c r="D55" s="57" t="s">
        <v>837</v>
      </c>
      <c r="E55" s="57"/>
      <c r="F55" s="57" t="s">
        <v>875</v>
      </c>
      <c r="G55" s="57"/>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row>
    <row r="56" spans="1:165">
      <c r="A56" s="55"/>
      <c r="B56" s="55" t="s">
        <v>426</v>
      </c>
      <c r="C56" s="55" t="s">
        <v>116</v>
      </c>
      <c r="D56" s="55" t="s">
        <v>837</v>
      </c>
      <c r="E56" s="55"/>
      <c r="F56" s="55" t="s">
        <v>875</v>
      </c>
      <c r="G56" s="55"/>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row>
    <row r="57" spans="1:165">
      <c r="A57" s="57"/>
      <c r="B57" s="57" t="s">
        <v>426</v>
      </c>
      <c r="C57" s="57" t="s">
        <v>117</v>
      </c>
      <c r="D57" s="57" t="s">
        <v>837</v>
      </c>
      <c r="E57" s="57"/>
      <c r="F57" s="57" t="s">
        <v>875</v>
      </c>
      <c r="G57" s="57"/>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c r="EV57" s="36"/>
      <c r="EW57" s="36"/>
      <c r="EX57" s="36"/>
      <c r="EY57" s="36"/>
      <c r="EZ57" s="36"/>
      <c r="FA57" s="36"/>
      <c r="FB57" s="36"/>
      <c r="FC57" s="36"/>
      <c r="FD57" s="36"/>
      <c r="FE57" s="36"/>
      <c r="FF57" s="36"/>
      <c r="FG57" s="36"/>
      <c r="FH57" s="36"/>
      <c r="FI57" s="36"/>
    </row>
    <row r="58" spans="1:165" ht="15">
      <c r="A58" s="47" t="s">
        <v>876</v>
      </c>
      <c r="B58" s="47"/>
      <c r="C58" s="47"/>
      <c r="D58" s="47"/>
      <c r="E58" s="47"/>
      <c r="F58" s="47"/>
      <c r="G58" s="47"/>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row>
    <row r="59" spans="1:165">
      <c r="A59" s="55"/>
      <c r="B59" s="55" t="s">
        <v>877</v>
      </c>
      <c r="C59" s="55" t="s">
        <v>26</v>
      </c>
      <c r="D59" s="55" t="s">
        <v>825</v>
      </c>
      <c r="E59" s="55" t="s">
        <v>826</v>
      </c>
      <c r="F59" s="55" t="s">
        <v>878</v>
      </c>
      <c r="G59" s="55"/>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c r="EV59" s="36"/>
      <c r="EW59" s="36"/>
      <c r="EX59" s="36"/>
      <c r="EY59" s="36"/>
      <c r="EZ59" s="36"/>
      <c r="FA59" s="36"/>
      <c r="FB59" s="36"/>
      <c r="FC59" s="36"/>
      <c r="FD59" s="36"/>
      <c r="FE59" s="36"/>
      <c r="FF59" s="36"/>
      <c r="FG59" s="36"/>
      <c r="FH59" s="36"/>
      <c r="FI59" s="36"/>
    </row>
    <row r="60" spans="1:165">
      <c r="A60" s="57"/>
      <c r="B60" s="57" t="s">
        <v>877</v>
      </c>
      <c r="C60" s="57" t="s">
        <v>879</v>
      </c>
      <c r="D60" s="57" t="s">
        <v>880</v>
      </c>
      <c r="E60" s="57"/>
      <c r="F60" s="57" t="s">
        <v>881</v>
      </c>
      <c r="G60" s="57"/>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row>
    <row r="61" spans="1:165">
      <c r="A61" s="55"/>
      <c r="B61" s="55" t="s">
        <v>877</v>
      </c>
      <c r="C61" s="55" t="s">
        <v>28</v>
      </c>
      <c r="D61" s="55" t="s">
        <v>839</v>
      </c>
      <c r="E61" s="55"/>
      <c r="F61" s="55"/>
      <c r="G61" s="55"/>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row>
    <row r="62" spans="1:165">
      <c r="A62" s="57"/>
      <c r="B62" s="57" t="s">
        <v>877</v>
      </c>
      <c r="C62" s="57" t="s">
        <v>29</v>
      </c>
      <c r="D62" s="57" t="s">
        <v>828</v>
      </c>
      <c r="E62" s="57" t="s">
        <v>882</v>
      </c>
      <c r="F62" s="57"/>
      <c r="G62" s="57"/>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S62" s="36"/>
      <c r="ET62" s="36"/>
      <c r="EU62" s="36"/>
      <c r="EV62" s="36"/>
      <c r="EW62" s="36"/>
      <c r="EX62" s="36"/>
      <c r="EY62" s="36"/>
      <c r="EZ62" s="36"/>
      <c r="FA62" s="36"/>
      <c r="FB62" s="36"/>
      <c r="FC62" s="36"/>
      <c r="FD62" s="36"/>
      <c r="FE62" s="36"/>
      <c r="FF62" s="36"/>
      <c r="FG62" s="36"/>
      <c r="FH62" s="36"/>
      <c r="FI62" s="36"/>
    </row>
    <row r="63" spans="1:165">
      <c r="A63" s="55"/>
      <c r="B63" s="55" t="s">
        <v>877</v>
      </c>
      <c r="C63" s="55" t="s">
        <v>30</v>
      </c>
      <c r="D63" s="55" t="s">
        <v>839</v>
      </c>
      <c r="E63" s="55"/>
      <c r="F63" s="55"/>
      <c r="G63" s="55"/>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36"/>
      <c r="DK63" s="36"/>
      <c r="DL63" s="36"/>
      <c r="DM63" s="36"/>
      <c r="DN63" s="36"/>
      <c r="DO63" s="36"/>
      <c r="DP63" s="36"/>
      <c r="DQ63" s="36"/>
      <c r="DR63" s="36"/>
      <c r="DS63" s="36"/>
      <c r="DT63" s="36"/>
      <c r="DU63" s="36"/>
      <c r="DV63" s="36"/>
      <c r="DW63" s="36"/>
      <c r="DX63" s="36"/>
      <c r="DY63" s="36"/>
      <c r="DZ63" s="36"/>
      <c r="EA63" s="36"/>
      <c r="EB63" s="36"/>
      <c r="EC63" s="36"/>
      <c r="ED63" s="36"/>
      <c r="EE63" s="36"/>
      <c r="EF63" s="36"/>
      <c r="EG63" s="36"/>
      <c r="EH63" s="36"/>
      <c r="EI63" s="36"/>
      <c r="EJ63" s="36"/>
      <c r="EK63" s="36"/>
      <c r="EL63" s="36"/>
      <c r="EM63" s="36"/>
      <c r="EN63" s="36"/>
      <c r="EO63" s="36"/>
      <c r="EP63" s="36"/>
      <c r="EQ63" s="36"/>
      <c r="ER63" s="36"/>
      <c r="ES63" s="36"/>
      <c r="ET63" s="36"/>
      <c r="EU63" s="36"/>
      <c r="EV63" s="36"/>
      <c r="EW63" s="36"/>
      <c r="EX63" s="36"/>
      <c r="EY63" s="36"/>
      <c r="EZ63" s="36"/>
      <c r="FA63" s="36"/>
      <c r="FB63" s="36"/>
      <c r="FC63" s="36"/>
      <c r="FD63" s="36"/>
      <c r="FE63" s="36"/>
      <c r="FF63" s="36"/>
      <c r="FG63" s="36"/>
      <c r="FH63" s="36"/>
      <c r="FI63" s="36"/>
    </row>
    <row r="64" spans="1:165">
      <c r="A64" s="57"/>
      <c r="B64" s="57" t="s">
        <v>877</v>
      </c>
      <c r="C64" s="57" t="s">
        <v>31</v>
      </c>
      <c r="D64" s="57" t="s">
        <v>874</v>
      </c>
      <c r="E64" s="57"/>
      <c r="F64" s="57"/>
      <c r="G64" s="57"/>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c r="DZ64" s="36"/>
      <c r="EA64" s="36"/>
      <c r="EB64" s="36"/>
      <c r="EC64" s="36"/>
      <c r="ED64" s="36"/>
      <c r="EE64" s="36"/>
      <c r="EF64" s="36"/>
      <c r="EG64" s="36"/>
      <c r="EH64" s="36"/>
      <c r="EI64" s="36"/>
      <c r="EJ64" s="36"/>
      <c r="EK64" s="36"/>
      <c r="EL64" s="36"/>
      <c r="EM64" s="36"/>
      <c r="EN64" s="36"/>
      <c r="EO64" s="36"/>
      <c r="EP64" s="36"/>
      <c r="EQ64" s="36"/>
      <c r="ER64" s="36"/>
      <c r="ES64" s="36"/>
      <c r="ET64" s="36"/>
      <c r="EU64" s="36"/>
      <c r="EV64" s="36"/>
      <c r="EW64" s="36"/>
      <c r="EX64" s="36"/>
      <c r="EY64" s="36"/>
      <c r="EZ64" s="36"/>
      <c r="FA64" s="36"/>
      <c r="FB64" s="36"/>
      <c r="FC64" s="36"/>
      <c r="FD64" s="36"/>
      <c r="FE64" s="36"/>
      <c r="FF64" s="36"/>
      <c r="FG64" s="36"/>
      <c r="FH64" s="36"/>
      <c r="FI64" s="36"/>
    </row>
    <row r="65" spans="1:235">
      <c r="A65" s="55"/>
      <c r="B65" s="55" t="s">
        <v>877</v>
      </c>
      <c r="C65" s="55" t="s">
        <v>32</v>
      </c>
      <c r="D65" s="55" t="s">
        <v>874</v>
      </c>
      <c r="E65" s="55"/>
      <c r="F65" s="55"/>
      <c r="G65" s="55"/>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c r="CT65" s="36"/>
      <c r="CU65" s="36"/>
      <c r="CV65" s="36"/>
      <c r="CW65" s="36"/>
      <c r="CX65" s="36"/>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row>
    <row r="66" spans="1:235">
      <c r="A66" s="57"/>
      <c r="B66" s="57" t="s">
        <v>877</v>
      </c>
      <c r="C66" s="57" t="s">
        <v>33</v>
      </c>
      <c r="D66" s="57" t="s">
        <v>825</v>
      </c>
      <c r="E66" s="57"/>
      <c r="F66" s="57"/>
      <c r="G66" s="57"/>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c r="EV66" s="36"/>
      <c r="EW66" s="36"/>
      <c r="EX66" s="36"/>
      <c r="EY66" s="36"/>
      <c r="EZ66" s="36"/>
      <c r="FA66" s="36"/>
      <c r="FB66" s="36"/>
      <c r="FC66" s="36"/>
      <c r="FD66" s="36"/>
      <c r="FE66" s="36"/>
      <c r="FF66" s="36"/>
      <c r="FG66" s="36"/>
      <c r="FH66" s="36"/>
      <c r="FI66" s="36"/>
    </row>
    <row r="67" spans="1:235">
      <c r="A67" s="55"/>
      <c r="B67" s="55" t="s">
        <v>877</v>
      </c>
      <c r="C67" s="55" t="s">
        <v>34</v>
      </c>
      <c r="D67" s="55" t="s">
        <v>828</v>
      </c>
      <c r="E67" s="55" t="s">
        <v>883</v>
      </c>
      <c r="F67" s="55"/>
      <c r="G67" s="55"/>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c r="ED67" s="36"/>
      <c r="EE67" s="36"/>
      <c r="EF67" s="36"/>
      <c r="EG67" s="36"/>
      <c r="EH67" s="36"/>
      <c r="EI67" s="36"/>
      <c r="EJ67" s="36"/>
      <c r="EK67" s="36"/>
      <c r="EL67" s="36"/>
      <c r="EM67" s="36"/>
      <c r="EN67" s="36"/>
      <c r="EO67" s="36"/>
      <c r="EP67" s="36"/>
      <c r="EQ67" s="36"/>
      <c r="ER67" s="36"/>
      <c r="ES67" s="36"/>
      <c r="ET67" s="36"/>
      <c r="EU67" s="36"/>
      <c r="EV67" s="36"/>
      <c r="EW67" s="36"/>
      <c r="EX67" s="36"/>
      <c r="EY67" s="36"/>
      <c r="EZ67" s="36"/>
      <c r="FA67" s="36"/>
      <c r="FB67" s="36"/>
      <c r="FC67" s="36"/>
      <c r="FD67" s="36"/>
      <c r="FE67" s="36"/>
      <c r="FF67" s="36"/>
      <c r="FG67" s="36"/>
      <c r="FH67" s="36"/>
      <c r="FI67" s="36"/>
    </row>
    <row r="68" spans="1:235">
      <c r="A68" s="57"/>
      <c r="B68" s="57" t="s">
        <v>877</v>
      </c>
      <c r="C68" s="57" t="s">
        <v>35</v>
      </c>
      <c r="D68" s="57" t="s">
        <v>825</v>
      </c>
      <c r="E68" s="57"/>
      <c r="F68" s="57"/>
      <c r="G68" s="57"/>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36"/>
      <c r="DX68" s="36"/>
      <c r="DY68" s="36"/>
      <c r="DZ68" s="36"/>
      <c r="EA68" s="36"/>
      <c r="EB68" s="36"/>
      <c r="EC68" s="36"/>
      <c r="ED68" s="36"/>
      <c r="EE68" s="36"/>
      <c r="EF68" s="36"/>
      <c r="EG68" s="36"/>
      <c r="EH68" s="36"/>
      <c r="EI68" s="36"/>
      <c r="EJ68" s="36"/>
      <c r="EK68" s="36"/>
      <c r="EL68" s="36"/>
      <c r="EM68" s="36"/>
      <c r="EN68" s="36"/>
      <c r="EO68" s="36"/>
      <c r="EP68" s="36"/>
      <c r="EQ68" s="36"/>
      <c r="ER68" s="36"/>
      <c r="ES68" s="36"/>
      <c r="ET68" s="36"/>
      <c r="EU68" s="36"/>
      <c r="EV68" s="36"/>
      <c r="EW68" s="36"/>
      <c r="EX68" s="36"/>
      <c r="EY68" s="36"/>
      <c r="EZ68" s="36"/>
      <c r="FA68" s="36"/>
      <c r="FB68" s="36"/>
      <c r="FC68" s="36"/>
      <c r="FD68" s="36"/>
      <c r="FE68" s="36"/>
      <c r="FF68" s="36"/>
      <c r="FG68" s="36"/>
      <c r="FH68" s="36"/>
      <c r="FI68" s="36"/>
    </row>
    <row r="69" spans="1:235">
      <c r="A69" s="55"/>
      <c r="B69" s="55" t="s">
        <v>877</v>
      </c>
      <c r="C69" s="55" t="s">
        <v>36</v>
      </c>
      <c r="D69" s="55" t="s">
        <v>828</v>
      </c>
      <c r="E69" s="55"/>
      <c r="F69" s="55"/>
      <c r="G69" s="55"/>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row>
    <row r="70" spans="1:235">
      <c r="A70" s="57"/>
      <c r="B70" s="57" t="s">
        <v>877</v>
      </c>
      <c r="C70" s="57" t="s">
        <v>37</v>
      </c>
      <c r="D70" s="57" t="s">
        <v>828</v>
      </c>
      <c r="E70" s="57" t="s">
        <v>884</v>
      </c>
      <c r="F70" s="57" t="s">
        <v>885</v>
      </c>
      <c r="G70" s="57"/>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c r="DZ70" s="36"/>
      <c r="EA70" s="36"/>
      <c r="EB70" s="36"/>
      <c r="EC70" s="36"/>
      <c r="ED70" s="36"/>
      <c r="EE70" s="36"/>
      <c r="EF70" s="36"/>
      <c r="EG70" s="36"/>
      <c r="EH70" s="36"/>
      <c r="EI70" s="36"/>
      <c r="EJ70" s="36"/>
      <c r="EK70" s="36"/>
      <c r="EL70" s="36"/>
      <c r="EM70" s="36"/>
      <c r="EN70" s="36"/>
      <c r="EO70" s="36"/>
      <c r="EP70" s="36"/>
      <c r="EQ70" s="36"/>
      <c r="ER70" s="36"/>
      <c r="ES70" s="36"/>
      <c r="ET70" s="36"/>
      <c r="EU70" s="36"/>
      <c r="EV70" s="36"/>
      <c r="EW70" s="36"/>
      <c r="EX70" s="36"/>
      <c r="EY70" s="36"/>
      <c r="EZ70" s="36"/>
      <c r="FA70" s="36"/>
      <c r="FB70" s="36"/>
      <c r="FC70" s="36"/>
      <c r="FD70" s="36"/>
      <c r="FE70" s="36"/>
      <c r="FF70" s="36"/>
      <c r="FG70" s="36"/>
      <c r="FH70" s="36"/>
      <c r="FI70" s="36"/>
    </row>
    <row r="71" spans="1:235">
      <c r="A71" s="55"/>
      <c r="B71" s="55" t="s">
        <v>877</v>
      </c>
      <c r="C71" s="55" t="s">
        <v>38</v>
      </c>
      <c r="D71" s="55" t="s">
        <v>828</v>
      </c>
      <c r="E71" s="55" t="s">
        <v>884</v>
      </c>
      <c r="F71" s="55"/>
      <c r="G71" s="55"/>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c r="EM71" s="36"/>
      <c r="EN71" s="36"/>
      <c r="EO71" s="36"/>
      <c r="EP71" s="36"/>
      <c r="EQ71" s="36"/>
      <c r="ER71" s="36"/>
      <c r="ES71" s="36"/>
      <c r="ET71" s="36"/>
      <c r="EU71" s="36"/>
      <c r="EV71" s="36"/>
      <c r="EW71" s="36"/>
      <c r="EX71" s="36"/>
      <c r="EY71" s="36"/>
      <c r="EZ71" s="36"/>
      <c r="FA71" s="36"/>
      <c r="FB71" s="36"/>
      <c r="FC71" s="36"/>
      <c r="FD71" s="36"/>
      <c r="FE71" s="36"/>
      <c r="FF71" s="36"/>
      <c r="FG71" s="36"/>
      <c r="FH71" s="36"/>
      <c r="FI71" s="36"/>
    </row>
    <row r="72" spans="1:235">
      <c r="A72" s="57"/>
      <c r="B72" s="57" t="s">
        <v>877</v>
      </c>
      <c r="C72" s="57" t="s">
        <v>39</v>
      </c>
      <c r="D72" s="57" t="s">
        <v>828</v>
      </c>
      <c r="E72" s="57" t="s">
        <v>886</v>
      </c>
      <c r="F72" s="57" t="s">
        <v>887</v>
      </c>
      <c r="G72" s="57" t="s">
        <v>888</v>
      </c>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c r="EV72" s="36"/>
      <c r="EW72" s="36"/>
      <c r="EX72" s="36"/>
      <c r="EY72" s="36"/>
      <c r="EZ72" s="36"/>
      <c r="FA72" s="36"/>
      <c r="FB72" s="36"/>
      <c r="FC72" s="36"/>
      <c r="FD72" s="36"/>
      <c r="FE72" s="36"/>
      <c r="FF72" s="36"/>
      <c r="FG72" s="36"/>
      <c r="FH72" s="36"/>
      <c r="FI72" s="36"/>
    </row>
    <row r="73" spans="1:235" ht="25.5">
      <c r="A73" s="55"/>
      <c r="B73" s="55" t="s">
        <v>877</v>
      </c>
      <c r="C73" s="55" t="s">
        <v>40</v>
      </c>
      <c r="D73" s="55" t="s">
        <v>839</v>
      </c>
      <c r="E73" s="55"/>
      <c r="F73" s="55" t="s">
        <v>889</v>
      </c>
      <c r="G73" s="55"/>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36"/>
      <c r="EM73" s="36"/>
      <c r="EN73" s="36"/>
      <c r="EO73" s="36"/>
      <c r="EP73" s="36"/>
      <c r="EQ73" s="36"/>
      <c r="ER73" s="36"/>
      <c r="ES73" s="36"/>
      <c r="ET73" s="36"/>
      <c r="EU73" s="36"/>
      <c r="EV73" s="36"/>
      <c r="EW73" s="36"/>
      <c r="EX73" s="36"/>
      <c r="EY73" s="36"/>
      <c r="EZ73" s="36"/>
      <c r="FA73" s="36"/>
      <c r="FB73" s="36"/>
      <c r="FC73" s="36"/>
      <c r="FD73" s="36"/>
      <c r="FE73" s="36"/>
      <c r="FF73" s="36"/>
      <c r="FG73" s="36"/>
      <c r="FH73" s="36"/>
      <c r="FI73" s="36"/>
    </row>
    <row r="74" spans="1:235">
      <c r="A74" s="57"/>
      <c r="B74" s="57" t="s">
        <v>877</v>
      </c>
      <c r="C74" s="57" t="s">
        <v>41</v>
      </c>
      <c r="D74" s="57" t="s">
        <v>839</v>
      </c>
      <c r="E74" s="57"/>
      <c r="F74" s="57"/>
      <c r="G74" s="57"/>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row>
    <row r="75" spans="1:235">
      <c r="A75" s="55"/>
      <c r="B75" s="55" t="s">
        <v>877</v>
      </c>
      <c r="C75" s="55" t="s">
        <v>42</v>
      </c>
      <c r="D75" s="55" t="s">
        <v>828</v>
      </c>
      <c r="E75" s="55" t="s">
        <v>890</v>
      </c>
      <c r="F75" s="55"/>
      <c r="G75" s="55"/>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c r="EV75" s="36"/>
      <c r="EW75" s="36"/>
      <c r="EX75" s="36"/>
      <c r="EY75" s="36"/>
      <c r="EZ75" s="36"/>
      <c r="FA75" s="36"/>
      <c r="FB75" s="36"/>
      <c r="FC75" s="36"/>
      <c r="FD75" s="36"/>
      <c r="FE75" s="36"/>
      <c r="FF75" s="36"/>
      <c r="FG75" s="36"/>
      <c r="FH75" s="36"/>
      <c r="FI75" s="36"/>
    </row>
    <row r="76" spans="1:235">
      <c r="A76" s="57"/>
      <c r="B76" s="57" t="s">
        <v>877</v>
      </c>
      <c r="C76" s="57" t="s">
        <v>43</v>
      </c>
      <c r="D76" s="57" t="s">
        <v>828</v>
      </c>
      <c r="E76" s="57" t="s">
        <v>891</v>
      </c>
      <c r="F76" s="57"/>
      <c r="G76" s="57"/>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36"/>
      <c r="EM76" s="36"/>
      <c r="EN76" s="36"/>
      <c r="EO76" s="36"/>
      <c r="EP76" s="36"/>
      <c r="EQ76" s="36"/>
      <c r="ER76" s="36"/>
      <c r="ES76" s="36"/>
      <c r="ET76" s="36"/>
      <c r="EU76" s="36"/>
      <c r="EV76" s="36"/>
      <c r="EW76" s="36"/>
      <c r="EX76" s="36"/>
      <c r="EY76" s="36"/>
      <c r="EZ76" s="36"/>
      <c r="FA76" s="36"/>
      <c r="FB76" s="36"/>
      <c r="FC76" s="36"/>
      <c r="FD76" s="36"/>
      <c r="FE76" s="36"/>
      <c r="FF76" s="36"/>
      <c r="FG76" s="36"/>
      <c r="FH76" s="36"/>
      <c r="FI76" s="36"/>
    </row>
    <row r="77" spans="1:235">
      <c r="A77" s="55"/>
      <c r="B77" s="55" t="s">
        <v>877</v>
      </c>
      <c r="C77" s="55" t="s">
        <v>44</v>
      </c>
      <c r="D77" s="55" t="s">
        <v>837</v>
      </c>
      <c r="E77" s="55">
        <v>80</v>
      </c>
      <c r="F77" s="55"/>
      <c r="G77" s="55"/>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c r="BS77" s="36"/>
      <c r="BT77" s="36"/>
      <c r="BU77" s="3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6"/>
      <c r="CX77" s="36"/>
      <c r="CY77" s="36"/>
      <c r="CZ77" s="36"/>
      <c r="DA77" s="36"/>
      <c r="DB77" s="36"/>
      <c r="DC77" s="36"/>
      <c r="DD77" s="36"/>
      <c r="DE77" s="36"/>
      <c r="DF77" s="36"/>
      <c r="DG77" s="36"/>
      <c r="DH77" s="36"/>
      <c r="DI77" s="36"/>
      <c r="DJ77" s="36"/>
      <c r="DK77" s="36"/>
      <c r="DL77" s="36"/>
      <c r="DM77" s="36"/>
      <c r="DN77" s="36"/>
      <c r="DO77" s="36"/>
      <c r="DP77" s="36"/>
      <c r="DQ77" s="36"/>
      <c r="DR77" s="36"/>
      <c r="DS77" s="36"/>
      <c r="DT77" s="36"/>
      <c r="DU77" s="36"/>
      <c r="DV77" s="36"/>
      <c r="DW77" s="36"/>
      <c r="DX77" s="36"/>
      <c r="DY77" s="36"/>
      <c r="DZ77" s="36"/>
      <c r="EA77" s="36"/>
      <c r="EB77" s="36"/>
      <c r="EC77" s="36"/>
      <c r="ED77" s="36"/>
      <c r="EE77" s="36"/>
      <c r="EF77" s="36"/>
      <c r="EG77" s="36"/>
      <c r="EH77" s="36"/>
      <c r="EI77" s="36"/>
      <c r="EJ77" s="36"/>
      <c r="EK77" s="36"/>
      <c r="EL77" s="36"/>
      <c r="EM77" s="36"/>
      <c r="EN77" s="36"/>
      <c r="EO77" s="36"/>
      <c r="EP77" s="36"/>
      <c r="EQ77" s="36"/>
      <c r="ER77" s="36"/>
      <c r="ES77" s="36"/>
      <c r="ET77" s="36"/>
      <c r="EU77" s="36"/>
      <c r="EV77" s="36"/>
      <c r="EW77" s="36"/>
      <c r="EX77" s="36"/>
      <c r="EY77" s="36"/>
      <c r="EZ77" s="36"/>
      <c r="FA77" s="36"/>
      <c r="FB77" s="36"/>
      <c r="FC77" s="36"/>
      <c r="FD77" s="36"/>
      <c r="FE77" s="36"/>
      <c r="FF77" s="36"/>
      <c r="FG77" s="36"/>
      <c r="FH77" s="36"/>
      <c r="FI77" s="36"/>
    </row>
    <row r="78" spans="1:235">
      <c r="A78" s="57"/>
      <c r="B78" s="57" t="s">
        <v>877</v>
      </c>
      <c r="C78" s="57" t="s">
        <v>45</v>
      </c>
      <c r="D78" s="57" t="s">
        <v>837</v>
      </c>
      <c r="E78" s="57">
        <v>80</v>
      </c>
      <c r="F78" s="57"/>
      <c r="G78" s="57"/>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c r="DB78" s="36"/>
      <c r="DC78" s="36"/>
      <c r="DD78" s="36"/>
      <c r="DE78" s="36"/>
      <c r="DF78" s="36"/>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36"/>
      <c r="EM78" s="36"/>
      <c r="EN78" s="36"/>
      <c r="EO78" s="36"/>
      <c r="EP78" s="36"/>
      <c r="EQ78" s="36"/>
      <c r="ER78" s="36"/>
      <c r="ES78" s="36"/>
      <c r="ET78" s="36"/>
      <c r="EU78" s="36"/>
      <c r="EV78" s="36"/>
      <c r="EW78" s="36"/>
      <c r="EX78" s="36"/>
      <c r="EY78" s="36"/>
      <c r="EZ78" s="36"/>
      <c r="FA78" s="36"/>
      <c r="FB78" s="36"/>
      <c r="FC78" s="36"/>
      <c r="FD78" s="36"/>
      <c r="FE78" s="36"/>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row>
    <row r="79" spans="1:235">
      <c r="A79" s="55"/>
      <c r="B79" s="55" t="s">
        <v>877</v>
      </c>
      <c r="C79" s="55" t="s">
        <v>46</v>
      </c>
      <c r="D79" s="55" t="s">
        <v>837</v>
      </c>
      <c r="E79" s="55">
        <v>100</v>
      </c>
      <c r="F79" s="55"/>
      <c r="G79" s="55"/>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c r="CV79" s="36"/>
      <c r="CW79" s="36"/>
      <c r="CX79" s="36"/>
      <c r="CY79" s="36"/>
      <c r="CZ79" s="36"/>
      <c r="DA79" s="36"/>
      <c r="DB79" s="36"/>
      <c r="DC79" s="36"/>
      <c r="DD79" s="36"/>
      <c r="DE79" s="36"/>
      <c r="DF79" s="36"/>
      <c r="DG79" s="36"/>
      <c r="DH79" s="36"/>
      <c r="DI79" s="36"/>
      <c r="DJ79" s="36"/>
      <c r="DK79" s="36"/>
      <c r="DL79" s="36"/>
      <c r="DM79" s="36"/>
      <c r="DN79" s="36"/>
      <c r="DO79" s="36"/>
      <c r="DP79" s="36"/>
      <c r="DQ79" s="36"/>
      <c r="DR79" s="36"/>
      <c r="DS79" s="36"/>
      <c r="DT79" s="36"/>
      <c r="DU79" s="36"/>
      <c r="DV79" s="36"/>
      <c r="DW79" s="36"/>
      <c r="DX79" s="36"/>
      <c r="DY79" s="36"/>
      <c r="DZ79" s="36"/>
      <c r="EA79" s="36"/>
      <c r="EB79" s="36"/>
      <c r="EC79" s="36"/>
      <c r="ED79" s="36"/>
      <c r="EE79" s="36"/>
      <c r="EF79" s="36"/>
      <c r="EG79" s="36"/>
      <c r="EH79" s="36"/>
      <c r="EI79" s="36"/>
      <c r="EJ79" s="36"/>
      <c r="EK79" s="36"/>
      <c r="EL79" s="36"/>
      <c r="EM79" s="36"/>
      <c r="EN79" s="36"/>
      <c r="EO79" s="36"/>
      <c r="EP79" s="36"/>
      <c r="EQ79" s="36"/>
      <c r="ER79" s="36"/>
      <c r="ES79" s="36"/>
      <c r="ET79" s="36"/>
      <c r="EU79" s="36"/>
      <c r="EV79" s="36"/>
      <c r="EW79" s="36"/>
      <c r="EX79" s="36"/>
      <c r="EY79" s="36"/>
      <c r="EZ79" s="36"/>
      <c r="FA79" s="36"/>
      <c r="FB79" s="36"/>
      <c r="FC79" s="36"/>
      <c r="FD79" s="36"/>
      <c r="FE79" s="36"/>
      <c r="FF79" s="36"/>
      <c r="FG79" s="36"/>
      <c r="FH79" s="36"/>
      <c r="FI79" s="36"/>
    </row>
    <row r="80" spans="1:235">
      <c r="A80" s="57"/>
      <c r="B80" s="57" t="s">
        <v>877</v>
      </c>
      <c r="C80" s="57" t="s">
        <v>47</v>
      </c>
      <c r="D80" s="57" t="s">
        <v>828</v>
      </c>
      <c r="E80" s="57" t="s">
        <v>892</v>
      </c>
      <c r="F80" s="57"/>
      <c r="G80" s="57"/>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c r="CY80" s="36"/>
      <c r="CZ80" s="36"/>
      <c r="DA80" s="36"/>
      <c r="DB80" s="36"/>
      <c r="DC80" s="36"/>
      <c r="DD80" s="36"/>
      <c r="DE80" s="36"/>
      <c r="DF80" s="36"/>
      <c r="DG80" s="36"/>
      <c r="DH80" s="36"/>
      <c r="DI80" s="36"/>
      <c r="DJ80" s="36"/>
      <c r="DK80" s="36"/>
      <c r="DL80" s="36"/>
      <c r="DM80" s="36"/>
      <c r="DN80" s="36"/>
      <c r="DO80" s="36"/>
      <c r="DP80" s="36"/>
      <c r="DQ80" s="36"/>
      <c r="DR80" s="36"/>
      <c r="DS80" s="36"/>
      <c r="DT80" s="36"/>
      <c r="DU80" s="36"/>
      <c r="DV80" s="36"/>
      <c r="DW80" s="36"/>
      <c r="DX80" s="36"/>
      <c r="DY80" s="36"/>
      <c r="DZ80" s="36"/>
      <c r="EA80" s="36"/>
      <c r="EB80" s="36"/>
      <c r="EC80" s="36"/>
      <c r="ED80" s="36"/>
      <c r="EE80" s="36"/>
      <c r="EF80" s="36"/>
      <c r="EG80" s="36"/>
      <c r="EH80" s="36"/>
      <c r="EI80" s="36"/>
      <c r="EJ80" s="36"/>
      <c r="EK80" s="36"/>
      <c r="EL80" s="36"/>
      <c r="EM80" s="36"/>
      <c r="EN80" s="36"/>
      <c r="EO80" s="36"/>
      <c r="EP80" s="36"/>
      <c r="EQ80" s="36"/>
      <c r="ER80" s="36"/>
      <c r="ES80" s="36"/>
      <c r="ET80" s="36"/>
      <c r="EU80" s="36"/>
      <c r="EV80" s="36"/>
      <c r="EW80" s="36"/>
      <c r="EX80" s="36"/>
      <c r="EY80" s="36"/>
      <c r="EZ80" s="36"/>
      <c r="FA80" s="36"/>
      <c r="FB80" s="36"/>
      <c r="FC80" s="36"/>
      <c r="FD80" s="36"/>
      <c r="FE80" s="36"/>
      <c r="FF80" s="36"/>
      <c r="FG80" s="36"/>
      <c r="FH80" s="36"/>
      <c r="FI80" s="36"/>
    </row>
    <row r="81" spans="1:165">
      <c r="A81" s="55"/>
      <c r="B81" s="55" t="s">
        <v>877</v>
      </c>
      <c r="C81" s="55" t="s">
        <v>48</v>
      </c>
      <c r="D81" s="55" t="s">
        <v>828</v>
      </c>
      <c r="E81" s="55" t="s">
        <v>893</v>
      </c>
      <c r="F81" s="55"/>
      <c r="G81" s="55"/>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c r="CV81" s="36"/>
      <c r="CW81" s="36"/>
      <c r="CX81" s="36"/>
      <c r="CY81" s="36"/>
      <c r="CZ81" s="36"/>
      <c r="DA81" s="36"/>
      <c r="DB81" s="36"/>
      <c r="DC81" s="36"/>
      <c r="DD81" s="36"/>
      <c r="DE81" s="36"/>
      <c r="DF81" s="36"/>
      <c r="DG81" s="36"/>
      <c r="DH81" s="36"/>
      <c r="DI81" s="36"/>
      <c r="DJ81" s="36"/>
      <c r="DK81" s="36"/>
      <c r="DL81" s="36"/>
      <c r="DM81" s="36"/>
      <c r="DN81" s="36"/>
      <c r="DO81" s="36"/>
      <c r="DP81" s="36"/>
      <c r="DQ81" s="36"/>
      <c r="DR81" s="36"/>
      <c r="DS81" s="36"/>
      <c r="DT81" s="36"/>
      <c r="DU81" s="36"/>
      <c r="DV81" s="36"/>
      <c r="DW81" s="36"/>
      <c r="DX81" s="36"/>
      <c r="DY81" s="36"/>
      <c r="DZ81" s="36"/>
      <c r="EA81" s="36"/>
      <c r="EB81" s="36"/>
      <c r="EC81" s="36"/>
      <c r="ED81" s="36"/>
      <c r="EE81" s="36"/>
      <c r="EF81" s="36"/>
      <c r="EG81" s="36"/>
      <c r="EH81" s="36"/>
      <c r="EI81" s="36"/>
      <c r="EJ81" s="36"/>
      <c r="EK81" s="36"/>
      <c r="EL81" s="36"/>
      <c r="EM81" s="36"/>
      <c r="EN81" s="36"/>
      <c r="EO81" s="36"/>
      <c r="EP81" s="36"/>
      <c r="EQ81" s="36"/>
      <c r="ER81" s="36"/>
      <c r="ES81" s="36"/>
      <c r="ET81" s="36"/>
      <c r="EU81" s="36"/>
      <c r="EV81" s="36"/>
      <c r="EW81" s="36"/>
      <c r="EX81" s="36"/>
      <c r="EY81" s="36"/>
      <c r="EZ81" s="36"/>
      <c r="FA81" s="36"/>
      <c r="FB81" s="36"/>
      <c r="FC81" s="36"/>
      <c r="FD81" s="36"/>
      <c r="FE81" s="36"/>
      <c r="FF81" s="36"/>
      <c r="FG81" s="36"/>
      <c r="FH81" s="36"/>
      <c r="FI81" s="36"/>
    </row>
    <row r="82" spans="1:165">
      <c r="A82" s="57"/>
      <c r="B82" s="57" t="s">
        <v>877</v>
      </c>
      <c r="C82" s="57" t="s">
        <v>49</v>
      </c>
      <c r="D82" s="57" t="s">
        <v>825</v>
      </c>
      <c r="E82" s="57"/>
      <c r="F82" s="57" t="s">
        <v>894</v>
      </c>
      <c r="G82" s="57"/>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6"/>
      <c r="BR82" s="36"/>
      <c r="BS82" s="36"/>
      <c r="BT82" s="36"/>
      <c r="BU82" s="36"/>
      <c r="BV82" s="36"/>
      <c r="BW82" s="36"/>
      <c r="BX82" s="36"/>
      <c r="BY82" s="36"/>
      <c r="BZ82" s="36"/>
      <c r="CA82" s="36"/>
      <c r="CB82" s="36"/>
      <c r="CC82" s="36"/>
      <c r="CD82" s="36"/>
      <c r="CE82" s="36"/>
      <c r="CF82" s="36"/>
      <c r="CG82" s="36"/>
      <c r="CH82" s="36"/>
      <c r="CI82" s="36"/>
      <c r="CJ82" s="36"/>
      <c r="CK82" s="36"/>
      <c r="CL82" s="36"/>
      <c r="CM82" s="36"/>
      <c r="CN82" s="36"/>
      <c r="CO82" s="36"/>
      <c r="CP82" s="36"/>
      <c r="CQ82" s="36"/>
      <c r="CR82" s="36"/>
      <c r="CS82" s="36"/>
      <c r="CT82" s="36"/>
      <c r="CU82" s="36"/>
      <c r="CV82" s="36"/>
      <c r="CW82" s="36"/>
      <c r="CX82" s="36"/>
      <c r="CY82" s="36"/>
      <c r="CZ82" s="36"/>
      <c r="DA82" s="36"/>
      <c r="DB82" s="36"/>
      <c r="DC82" s="36"/>
      <c r="DD82" s="36"/>
      <c r="DE82" s="36"/>
      <c r="DF82" s="36"/>
      <c r="DG82" s="36"/>
      <c r="DH82" s="36"/>
      <c r="DI82" s="36"/>
      <c r="DJ82" s="36"/>
      <c r="DK82" s="36"/>
      <c r="DL82" s="36"/>
      <c r="DM82" s="36"/>
      <c r="DN82" s="36"/>
      <c r="DO82" s="36"/>
      <c r="DP82" s="36"/>
      <c r="DQ82" s="36"/>
      <c r="DR82" s="36"/>
      <c r="DS82" s="36"/>
      <c r="DT82" s="36"/>
      <c r="DU82" s="36"/>
      <c r="DV82" s="36"/>
      <c r="DW82" s="36"/>
      <c r="DX82" s="36"/>
      <c r="DY82" s="36"/>
      <c r="DZ82" s="36"/>
      <c r="EA82" s="36"/>
      <c r="EB82" s="36"/>
      <c r="EC82" s="36"/>
      <c r="ED82" s="36"/>
      <c r="EE82" s="36"/>
      <c r="EF82" s="36"/>
      <c r="EG82" s="36"/>
      <c r="EH82" s="36"/>
      <c r="EI82" s="36"/>
      <c r="EJ82" s="36"/>
      <c r="EK82" s="36"/>
      <c r="EL82" s="36"/>
      <c r="EM82" s="36"/>
      <c r="EN82" s="36"/>
      <c r="EO82" s="36"/>
      <c r="EP82" s="36"/>
      <c r="EQ82" s="36"/>
      <c r="ER82" s="36"/>
      <c r="ES82" s="36"/>
      <c r="ET82" s="36"/>
      <c r="EU82" s="36"/>
      <c r="EV82" s="36"/>
      <c r="EW82" s="36"/>
      <c r="EX82" s="36"/>
      <c r="EY82" s="36"/>
      <c r="EZ82" s="36"/>
      <c r="FA82" s="36"/>
      <c r="FB82" s="36"/>
      <c r="FC82" s="36"/>
      <c r="FD82" s="36"/>
      <c r="FE82" s="36"/>
      <c r="FF82" s="36"/>
      <c r="FG82" s="36"/>
      <c r="FH82" s="36"/>
      <c r="FI82" s="36"/>
    </row>
    <row r="83" spans="1:165" ht="15">
      <c r="A83" s="49" t="s">
        <v>895</v>
      </c>
      <c r="B83" s="49"/>
      <c r="C83" s="49"/>
      <c r="D83" s="49"/>
      <c r="E83" s="49"/>
      <c r="F83" s="49"/>
      <c r="G83" s="49"/>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c r="CT83" s="36"/>
      <c r="CU83" s="36"/>
      <c r="CV83" s="36"/>
      <c r="CW83" s="36"/>
      <c r="CX83" s="36"/>
      <c r="CY83" s="36"/>
      <c r="CZ83" s="36"/>
      <c r="DA83" s="36"/>
      <c r="DB83" s="36"/>
      <c r="DC83" s="36"/>
      <c r="DD83" s="36"/>
      <c r="DE83" s="36"/>
      <c r="DF83" s="36"/>
      <c r="DG83" s="36"/>
      <c r="DH83" s="36"/>
      <c r="DI83" s="36"/>
      <c r="DJ83" s="36"/>
      <c r="DK83" s="36"/>
      <c r="DL83" s="36"/>
      <c r="DM83" s="36"/>
      <c r="DN83" s="36"/>
      <c r="DO83" s="36"/>
      <c r="DP83" s="36"/>
      <c r="DQ83" s="36"/>
      <c r="DR83" s="36"/>
      <c r="DS83" s="36"/>
      <c r="DT83" s="36"/>
      <c r="DU83" s="36"/>
      <c r="DV83" s="36"/>
      <c r="DW83" s="36"/>
      <c r="DX83" s="36"/>
      <c r="DY83" s="36"/>
      <c r="DZ83" s="36"/>
      <c r="EA83" s="36"/>
      <c r="EB83" s="36"/>
      <c r="EC83" s="36"/>
      <c r="ED83" s="36"/>
      <c r="EE83" s="36"/>
      <c r="EF83" s="36"/>
      <c r="EG83" s="36"/>
      <c r="EH83" s="36"/>
      <c r="EI83" s="36"/>
      <c r="EJ83" s="36"/>
      <c r="EK83" s="36"/>
      <c r="EL83" s="36"/>
      <c r="EM83" s="36"/>
      <c r="EN83" s="36"/>
      <c r="EO83" s="36"/>
      <c r="EP83" s="36"/>
      <c r="EQ83" s="36"/>
      <c r="ER83" s="36"/>
      <c r="ES83" s="36"/>
      <c r="ET83" s="36"/>
      <c r="EU83" s="36"/>
      <c r="EV83" s="36"/>
      <c r="EW83" s="36"/>
      <c r="EX83" s="36"/>
      <c r="EY83" s="36"/>
      <c r="EZ83" s="36"/>
      <c r="FA83" s="36"/>
      <c r="FB83" s="36"/>
      <c r="FC83" s="36"/>
      <c r="FD83" s="36"/>
      <c r="FE83" s="36"/>
      <c r="FF83" s="36"/>
      <c r="FG83" s="36"/>
      <c r="FH83" s="36"/>
      <c r="FI83" s="36"/>
    </row>
    <row r="84" spans="1:165">
      <c r="A84" s="55"/>
      <c r="B84" s="55" t="s">
        <v>0</v>
      </c>
      <c r="C84" s="55" t="s">
        <v>896</v>
      </c>
      <c r="D84" s="55" t="s">
        <v>828</v>
      </c>
      <c r="E84" s="55" t="s">
        <v>897</v>
      </c>
      <c r="F84" s="55"/>
      <c r="G84" s="55"/>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6"/>
      <c r="CT84" s="36"/>
      <c r="CU84" s="36"/>
      <c r="CV84" s="36"/>
      <c r="CW84" s="36"/>
      <c r="CX84" s="36"/>
      <c r="CY84" s="36"/>
      <c r="CZ84" s="36"/>
      <c r="DA84" s="36"/>
      <c r="DB84" s="36"/>
      <c r="DC84" s="36"/>
      <c r="DD84" s="36"/>
      <c r="DE84" s="36"/>
      <c r="DF84" s="36"/>
      <c r="DG84" s="36"/>
      <c r="DH84" s="36"/>
      <c r="DI84" s="36"/>
      <c r="DJ84" s="36"/>
      <c r="DK84" s="36"/>
      <c r="DL84" s="36"/>
      <c r="DM84" s="36"/>
      <c r="DN84" s="36"/>
      <c r="DO84" s="36"/>
      <c r="DP84" s="36"/>
      <c r="DQ84" s="36"/>
      <c r="DR84" s="36"/>
      <c r="DS84" s="36"/>
      <c r="DT84" s="36"/>
      <c r="DU84" s="36"/>
      <c r="DV84" s="36"/>
      <c r="DW84" s="36"/>
      <c r="DX84" s="36"/>
      <c r="DY84" s="36"/>
      <c r="DZ84" s="36"/>
      <c r="EA84" s="36"/>
      <c r="EB84" s="36"/>
      <c r="EC84" s="36"/>
      <c r="ED84" s="36"/>
      <c r="EE84" s="36"/>
      <c r="EF84" s="36"/>
      <c r="EG84" s="36"/>
      <c r="EH84" s="36"/>
      <c r="EI84" s="36"/>
      <c r="EJ84" s="36"/>
      <c r="EK84" s="36"/>
      <c r="EL84" s="36"/>
      <c r="EM84" s="36"/>
      <c r="EN84" s="36"/>
      <c r="EO84" s="36"/>
      <c r="EP84" s="36"/>
      <c r="EQ84" s="36"/>
      <c r="ER84" s="36"/>
      <c r="ES84" s="36"/>
      <c r="ET84" s="36"/>
      <c r="EU84" s="36"/>
      <c r="EV84" s="36"/>
      <c r="EW84" s="36"/>
      <c r="EX84" s="36"/>
      <c r="EY84" s="36"/>
      <c r="EZ84" s="36"/>
      <c r="FA84" s="36"/>
      <c r="FB84" s="36"/>
      <c r="FC84" s="36"/>
      <c r="FD84" s="36"/>
      <c r="FE84" s="36"/>
      <c r="FF84" s="36"/>
      <c r="FG84" s="36"/>
      <c r="FH84" s="36"/>
      <c r="FI84" s="36"/>
    </row>
    <row r="85" spans="1:165" ht="25.5">
      <c r="A85" s="57"/>
      <c r="B85" s="57" t="s">
        <v>0</v>
      </c>
      <c r="C85" s="57" t="s">
        <v>898</v>
      </c>
      <c r="D85" s="57" t="s">
        <v>828</v>
      </c>
      <c r="E85" s="57" t="s">
        <v>899</v>
      </c>
      <c r="F85" s="57"/>
      <c r="G85" s="57"/>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c r="CX85" s="36"/>
      <c r="CY85" s="36"/>
      <c r="CZ85" s="36"/>
      <c r="DA85" s="36"/>
      <c r="DB85" s="36"/>
      <c r="DC85" s="36"/>
      <c r="DD85" s="36"/>
      <c r="DE85" s="36"/>
      <c r="DF85" s="36"/>
      <c r="DG85" s="36"/>
      <c r="DH85" s="36"/>
      <c r="DI85" s="36"/>
      <c r="DJ85" s="36"/>
      <c r="DK85" s="36"/>
      <c r="DL85" s="36"/>
      <c r="DM85" s="36"/>
      <c r="DN85" s="36"/>
      <c r="DO85" s="36"/>
      <c r="DP85" s="36"/>
      <c r="DQ85" s="36"/>
      <c r="DR85" s="36"/>
      <c r="DS85" s="36"/>
      <c r="DT85" s="36"/>
      <c r="DU85" s="36"/>
      <c r="DV85" s="36"/>
      <c r="DW85" s="36"/>
      <c r="DX85" s="36"/>
      <c r="DY85" s="36"/>
      <c r="DZ85" s="36"/>
      <c r="EA85" s="36"/>
      <c r="EB85" s="36"/>
      <c r="EC85" s="36"/>
      <c r="ED85" s="36"/>
      <c r="EE85" s="36"/>
      <c r="EF85" s="36"/>
      <c r="EG85" s="36"/>
      <c r="EH85" s="36"/>
      <c r="EI85" s="36"/>
      <c r="EJ85" s="36"/>
      <c r="EK85" s="36"/>
      <c r="EL85" s="36"/>
      <c r="EM85" s="36"/>
      <c r="EN85" s="36"/>
      <c r="EO85" s="36"/>
      <c r="EP85" s="36"/>
      <c r="EQ85" s="36"/>
      <c r="ER85" s="36"/>
      <c r="ES85" s="36"/>
      <c r="ET85" s="36"/>
      <c r="EU85" s="36"/>
      <c r="EV85" s="36"/>
      <c r="EW85" s="36"/>
      <c r="EX85" s="36"/>
      <c r="EY85" s="36"/>
      <c r="EZ85" s="36"/>
      <c r="FA85" s="36"/>
      <c r="FB85" s="36"/>
      <c r="FC85" s="36"/>
      <c r="FD85" s="36"/>
      <c r="FE85" s="36"/>
      <c r="FF85" s="36"/>
      <c r="FG85" s="36"/>
      <c r="FH85" s="36"/>
      <c r="FI85" s="36"/>
    </row>
    <row r="86" spans="1:165">
      <c r="A86" s="55"/>
      <c r="B86" s="55" t="s">
        <v>0</v>
      </c>
      <c r="C86" s="55" t="s">
        <v>900</v>
      </c>
      <c r="D86" s="55" t="s">
        <v>837</v>
      </c>
      <c r="E86" s="55">
        <v>3000</v>
      </c>
      <c r="F86" s="55"/>
      <c r="G86" s="55" t="s">
        <v>901</v>
      </c>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c r="EV86" s="36"/>
      <c r="EW86" s="36"/>
      <c r="EX86" s="36"/>
      <c r="EY86" s="36"/>
      <c r="EZ86" s="36"/>
      <c r="FA86" s="36"/>
      <c r="FB86" s="36"/>
      <c r="FC86" s="36"/>
      <c r="FD86" s="36"/>
      <c r="FE86" s="36"/>
      <c r="FF86" s="36"/>
      <c r="FG86" s="36"/>
      <c r="FH86" s="36"/>
      <c r="FI86" s="36"/>
    </row>
    <row r="87" spans="1:165">
      <c r="A87" s="57"/>
      <c r="B87" s="57" t="s">
        <v>0</v>
      </c>
      <c r="C87" s="57" t="s">
        <v>50</v>
      </c>
      <c r="D87" s="57" t="s">
        <v>848</v>
      </c>
      <c r="E87" s="57" t="s">
        <v>81</v>
      </c>
      <c r="F87" s="57" t="s">
        <v>902</v>
      </c>
      <c r="G87" s="57"/>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c r="CT87" s="36"/>
      <c r="CU87" s="36"/>
      <c r="CV87" s="36"/>
      <c r="CW87" s="36"/>
      <c r="CX87" s="36"/>
      <c r="CY87" s="36"/>
      <c r="CZ87" s="36"/>
      <c r="DA87" s="36"/>
      <c r="DB87" s="36"/>
      <c r="DC87" s="36"/>
      <c r="DD87" s="36"/>
      <c r="DE87" s="36"/>
      <c r="DF87" s="36"/>
      <c r="DG87" s="36"/>
      <c r="DH87" s="36"/>
      <c r="DI87" s="36"/>
      <c r="DJ87" s="36"/>
      <c r="DK87" s="36"/>
      <c r="DL87" s="36"/>
      <c r="DM87" s="36"/>
      <c r="DN87" s="36"/>
      <c r="DO87" s="36"/>
      <c r="DP87" s="36"/>
      <c r="DQ87" s="36"/>
      <c r="DR87" s="36"/>
      <c r="DS87" s="36"/>
      <c r="DT87" s="36"/>
      <c r="DU87" s="36"/>
      <c r="DV87" s="36"/>
      <c r="DW87" s="36"/>
      <c r="DX87" s="36"/>
      <c r="DY87" s="36"/>
      <c r="DZ87" s="36"/>
      <c r="EA87" s="36"/>
      <c r="EB87" s="36"/>
      <c r="EC87" s="36"/>
      <c r="ED87" s="36"/>
      <c r="EE87" s="36"/>
      <c r="EF87" s="36"/>
      <c r="EG87" s="36"/>
      <c r="EH87" s="36"/>
      <c r="EI87" s="36"/>
      <c r="EJ87" s="36"/>
      <c r="EK87" s="36"/>
      <c r="EL87" s="36"/>
      <c r="EM87" s="36"/>
      <c r="EN87" s="36"/>
      <c r="EO87" s="36"/>
      <c r="EP87" s="36"/>
      <c r="EQ87" s="36"/>
      <c r="ER87" s="36"/>
      <c r="ES87" s="36"/>
      <c r="ET87" s="36"/>
      <c r="EU87" s="36"/>
      <c r="EV87" s="36"/>
      <c r="EW87" s="36"/>
      <c r="EX87" s="36"/>
      <c r="EY87" s="36"/>
      <c r="EZ87" s="36"/>
      <c r="FA87" s="36"/>
      <c r="FB87" s="36"/>
      <c r="FC87" s="36"/>
      <c r="FD87" s="36"/>
      <c r="FE87" s="36"/>
      <c r="FF87" s="36"/>
      <c r="FG87" s="36"/>
      <c r="FH87" s="36"/>
      <c r="FI87" s="36"/>
    </row>
    <row r="88" spans="1:165">
      <c r="A88" s="55"/>
      <c r="B88" s="55" t="s">
        <v>0</v>
      </c>
      <c r="C88" s="55" t="s">
        <v>51</v>
      </c>
      <c r="D88" s="55" t="s">
        <v>839</v>
      </c>
      <c r="E88" s="55"/>
      <c r="F88" s="55"/>
      <c r="G88" s="55"/>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36"/>
      <c r="EM88" s="36"/>
      <c r="EN88" s="36"/>
      <c r="EO88" s="36"/>
      <c r="EP88" s="36"/>
      <c r="EQ88" s="36"/>
      <c r="ER88" s="36"/>
      <c r="ES88" s="36"/>
      <c r="ET88" s="36"/>
      <c r="EU88" s="36"/>
      <c r="EV88" s="36"/>
      <c r="EW88" s="36"/>
      <c r="EX88" s="36"/>
      <c r="EY88" s="36"/>
      <c r="EZ88" s="36"/>
      <c r="FA88" s="36"/>
      <c r="FB88" s="36"/>
      <c r="FC88" s="36"/>
      <c r="FD88" s="36"/>
      <c r="FE88" s="36"/>
      <c r="FF88" s="36"/>
      <c r="FG88" s="36"/>
      <c r="FH88" s="36"/>
      <c r="FI88" s="36"/>
    </row>
    <row r="89" spans="1:165">
      <c r="A89" s="57"/>
      <c r="B89" s="57" t="s">
        <v>0</v>
      </c>
      <c r="C89" s="57" t="s">
        <v>52</v>
      </c>
      <c r="D89" s="57" t="s">
        <v>828</v>
      </c>
      <c r="E89" s="57" t="s">
        <v>903</v>
      </c>
      <c r="F89" s="57"/>
      <c r="G89" s="57"/>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36"/>
      <c r="EX89" s="36"/>
      <c r="EY89" s="36"/>
      <c r="EZ89" s="36"/>
      <c r="FA89" s="36"/>
      <c r="FB89" s="36"/>
      <c r="FC89" s="36"/>
      <c r="FD89" s="36"/>
      <c r="FE89" s="36"/>
      <c r="FF89" s="36"/>
      <c r="FG89" s="36"/>
      <c r="FH89" s="36"/>
      <c r="FI89" s="36"/>
    </row>
    <row r="90" spans="1:165">
      <c r="A90" s="55"/>
      <c r="B90" s="55" t="s">
        <v>0</v>
      </c>
      <c r="C90" s="55" t="s">
        <v>53</v>
      </c>
      <c r="D90" s="55" t="s">
        <v>839</v>
      </c>
      <c r="E90" s="55"/>
      <c r="F90" s="55"/>
      <c r="G90" s="55"/>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36"/>
      <c r="BQ90" s="36"/>
      <c r="BR90" s="36"/>
      <c r="BS90" s="36"/>
      <c r="BT90" s="36"/>
      <c r="BU90" s="36"/>
      <c r="BV90" s="36"/>
      <c r="BW90" s="36"/>
      <c r="BX90" s="36"/>
      <c r="BY90" s="36"/>
      <c r="BZ90" s="36"/>
      <c r="CA90" s="36"/>
      <c r="CB90" s="36"/>
      <c r="CC90" s="36"/>
      <c r="CD90" s="36"/>
      <c r="CE90" s="36"/>
      <c r="CF90" s="36"/>
      <c r="CG90" s="36"/>
      <c r="CH90" s="36"/>
      <c r="CI90" s="36"/>
      <c r="CJ90" s="36"/>
      <c r="CK90" s="36"/>
      <c r="CL90" s="36"/>
      <c r="CM90" s="36"/>
      <c r="CN90" s="36"/>
      <c r="CO90" s="36"/>
      <c r="CP90" s="36"/>
      <c r="CQ90" s="36"/>
      <c r="CR90" s="36"/>
      <c r="CS90" s="36"/>
      <c r="CT90" s="36"/>
      <c r="CU90" s="36"/>
      <c r="CV90" s="36"/>
      <c r="CW90" s="36"/>
      <c r="CX90" s="36"/>
      <c r="CY90" s="36"/>
      <c r="CZ90" s="36"/>
      <c r="DA90" s="36"/>
      <c r="DB90" s="36"/>
      <c r="DC90" s="36"/>
      <c r="DD90" s="36"/>
      <c r="DE90" s="36"/>
      <c r="DF90" s="36"/>
      <c r="DG90" s="36"/>
      <c r="DH90" s="36"/>
      <c r="DI90" s="36"/>
      <c r="DJ90" s="36"/>
      <c r="DK90" s="36"/>
      <c r="DL90" s="36"/>
      <c r="DM90" s="36"/>
      <c r="DN90" s="36"/>
      <c r="DO90" s="36"/>
      <c r="DP90" s="36"/>
      <c r="DQ90" s="36"/>
      <c r="DR90" s="36"/>
      <c r="DS90" s="36"/>
      <c r="DT90" s="36"/>
      <c r="DU90" s="36"/>
      <c r="DV90" s="36"/>
      <c r="DW90" s="36"/>
      <c r="DX90" s="36"/>
      <c r="DY90" s="36"/>
      <c r="DZ90" s="36"/>
      <c r="EA90" s="36"/>
      <c r="EB90" s="36"/>
      <c r="EC90" s="36"/>
      <c r="ED90" s="36"/>
      <c r="EE90" s="36"/>
      <c r="EF90" s="36"/>
      <c r="EG90" s="36"/>
      <c r="EH90" s="36"/>
      <c r="EI90" s="36"/>
      <c r="EJ90" s="36"/>
      <c r="EK90" s="36"/>
      <c r="EL90" s="36"/>
      <c r="EM90" s="36"/>
      <c r="EN90" s="36"/>
      <c r="EO90" s="36"/>
      <c r="EP90" s="36"/>
      <c r="EQ90" s="36"/>
      <c r="ER90" s="36"/>
      <c r="ES90" s="36"/>
      <c r="ET90" s="36"/>
      <c r="EU90" s="36"/>
      <c r="EV90" s="36"/>
      <c r="EW90" s="36"/>
      <c r="EX90" s="36"/>
      <c r="EY90" s="36"/>
      <c r="EZ90" s="36"/>
      <c r="FA90" s="36"/>
      <c r="FB90" s="36"/>
      <c r="FC90" s="36"/>
      <c r="FD90" s="36"/>
      <c r="FE90" s="36"/>
      <c r="FF90" s="36"/>
      <c r="FG90" s="36"/>
      <c r="FH90" s="36"/>
      <c r="FI90" s="36"/>
    </row>
    <row r="91" spans="1:165">
      <c r="A91" s="57"/>
      <c r="B91" s="57" t="s">
        <v>0</v>
      </c>
      <c r="C91" s="57" t="s">
        <v>54</v>
      </c>
      <c r="D91" s="57" t="s">
        <v>828</v>
      </c>
      <c r="E91" s="57" t="s">
        <v>904</v>
      </c>
      <c r="F91" s="57"/>
      <c r="G91" s="57"/>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36"/>
      <c r="CE91" s="36"/>
      <c r="CF91" s="36"/>
      <c r="CG91" s="36"/>
      <c r="CH91" s="36"/>
      <c r="CI91" s="36"/>
      <c r="CJ91" s="36"/>
      <c r="CK91" s="36"/>
      <c r="CL91" s="36"/>
      <c r="CM91" s="36"/>
      <c r="CN91" s="36"/>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36"/>
      <c r="EM91" s="36"/>
      <c r="EN91" s="36"/>
      <c r="EO91" s="36"/>
      <c r="EP91" s="36"/>
      <c r="EQ91" s="36"/>
      <c r="ER91" s="36"/>
      <c r="ES91" s="36"/>
      <c r="ET91" s="36"/>
      <c r="EU91" s="36"/>
      <c r="EV91" s="36"/>
      <c r="EW91" s="36"/>
      <c r="EX91" s="36"/>
      <c r="EY91" s="36"/>
      <c r="EZ91" s="36"/>
      <c r="FA91" s="36"/>
      <c r="FB91" s="36"/>
      <c r="FC91" s="36"/>
      <c r="FD91" s="36"/>
      <c r="FE91" s="36"/>
      <c r="FF91" s="36"/>
      <c r="FG91" s="36"/>
      <c r="FH91" s="36"/>
      <c r="FI91" s="36"/>
    </row>
    <row r="92" spans="1:165" ht="15">
      <c r="A92" s="46" t="s">
        <v>905</v>
      </c>
      <c r="B92" s="46"/>
      <c r="C92" s="46"/>
      <c r="D92" s="46"/>
      <c r="E92" s="46"/>
      <c r="F92" s="46"/>
      <c r="G92" s="4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36"/>
      <c r="BQ92" s="36"/>
      <c r="BR92" s="36"/>
      <c r="BS92" s="36"/>
      <c r="BT92" s="36"/>
      <c r="BU92" s="36"/>
      <c r="BV92" s="36"/>
      <c r="BW92" s="36"/>
      <c r="BX92" s="36"/>
      <c r="BY92" s="36"/>
      <c r="BZ92" s="36"/>
      <c r="CA92" s="36"/>
      <c r="CB92" s="36"/>
      <c r="CC92" s="36"/>
      <c r="CD92" s="36"/>
      <c r="CE92" s="36"/>
      <c r="CF92" s="36"/>
      <c r="CG92" s="36"/>
      <c r="CH92" s="36"/>
      <c r="CI92" s="36"/>
      <c r="CJ92" s="36"/>
      <c r="CK92" s="36"/>
      <c r="CL92" s="36"/>
      <c r="CM92" s="36"/>
      <c r="CN92" s="36"/>
      <c r="CO92" s="36"/>
      <c r="CP92" s="36"/>
      <c r="CQ92" s="36"/>
      <c r="CR92" s="36"/>
      <c r="CS92" s="36"/>
      <c r="CT92" s="36"/>
      <c r="CU92" s="36"/>
      <c r="CV92" s="36"/>
      <c r="CW92" s="36"/>
      <c r="CX92" s="36"/>
      <c r="CY92" s="36"/>
      <c r="CZ92" s="36"/>
      <c r="DA92" s="36"/>
      <c r="DB92" s="36"/>
      <c r="DC92" s="36"/>
      <c r="DD92" s="36"/>
      <c r="DE92" s="36"/>
      <c r="DF92" s="36"/>
      <c r="DG92" s="36"/>
      <c r="DH92" s="36"/>
      <c r="DI92" s="36"/>
      <c r="DJ92" s="36"/>
      <c r="DK92" s="36"/>
      <c r="DL92" s="36"/>
      <c r="DM92" s="36"/>
      <c r="DN92" s="36"/>
      <c r="DO92" s="36"/>
      <c r="DP92" s="36"/>
      <c r="DQ92" s="36"/>
      <c r="DR92" s="36"/>
      <c r="DS92" s="36"/>
      <c r="DT92" s="36"/>
      <c r="DU92" s="36"/>
      <c r="DV92" s="36"/>
      <c r="DW92" s="36"/>
      <c r="DX92" s="36"/>
      <c r="DY92" s="36"/>
      <c r="DZ92" s="36"/>
      <c r="EA92" s="36"/>
      <c r="EB92" s="36"/>
      <c r="EC92" s="36"/>
      <c r="ED92" s="36"/>
      <c r="EE92" s="36"/>
      <c r="EF92" s="36"/>
      <c r="EG92" s="36"/>
      <c r="EH92" s="36"/>
      <c r="EI92" s="36"/>
      <c r="EJ92" s="36"/>
      <c r="EK92" s="36"/>
      <c r="EL92" s="36"/>
      <c r="EM92" s="36"/>
      <c r="EN92" s="36"/>
      <c r="EO92" s="36"/>
      <c r="EP92" s="36"/>
      <c r="EQ92" s="36"/>
      <c r="ER92" s="36"/>
      <c r="ES92" s="36"/>
      <c r="ET92" s="36"/>
      <c r="EU92" s="36"/>
      <c r="EV92" s="36"/>
      <c r="EW92" s="36"/>
      <c r="EX92" s="36"/>
      <c r="EY92" s="36"/>
      <c r="EZ92" s="36"/>
      <c r="FA92" s="36"/>
      <c r="FB92" s="36"/>
      <c r="FC92" s="36"/>
      <c r="FD92" s="36"/>
      <c r="FE92" s="36"/>
      <c r="FF92" s="36"/>
      <c r="FG92" s="36"/>
      <c r="FH92" s="36"/>
      <c r="FI92" s="36"/>
    </row>
    <row r="93" spans="1:165">
      <c r="A93" s="55"/>
      <c r="B93" s="55" t="s">
        <v>102</v>
      </c>
      <c r="C93" s="55" t="s">
        <v>118</v>
      </c>
      <c r="D93" s="55" t="s">
        <v>825</v>
      </c>
      <c r="E93" s="55" t="s">
        <v>826</v>
      </c>
      <c r="F93" s="55"/>
      <c r="G93" s="55"/>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6"/>
      <c r="BV93" s="36"/>
      <c r="BW93" s="36"/>
      <c r="BX93" s="36"/>
      <c r="BY93" s="36"/>
      <c r="BZ93" s="36"/>
      <c r="CA93" s="36"/>
      <c r="CB93" s="36"/>
      <c r="CC93" s="36"/>
      <c r="CD93" s="36"/>
      <c r="CE93" s="36"/>
      <c r="CF93" s="36"/>
      <c r="CG93" s="36"/>
      <c r="CH93" s="36"/>
      <c r="CI93" s="36"/>
      <c r="CJ93" s="36"/>
      <c r="CK93" s="36"/>
      <c r="CL93" s="36"/>
      <c r="CM93" s="36"/>
      <c r="CN93" s="36"/>
      <c r="CO93" s="36"/>
      <c r="CP93" s="36"/>
      <c r="CQ93" s="36"/>
      <c r="CR93" s="36"/>
      <c r="CS93" s="36"/>
      <c r="CT93" s="36"/>
      <c r="CU93" s="36"/>
      <c r="CV93" s="36"/>
      <c r="CW93" s="36"/>
      <c r="CX93" s="36"/>
      <c r="CY93" s="36"/>
      <c r="CZ93" s="36"/>
      <c r="DA93" s="36"/>
      <c r="DB93" s="36"/>
      <c r="DC93" s="36"/>
      <c r="DD93" s="36"/>
      <c r="DE93" s="36"/>
      <c r="DF93" s="36"/>
      <c r="DG93" s="36"/>
      <c r="DH93" s="36"/>
      <c r="DI93" s="36"/>
      <c r="DJ93" s="36"/>
      <c r="DK93" s="36"/>
      <c r="DL93" s="36"/>
      <c r="DM93" s="36"/>
      <c r="DN93" s="36"/>
      <c r="DO93" s="36"/>
      <c r="DP93" s="36"/>
      <c r="DQ93" s="36"/>
      <c r="DR93" s="36"/>
      <c r="DS93" s="36"/>
      <c r="DT93" s="36"/>
      <c r="DU93" s="36"/>
      <c r="DV93" s="36"/>
      <c r="DW93" s="36"/>
      <c r="DX93" s="36"/>
      <c r="DY93" s="36"/>
      <c r="DZ93" s="36"/>
      <c r="EA93" s="36"/>
      <c r="EB93" s="36"/>
      <c r="EC93" s="36"/>
      <c r="ED93" s="36"/>
      <c r="EE93" s="36"/>
      <c r="EF93" s="36"/>
      <c r="EG93" s="36"/>
      <c r="EH93" s="36"/>
      <c r="EI93" s="36"/>
      <c r="EJ93" s="36"/>
      <c r="EK93" s="36"/>
      <c r="EL93" s="36"/>
      <c r="EM93" s="36"/>
      <c r="EN93" s="36"/>
      <c r="EO93" s="36"/>
      <c r="EP93" s="36"/>
      <c r="EQ93" s="36"/>
      <c r="ER93" s="36"/>
      <c r="ES93" s="36"/>
      <c r="ET93" s="36"/>
      <c r="EU93" s="36"/>
      <c r="EV93" s="36"/>
      <c r="EW93" s="36"/>
      <c r="EX93" s="36"/>
      <c r="EY93" s="36"/>
      <c r="EZ93" s="36"/>
      <c r="FA93" s="36"/>
      <c r="FB93" s="36"/>
      <c r="FC93" s="36"/>
      <c r="FD93" s="36"/>
      <c r="FE93" s="36"/>
      <c r="FF93" s="36"/>
      <c r="FG93" s="36"/>
      <c r="FH93" s="36"/>
      <c r="FI93" s="36"/>
    </row>
    <row r="94" spans="1:165">
      <c r="A94" s="57"/>
      <c r="B94" s="57" t="s">
        <v>102</v>
      </c>
      <c r="C94" s="57" t="s">
        <v>906</v>
      </c>
      <c r="D94" s="57" t="s">
        <v>828</v>
      </c>
      <c r="E94" s="57" t="s">
        <v>907</v>
      </c>
      <c r="F94" s="57"/>
      <c r="G94" s="57"/>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36"/>
      <c r="EM94" s="36"/>
      <c r="EN94" s="36"/>
      <c r="EO94" s="36"/>
      <c r="EP94" s="36"/>
      <c r="EQ94" s="36"/>
      <c r="ER94" s="36"/>
      <c r="ES94" s="36"/>
      <c r="ET94" s="36"/>
      <c r="EU94" s="36"/>
      <c r="EV94" s="36"/>
      <c r="EW94" s="36"/>
      <c r="EX94" s="36"/>
      <c r="EY94" s="36"/>
      <c r="EZ94" s="36"/>
      <c r="FA94" s="36"/>
      <c r="FB94" s="36"/>
      <c r="FC94" s="36"/>
      <c r="FD94" s="36"/>
      <c r="FE94" s="36"/>
      <c r="FF94" s="36"/>
      <c r="FG94" s="36"/>
      <c r="FH94" s="36"/>
      <c r="FI94" s="36"/>
    </row>
    <row r="95" spans="1:165">
      <c r="A95" s="55"/>
      <c r="B95" s="55" t="s">
        <v>102</v>
      </c>
      <c r="C95" s="55" t="s">
        <v>119</v>
      </c>
      <c r="D95" s="55" t="s">
        <v>825</v>
      </c>
      <c r="E95" s="55" t="s">
        <v>243</v>
      </c>
      <c r="F95" s="55"/>
      <c r="G95" s="55"/>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c r="BS95" s="36"/>
      <c r="BT95" s="36"/>
      <c r="BU95" s="36"/>
      <c r="BV95" s="36"/>
      <c r="BW95" s="36"/>
      <c r="BX95" s="36"/>
      <c r="BY95" s="36"/>
      <c r="BZ95" s="36"/>
      <c r="CA95" s="36"/>
      <c r="CB95" s="36"/>
      <c r="CC95" s="36"/>
      <c r="CD95" s="36"/>
      <c r="CE95" s="36"/>
      <c r="CF95" s="36"/>
      <c r="CG95" s="36"/>
      <c r="CH95" s="36"/>
      <c r="CI95" s="36"/>
      <c r="CJ95" s="36"/>
      <c r="CK95" s="36"/>
      <c r="CL95" s="36"/>
      <c r="CM95" s="36"/>
      <c r="CN95" s="36"/>
      <c r="CO95" s="36"/>
      <c r="CP95" s="36"/>
      <c r="CQ95" s="36"/>
      <c r="CR95" s="36"/>
      <c r="CS95" s="36"/>
      <c r="CT95" s="36"/>
      <c r="CU95" s="36"/>
      <c r="CV95" s="36"/>
      <c r="CW95" s="36"/>
      <c r="CX95" s="36"/>
      <c r="CY95" s="36"/>
      <c r="CZ95" s="36"/>
      <c r="DA95" s="36"/>
      <c r="DB95" s="36"/>
      <c r="DC95" s="36"/>
      <c r="DD95" s="36"/>
      <c r="DE95" s="36"/>
      <c r="DF95" s="36"/>
      <c r="DG95" s="36"/>
      <c r="DH95" s="36"/>
      <c r="DI95" s="36"/>
      <c r="DJ95" s="36"/>
      <c r="DK95" s="36"/>
      <c r="DL95" s="36"/>
      <c r="DM95" s="36"/>
      <c r="DN95" s="36"/>
      <c r="DO95" s="36"/>
      <c r="DP95" s="36"/>
      <c r="DQ95" s="36"/>
      <c r="DR95" s="36"/>
      <c r="DS95" s="36"/>
      <c r="DT95" s="36"/>
      <c r="DU95" s="36"/>
      <c r="DV95" s="36"/>
      <c r="DW95" s="36"/>
      <c r="DX95" s="36"/>
      <c r="DY95" s="36"/>
      <c r="DZ95" s="36"/>
      <c r="EA95" s="36"/>
      <c r="EB95" s="36"/>
      <c r="EC95" s="36"/>
      <c r="ED95" s="36"/>
      <c r="EE95" s="36"/>
      <c r="EF95" s="36"/>
      <c r="EG95" s="36"/>
      <c r="EH95" s="36"/>
      <c r="EI95" s="36"/>
      <c r="EJ95" s="36"/>
      <c r="EK95" s="36"/>
      <c r="EL95" s="36"/>
      <c r="EM95" s="36"/>
      <c r="EN95" s="36"/>
      <c r="EO95" s="36"/>
      <c r="EP95" s="36"/>
      <c r="EQ95" s="36"/>
      <c r="ER95" s="36"/>
      <c r="ES95" s="36"/>
      <c r="ET95" s="36"/>
      <c r="EU95" s="36"/>
      <c r="EV95" s="36"/>
      <c r="EW95" s="36"/>
      <c r="EX95" s="36"/>
      <c r="EY95" s="36"/>
      <c r="EZ95" s="36"/>
      <c r="FA95" s="36"/>
      <c r="FB95" s="36"/>
      <c r="FC95" s="36"/>
      <c r="FD95" s="36"/>
      <c r="FE95" s="36"/>
      <c r="FF95" s="36"/>
      <c r="FG95" s="36"/>
      <c r="FH95" s="36"/>
      <c r="FI95" s="36"/>
    </row>
    <row r="96" spans="1:165">
      <c r="A96" s="57"/>
      <c r="B96" s="57" t="s">
        <v>102</v>
      </c>
      <c r="C96" s="57" t="s">
        <v>120</v>
      </c>
      <c r="D96" s="57" t="s">
        <v>837</v>
      </c>
      <c r="E96" s="57">
        <v>3</v>
      </c>
      <c r="F96" s="57"/>
      <c r="G96" s="57"/>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c r="BS96" s="36"/>
      <c r="BT96" s="36"/>
      <c r="BU96" s="36"/>
      <c r="BV96" s="36"/>
      <c r="BW96" s="36"/>
      <c r="BX96" s="36"/>
      <c r="BY96" s="36"/>
      <c r="BZ96" s="36"/>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36"/>
      <c r="DQ96" s="36"/>
      <c r="DR96" s="36"/>
      <c r="DS96" s="36"/>
      <c r="DT96" s="36"/>
      <c r="DU96" s="36"/>
      <c r="DV96" s="36"/>
      <c r="DW96" s="36"/>
      <c r="DX96" s="36"/>
      <c r="DY96" s="36"/>
      <c r="DZ96" s="36"/>
      <c r="EA96" s="36"/>
      <c r="EB96" s="36"/>
      <c r="EC96" s="36"/>
      <c r="ED96" s="36"/>
      <c r="EE96" s="36"/>
      <c r="EF96" s="36"/>
      <c r="EG96" s="36"/>
      <c r="EH96" s="36"/>
      <c r="EI96" s="36"/>
      <c r="EJ96" s="36"/>
      <c r="EK96" s="36"/>
      <c r="EL96" s="36"/>
      <c r="EM96" s="36"/>
      <c r="EN96" s="36"/>
      <c r="EO96" s="36"/>
      <c r="EP96" s="36"/>
      <c r="EQ96" s="36"/>
      <c r="ER96" s="36"/>
      <c r="ES96" s="36"/>
      <c r="ET96" s="36"/>
      <c r="EU96" s="36"/>
      <c r="EV96" s="36"/>
      <c r="EW96" s="36"/>
      <c r="EX96" s="36"/>
      <c r="EY96" s="36"/>
      <c r="EZ96" s="36"/>
      <c r="FA96" s="36"/>
      <c r="FB96" s="36"/>
      <c r="FC96" s="36"/>
      <c r="FD96" s="36"/>
      <c r="FE96" s="36"/>
      <c r="FF96" s="36"/>
      <c r="FG96" s="36"/>
      <c r="FH96" s="36"/>
      <c r="FI96" s="36"/>
    </row>
    <row r="97" spans="1:165">
      <c r="A97" s="55"/>
      <c r="B97" s="55" t="s">
        <v>102</v>
      </c>
      <c r="C97" s="55" t="s">
        <v>121</v>
      </c>
      <c r="D97" s="55" t="s">
        <v>837</v>
      </c>
      <c r="E97" s="55">
        <v>15</v>
      </c>
      <c r="F97" s="55"/>
      <c r="G97" s="55"/>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c r="CW97" s="36"/>
      <c r="CX97" s="36"/>
      <c r="CY97" s="36"/>
      <c r="CZ97" s="36"/>
      <c r="DA97" s="36"/>
      <c r="DB97" s="36"/>
      <c r="DC97" s="36"/>
      <c r="DD97" s="36"/>
      <c r="DE97" s="36"/>
      <c r="DF97" s="36"/>
      <c r="DG97" s="36"/>
      <c r="DH97" s="36"/>
      <c r="DI97" s="36"/>
      <c r="DJ97" s="36"/>
      <c r="DK97" s="36"/>
      <c r="DL97" s="36"/>
      <c r="DM97" s="36"/>
      <c r="DN97" s="36"/>
      <c r="DO97" s="36"/>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c r="EN97" s="36"/>
      <c r="EO97" s="36"/>
      <c r="EP97" s="36"/>
      <c r="EQ97" s="36"/>
      <c r="ER97" s="36"/>
      <c r="ES97" s="36"/>
      <c r="ET97" s="36"/>
      <c r="EU97" s="36"/>
      <c r="EV97" s="36"/>
      <c r="EW97" s="36"/>
      <c r="EX97" s="36"/>
      <c r="EY97" s="36"/>
      <c r="EZ97" s="36"/>
      <c r="FA97" s="36"/>
      <c r="FB97" s="36"/>
      <c r="FC97" s="36"/>
      <c r="FD97" s="36"/>
      <c r="FE97" s="36"/>
      <c r="FF97" s="36"/>
      <c r="FG97" s="36"/>
      <c r="FH97" s="36"/>
      <c r="FI97" s="36"/>
    </row>
    <row r="98" spans="1:165">
      <c r="A98" s="57"/>
      <c r="B98" s="57" t="s">
        <v>102</v>
      </c>
      <c r="C98" s="57" t="s">
        <v>908</v>
      </c>
      <c r="D98" s="57" t="s">
        <v>828</v>
      </c>
      <c r="E98" s="57" t="s">
        <v>909</v>
      </c>
      <c r="F98" s="57"/>
      <c r="G98" s="57"/>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row>
    <row r="99" spans="1:165">
      <c r="A99" s="55"/>
      <c r="B99" s="55" t="s">
        <v>102</v>
      </c>
      <c r="C99" s="55" t="s">
        <v>240</v>
      </c>
      <c r="D99" s="55" t="s">
        <v>848</v>
      </c>
      <c r="E99" s="55" t="s">
        <v>242</v>
      </c>
      <c r="F99" s="55"/>
      <c r="G99" s="55"/>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c r="CW99" s="36"/>
      <c r="CX99" s="36"/>
      <c r="CY99" s="36"/>
      <c r="CZ99" s="36"/>
      <c r="DA99" s="36"/>
      <c r="DB99" s="36"/>
      <c r="DC99" s="36"/>
      <c r="DD99" s="36"/>
      <c r="DE99" s="36"/>
      <c r="DF99" s="36"/>
      <c r="DG99" s="36"/>
      <c r="DH99" s="36"/>
      <c r="DI99" s="36"/>
      <c r="DJ99" s="36"/>
      <c r="DK99" s="36"/>
      <c r="DL99" s="36"/>
      <c r="DM99" s="36"/>
      <c r="DN99" s="36"/>
      <c r="DO99" s="36"/>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row>
    <row r="100" spans="1:165">
      <c r="A100" s="57"/>
      <c r="B100" s="57" t="s">
        <v>102</v>
      </c>
      <c r="C100" s="57" t="s">
        <v>122</v>
      </c>
      <c r="D100" s="57" t="s">
        <v>825</v>
      </c>
      <c r="E100" s="57" t="s">
        <v>910</v>
      </c>
      <c r="F100" s="57"/>
      <c r="G100" s="57"/>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c r="EH100" s="36"/>
      <c r="EI100" s="36"/>
      <c r="EJ100" s="36"/>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row>
    <row r="101" spans="1:165">
      <c r="A101" s="55"/>
      <c r="B101" s="55" t="s">
        <v>102</v>
      </c>
      <c r="C101" s="55" t="s">
        <v>123</v>
      </c>
      <c r="D101" s="55" t="s">
        <v>825</v>
      </c>
      <c r="E101" s="55" t="s">
        <v>911</v>
      </c>
      <c r="F101" s="55"/>
      <c r="G101" s="55"/>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36"/>
      <c r="BW101" s="36"/>
      <c r="BX101" s="36"/>
      <c r="BY101" s="36"/>
      <c r="BZ101" s="36"/>
      <c r="CA101" s="36"/>
      <c r="CB101" s="36"/>
      <c r="CC101" s="36"/>
      <c r="CD101" s="36"/>
      <c r="CE101" s="36"/>
      <c r="CF101" s="36"/>
      <c r="CG101" s="36"/>
      <c r="CH101" s="36"/>
      <c r="CI101" s="36"/>
      <c r="CJ101" s="36"/>
      <c r="CK101" s="36"/>
      <c r="CL101" s="36"/>
      <c r="CM101" s="36"/>
      <c r="CN101" s="36"/>
      <c r="CO101" s="36"/>
      <c r="CP101" s="36"/>
      <c r="CQ101" s="36"/>
      <c r="CR101" s="36"/>
      <c r="CS101" s="36"/>
      <c r="CT101" s="36"/>
      <c r="CU101" s="36"/>
      <c r="CV101" s="36"/>
      <c r="CW101" s="36"/>
      <c r="CX101" s="36"/>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c r="EH101" s="36"/>
      <c r="EI101" s="36"/>
      <c r="EJ101" s="36"/>
      <c r="EK101" s="36"/>
      <c r="EL101" s="36"/>
      <c r="EM101" s="36"/>
      <c r="EN101" s="36"/>
      <c r="EO101" s="36"/>
      <c r="EP101" s="36"/>
      <c r="EQ101" s="36"/>
      <c r="ER101" s="36"/>
      <c r="ES101" s="36"/>
      <c r="ET101" s="36"/>
      <c r="EU101" s="36"/>
      <c r="EV101" s="36"/>
      <c r="EW101" s="36"/>
      <c r="EX101" s="36"/>
      <c r="EY101" s="36"/>
      <c r="EZ101" s="36"/>
      <c r="FA101" s="36"/>
      <c r="FB101" s="36"/>
      <c r="FC101" s="36"/>
      <c r="FD101" s="36"/>
      <c r="FE101" s="36"/>
      <c r="FF101" s="36"/>
      <c r="FG101" s="36"/>
      <c r="FH101" s="36"/>
      <c r="FI101" s="36"/>
    </row>
    <row r="102" spans="1:165">
      <c r="A102" s="57"/>
      <c r="B102" s="57" t="s">
        <v>102</v>
      </c>
      <c r="C102" s="57" t="s">
        <v>239</v>
      </c>
      <c r="D102" s="57" t="s">
        <v>825</v>
      </c>
      <c r="E102" s="57"/>
      <c r="F102" s="57"/>
      <c r="G102" s="57"/>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row>
    <row r="103" spans="1:165">
      <c r="A103" s="55"/>
      <c r="B103" s="55" t="s">
        <v>102</v>
      </c>
      <c r="C103" s="55" t="s">
        <v>46</v>
      </c>
      <c r="D103" s="55" t="s">
        <v>837</v>
      </c>
      <c r="E103" s="55">
        <v>500</v>
      </c>
      <c r="F103" s="55"/>
      <c r="G103" s="55"/>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6"/>
      <c r="BV103" s="36"/>
      <c r="BW103" s="36"/>
      <c r="BX103" s="36"/>
      <c r="BY103" s="36"/>
      <c r="BZ103" s="36"/>
      <c r="CA103" s="36"/>
      <c r="CB103" s="36"/>
      <c r="CC103" s="36"/>
      <c r="CD103" s="36"/>
      <c r="CE103" s="36"/>
      <c r="CF103" s="36"/>
      <c r="CG103" s="36"/>
      <c r="CH103" s="36"/>
      <c r="CI103" s="36"/>
      <c r="CJ103" s="36"/>
      <c r="CK103" s="36"/>
      <c r="CL103" s="36"/>
      <c r="CM103" s="36"/>
      <c r="CN103" s="36"/>
      <c r="CO103" s="36"/>
      <c r="CP103" s="36"/>
      <c r="CQ103" s="36"/>
      <c r="CR103" s="36"/>
      <c r="CS103" s="36"/>
      <c r="CT103" s="36"/>
      <c r="CU103" s="36"/>
      <c r="CV103" s="36"/>
      <c r="CW103" s="36"/>
      <c r="CX103" s="36"/>
      <c r="CY103" s="36"/>
      <c r="CZ103" s="36"/>
      <c r="DA103" s="36"/>
      <c r="DB103" s="36"/>
      <c r="DC103" s="36"/>
      <c r="DD103" s="36"/>
      <c r="DE103" s="36"/>
      <c r="DF103" s="36"/>
      <c r="DG103" s="36"/>
      <c r="DH103" s="36"/>
      <c r="DI103" s="36"/>
      <c r="DJ103" s="36"/>
      <c r="DK103" s="36"/>
      <c r="DL103" s="36"/>
      <c r="DM103" s="36"/>
      <c r="DN103" s="36"/>
      <c r="DO103" s="36"/>
      <c r="DP103" s="36"/>
      <c r="DQ103" s="36"/>
      <c r="DR103" s="36"/>
      <c r="DS103" s="36"/>
      <c r="DT103" s="36"/>
      <c r="DU103" s="36"/>
      <c r="DV103" s="36"/>
      <c r="DW103" s="36"/>
      <c r="DX103" s="36"/>
      <c r="DY103" s="36"/>
      <c r="DZ103" s="36"/>
      <c r="EA103" s="36"/>
      <c r="EB103" s="36"/>
      <c r="EC103" s="36"/>
      <c r="ED103" s="36"/>
      <c r="EE103" s="36"/>
      <c r="EF103" s="36"/>
      <c r="EG103" s="36"/>
      <c r="EH103" s="36"/>
      <c r="EI103" s="36"/>
      <c r="EJ103" s="36"/>
      <c r="EK103" s="36"/>
      <c r="EL103" s="36"/>
      <c r="EM103" s="36"/>
      <c r="EN103" s="36"/>
      <c r="EO103" s="36"/>
      <c r="EP103" s="36"/>
      <c r="EQ103" s="36"/>
      <c r="ER103" s="36"/>
      <c r="ES103" s="36"/>
      <c r="ET103" s="36"/>
      <c r="EU103" s="36"/>
      <c r="EV103" s="36"/>
      <c r="EW103" s="36"/>
      <c r="EX103" s="36"/>
      <c r="EY103" s="36"/>
      <c r="EZ103" s="36"/>
      <c r="FA103" s="36"/>
      <c r="FB103" s="36"/>
      <c r="FC103" s="36"/>
      <c r="FD103" s="36"/>
      <c r="FE103" s="36"/>
      <c r="FF103" s="36"/>
      <c r="FG103" s="36"/>
      <c r="FH103" s="36"/>
      <c r="FI103" s="36"/>
    </row>
    <row r="104" spans="1:165">
      <c r="A104" s="57"/>
      <c r="B104" s="57" t="s">
        <v>102</v>
      </c>
      <c r="C104" s="57" t="s">
        <v>124</v>
      </c>
      <c r="D104" s="57" t="s">
        <v>837</v>
      </c>
      <c r="E104" s="57">
        <v>200</v>
      </c>
      <c r="F104" s="57"/>
      <c r="G104" s="57"/>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row>
    <row r="105" spans="1:165">
      <c r="A105" s="55"/>
      <c r="B105" s="55" t="s">
        <v>102</v>
      </c>
      <c r="C105" s="55" t="s">
        <v>125</v>
      </c>
      <c r="D105" s="55" t="s">
        <v>837</v>
      </c>
      <c r="E105" s="55"/>
      <c r="F105" s="55" t="s">
        <v>912</v>
      </c>
      <c r="G105" s="55"/>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c r="BS105" s="36"/>
      <c r="BT105" s="36"/>
      <c r="BU105" s="36"/>
      <c r="BV105" s="36"/>
      <c r="BW105" s="36"/>
      <c r="BX105" s="36"/>
      <c r="BY105" s="36"/>
      <c r="BZ105" s="36"/>
      <c r="CA105" s="36"/>
      <c r="CB105" s="36"/>
      <c r="CC105" s="36"/>
      <c r="CD105" s="36"/>
      <c r="CE105" s="36"/>
      <c r="CF105" s="36"/>
      <c r="CG105" s="36"/>
      <c r="CH105" s="36"/>
      <c r="CI105" s="36"/>
      <c r="CJ105" s="36"/>
      <c r="CK105" s="36"/>
      <c r="CL105" s="36"/>
      <c r="CM105" s="36"/>
      <c r="CN105" s="36"/>
      <c r="CO105" s="36"/>
      <c r="CP105" s="36"/>
      <c r="CQ105" s="36"/>
      <c r="CR105" s="36"/>
      <c r="CS105" s="36"/>
      <c r="CT105" s="36"/>
      <c r="CU105" s="36"/>
      <c r="CV105" s="36"/>
      <c r="CW105" s="36"/>
      <c r="CX105" s="36"/>
      <c r="CY105" s="36"/>
      <c r="CZ105" s="36"/>
      <c r="DA105" s="36"/>
      <c r="DB105" s="36"/>
      <c r="DC105" s="36"/>
      <c r="DD105" s="36"/>
      <c r="DE105" s="36"/>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36"/>
      <c r="EM105" s="36"/>
      <c r="EN105" s="36"/>
      <c r="EO105" s="36"/>
      <c r="EP105" s="36"/>
      <c r="EQ105" s="36"/>
      <c r="ER105" s="36"/>
      <c r="ES105" s="36"/>
      <c r="ET105" s="36"/>
      <c r="EU105" s="36"/>
      <c r="EV105" s="36"/>
      <c r="EW105" s="36"/>
      <c r="EX105" s="36"/>
      <c r="EY105" s="36"/>
      <c r="EZ105" s="36"/>
      <c r="FA105" s="36"/>
      <c r="FB105" s="36"/>
      <c r="FC105" s="36"/>
      <c r="FD105" s="36"/>
      <c r="FE105" s="36"/>
      <c r="FF105" s="36"/>
      <c r="FG105" s="36"/>
      <c r="FH105" s="36"/>
      <c r="FI105" s="36"/>
    </row>
    <row r="106" spans="1:165" ht="15">
      <c r="A106" s="50" t="s">
        <v>913</v>
      </c>
      <c r="B106" s="50"/>
      <c r="C106" s="50"/>
      <c r="D106" s="50"/>
      <c r="E106" s="50"/>
      <c r="F106" s="50"/>
      <c r="G106" s="50"/>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row>
    <row r="107" spans="1:165">
      <c r="A107" s="55"/>
      <c r="B107" s="55" t="s">
        <v>103</v>
      </c>
      <c r="C107" s="55" t="s">
        <v>33</v>
      </c>
      <c r="D107" s="55" t="s">
        <v>825</v>
      </c>
      <c r="E107" s="55"/>
      <c r="F107" s="55"/>
      <c r="G107" s="55"/>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c r="BS107" s="36"/>
      <c r="BT107" s="36"/>
      <c r="BU107" s="36"/>
      <c r="BV107" s="36"/>
      <c r="BW107" s="36"/>
      <c r="BX107" s="36"/>
      <c r="BY107" s="36"/>
      <c r="BZ107" s="36"/>
      <c r="CA107" s="36"/>
      <c r="CB107" s="36"/>
      <c r="CC107" s="36"/>
      <c r="CD107" s="36"/>
      <c r="CE107" s="36"/>
      <c r="CF107" s="36"/>
      <c r="CG107" s="36"/>
      <c r="CH107" s="36"/>
      <c r="CI107" s="36"/>
      <c r="CJ107" s="36"/>
      <c r="CK107" s="36"/>
      <c r="CL107" s="36"/>
      <c r="CM107" s="36"/>
      <c r="CN107" s="36"/>
      <c r="CO107" s="36"/>
      <c r="CP107" s="36"/>
      <c r="CQ107" s="36"/>
      <c r="CR107" s="36"/>
      <c r="CS107" s="36"/>
      <c r="CT107" s="36"/>
      <c r="CU107" s="36"/>
      <c r="CV107" s="36"/>
      <c r="CW107" s="36"/>
      <c r="CX107" s="36"/>
      <c r="CY107" s="36"/>
      <c r="CZ107" s="36"/>
      <c r="DA107" s="36"/>
      <c r="DB107" s="36"/>
      <c r="DC107" s="36"/>
      <c r="DD107" s="36"/>
      <c r="DE107" s="36"/>
      <c r="DF107" s="36"/>
      <c r="DG107" s="36"/>
      <c r="DH107" s="36"/>
      <c r="DI107" s="36"/>
      <c r="DJ107" s="36"/>
      <c r="DK107" s="36"/>
      <c r="DL107" s="36"/>
      <c r="DM107" s="36"/>
      <c r="DN107" s="36"/>
      <c r="DO107" s="36"/>
      <c r="DP107" s="36"/>
      <c r="DQ107" s="36"/>
      <c r="DR107" s="36"/>
      <c r="DS107" s="36"/>
      <c r="DT107" s="36"/>
      <c r="DU107" s="36"/>
      <c r="DV107" s="36"/>
      <c r="DW107" s="36"/>
      <c r="DX107" s="36"/>
      <c r="DY107" s="36"/>
      <c r="DZ107" s="36"/>
      <c r="EA107" s="36"/>
      <c r="EB107" s="36"/>
      <c r="EC107" s="36"/>
      <c r="ED107" s="36"/>
      <c r="EE107" s="36"/>
      <c r="EF107" s="36"/>
      <c r="EG107" s="36"/>
      <c r="EH107" s="36"/>
      <c r="EI107" s="36"/>
      <c r="EJ107" s="36"/>
      <c r="EK107" s="36"/>
      <c r="EL107" s="36"/>
      <c r="EM107" s="36"/>
      <c r="EN107" s="36"/>
      <c r="EO107" s="36"/>
      <c r="EP107" s="36"/>
      <c r="EQ107" s="36"/>
      <c r="ER107" s="36"/>
      <c r="ES107" s="36"/>
      <c r="ET107" s="36"/>
      <c r="EU107" s="36"/>
      <c r="EV107" s="36"/>
      <c r="EW107" s="36"/>
      <c r="EX107" s="36"/>
      <c r="EY107" s="36"/>
      <c r="EZ107" s="36"/>
      <c r="FA107" s="36"/>
      <c r="FB107" s="36"/>
      <c r="FC107" s="36"/>
      <c r="FD107" s="36"/>
      <c r="FE107" s="36"/>
      <c r="FF107" s="36"/>
      <c r="FG107" s="36"/>
      <c r="FH107" s="36"/>
      <c r="FI107" s="36"/>
    </row>
    <row r="108" spans="1:165">
      <c r="A108" s="57"/>
      <c r="B108" s="57" t="s">
        <v>103</v>
      </c>
      <c r="C108" s="57" t="s">
        <v>914</v>
      </c>
      <c r="D108" s="57" t="s">
        <v>880</v>
      </c>
      <c r="E108" s="57"/>
      <c r="F108" s="57" t="s">
        <v>881</v>
      </c>
      <c r="G108" s="57"/>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c r="DI108" s="36"/>
      <c r="DJ108" s="36"/>
      <c r="DK108" s="36"/>
      <c r="DL108" s="36"/>
      <c r="DM108" s="36"/>
      <c r="DN108" s="36"/>
      <c r="DO108" s="36"/>
      <c r="DP108" s="36"/>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row>
    <row r="109" spans="1:165">
      <c r="A109" s="55"/>
      <c r="B109" s="55" t="s">
        <v>103</v>
      </c>
      <c r="C109" s="55" t="s">
        <v>126</v>
      </c>
      <c r="D109" s="55" t="s">
        <v>825</v>
      </c>
      <c r="E109" s="55"/>
      <c r="F109" s="55"/>
      <c r="G109" s="55"/>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c r="CU109" s="36"/>
      <c r="CV109" s="36"/>
      <c r="CW109" s="36"/>
      <c r="CX109" s="36"/>
      <c r="CY109" s="36"/>
      <c r="CZ109" s="36"/>
      <c r="DA109" s="36"/>
      <c r="DB109" s="36"/>
      <c r="DC109" s="36"/>
      <c r="DD109" s="36"/>
      <c r="DE109" s="36"/>
      <c r="DF109" s="36"/>
      <c r="DG109" s="36"/>
      <c r="DH109" s="36"/>
      <c r="DI109" s="36"/>
      <c r="DJ109" s="36"/>
      <c r="DK109" s="36"/>
      <c r="DL109" s="36"/>
      <c r="DM109" s="36"/>
      <c r="DN109" s="36"/>
      <c r="DO109" s="36"/>
      <c r="DP109" s="36"/>
      <c r="DQ109" s="36"/>
      <c r="DR109" s="36"/>
      <c r="DS109" s="36"/>
      <c r="DT109" s="36"/>
      <c r="DU109" s="36"/>
      <c r="DV109" s="36"/>
      <c r="DW109" s="36"/>
      <c r="DX109" s="36"/>
      <c r="DY109" s="36"/>
      <c r="DZ109" s="36"/>
      <c r="EA109" s="36"/>
      <c r="EB109" s="36"/>
      <c r="EC109" s="36"/>
      <c r="ED109" s="36"/>
      <c r="EE109" s="36"/>
      <c r="EF109" s="36"/>
      <c r="EG109" s="36"/>
      <c r="EH109" s="36"/>
      <c r="EI109" s="36"/>
      <c r="EJ109" s="36"/>
      <c r="EK109" s="36"/>
      <c r="EL109" s="36"/>
      <c r="EM109" s="36"/>
      <c r="EN109" s="36"/>
      <c r="EO109" s="36"/>
      <c r="EP109" s="36"/>
      <c r="EQ109" s="36"/>
      <c r="ER109" s="36"/>
      <c r="ES109" s="36"/>
      <c r="ET109" s="36"/>
      <c r="EU109" s="36"/>
      <c r="EV109" s="36"/>
      <c r="EW109" s="36"/>
      <c r="EX109" s="36"/>
      <c r="EY109" s="36"/>
      <c r="EZ109" s="36"/>
      <c r="FA109" s="36"/>
      <c r="FB109" s="36"/>
      <c r="FC109" s="36"/>
      <c r="FD109" s="36"/>
      <c r="FE109" s="36"/>
      <c r="FF109" s="36"/>
      <c r="FG109" s="36"/>
      <c r="FH109" s="36"/>
      <c r="FI109" s="36"/>
    </row>
    <row r="110" spans="1:165">
      <c r="A110" s="57"/>
      <c r="B110" s="57" t="s">
        <v>103</v>
      </c>
      <c r="C110" s="57" t="s">
        <v>127</v>
      </c>
      <c r="D110" s="57" t="s">
        <v>825</v>
      </c>
      <c r="E110" s="57"/>
      <c r="F110" s="57"/>
      <c r="G110" s="57"/>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c r="DI110" s="36"/>
      <c r="DJ110" s="36"/>
      <c r="DK110" s="36"/>
      <c r="DL110" s="36"/>
      <c r="DM110" s="36"/>
      <c r="DN110" s="36"/>
      <c r="DO110" s="36"/>
      <c r="DP110" s="36"/>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row>
    <row r="111" spans="1:165">
      <c r="A111" s="55"/>
      <c r="B111" s="55" t="s">
        <v>103</v>
      </c>
      <c r="C111" s="55" t="s">
        <v>128</v>
      </c>
      <c r="D111" s="55" t="s">
        <v>825</v>
      </c>
      <c r="E111" s="55"/>
      <c r="F111" s="55" t="s">
        <v>915</v>
      </c>
      <c r="G111" s="55"/>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c r="CU111" s="36"/>
      <c r="CV111" s="36"/>
      <c r="CW111" s="36"/>
      <c r="CX111" s="36"/>
      <c r="CY111" s="36"/>
      <c r="CZ111" s="36"/>
      <c r="DA111" s="36"/>
      <c r="DB111" s="36"/>
      <c r="DC111" s="36"/>
      <c r="DD111" s="36"/>
      <c r="DE111" s="36"/>
      <c r="DF111" s="36"/>
      <c r="DG111" s="36"/>
      <c r="DH111" s="36"/>
      <c r="DI111" s="36"/>
      <c r="DJ111" s="36"/>
      <c r="DK111" s="36"/>
      <c r="DL111" s="36"/>
      <c r="DM111" s="36"/>
      <c r="DN111" s="36"/>
      <c r="DO111" s="36"/>
      <c r="DP111" s="36"/>
      <c r="DQ111" s="36"/>
      <c r="DR111" s="36"/>
      <c r="DS111" s="36"/>
      <c r="DT111" s="36"/>
      <c r="DU111" s="36"/>
      <c r="DV111" s="36"/>
      <c r="DW111" s="36"/>
      <c r="DX111" s="36"/>
      <c r="DY111" s="36"/>
      <c r="DZ111" s="36"/>
      <c r="EA111" s="36"/>
      <c r="EB111" s="36"/>
      <c r="EC111" s="36"/>
      <c r="ED111" s="36"/>
      <c r="EE111" s="36"/>
      <c r="EF111" s="36"/>
      <c r="EG111" s="36"/>
      <c r="EH111" s="36"/>
      <c r="EI111" s="36"/>
      <c r="EJ111" s="36"/>
      <c r="EK111" s="36"/>
      <c r="EL111" s="36"/>
      <c r="EM111" s="36"/>
      <c r="EN111" s="36"/>
      <c r="EO111" s="36"/>
      <c r="EP111" s="36"/>
      <c r="EQ111" s="36"/>
      <c r="ER111" s="36"/>
      <c r="ES111" s="36"/>
      <c r="ET111" s="36"/>
      <c r="EU111" s="36"/>
      <c r="EV111" s="36"/>
      <c r="EW111" s="36"/>
      <c r="EX111" s="36"/>
      <c r="EY111" s="36"/>
      <c r="EZ111" s="36"/>
      <c r="FA111" s="36"/>
      <c r="FB111" s="36"/>
      <c r="FC111" s="36"/>
      <c r="FD111" s="36"/>
      <c r="FE111" s="36"/>
      <c r="FF111" s="36"/>
      <c r="FG111" s="36"/>
      <c r="FH111" s="36"/>
      <c r="FI111" s="36"/>
    </row>
    <row r="112" spans="1:165">
      <c r="A112" s="57"/>
      <c r="B112" s="57" t="s">
        <v>103</v>
      </c>
      <c r="C112" s="57" t="s">
        <v>129</v>
      </c>
      <c r="D112" s="57" t="s">
        <v>828</v>
      </c>
      <c r="E112" s="57" t="s">
        <v>916</v>
      </c>
      <c r="F112" s="57"/>
      <c r="G112" s="57"/>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c r="DI112" s="36"/>
      <c r="DJ112" s="36"/>
      <c r="DK112" s="36"/>
      <c r="DL112" s="36"/>
      <c r="DM112" s="36"/>
      <c r="DN112" s="36"/>
      <c r="DO112" s="36"/>
      <c r="DP112" s="36"/>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row>
    <row r="113" spans="1:165">
      <c r="A113" s="55"/>
      <c r="B113" s="55" t="s">
        <v>103</v>
      </c>
      <c r="C113" s="55" t="s">
        <v>917</v>
      </c>
      <c r="D113" s="55" t="s">
        <v>825</v>
      </c>
      <c r="E113" s="55"/>
      <c r="F113" s="55" t="s">
        <v>918</v>
      </c>
      <c r="G113" s="55" t="s">
        <v>919</v>
      </c>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c r="BS113" s="36"/>
      <c r="BT113" s="36"/>
      <c r="BU113" s="36"/>
      <c r="BV113" s="36"/>
      <c r="BW113" s="36"/>
      <c r="BX113" s="36"/>
      <c r="BY113" s="36"/>
      <c r="BZ113" s="36"/>
      <c r="CA113" s="36"/>
      <c r="CB113" s="36"/>
      <c r="CC113" s="36"/>
      <c r="CD113" s="36"/>
      <c r="CE113" s="36"/>
      <c r="CF113" s="36"/>
      <c r="CG113" s="36"/>
      <c r="CH113" s="36"/>
      <c r="CI113" s="36"/>
      <c r="CJ113" s="36"/>
      <c r="CK113" s="36"/>
      <c r="CL113" s="36"/>
      <c r="CM113" s="36"/>
      <c r="CN113" s="36"/>
      <c r="CO113" s="36"/>
      <c r="CP113" s="36"/>
      <c r="CQ113" s="36"/>
      <c r="CR113" s="36"/>
      <c r="CS113" s="36"/>
      <c r="CT113" s="36"/>
      <c r="CU113" s="36"/>
      <c r="CV113" s="36"/>
      <c r="CW113" s="36"/>
      <c r="CX113" s="36"/>
      <c r="CY113" s="36"/>
      <c r="CZ113" s="36"/>
      <c r="DA113" s="36"/>
      <c r="DB113" s="36"/>
      <c r="DC113" s="36"/>
      <c r="DD113" s="36"/>
      <c r="DE113" s="36"/>
      <c r="DF113" s="36"/>
      <c r="DG113" s="36"/>
      <c r="DH113" s="36"/>
      <c r="DI113" s="36"/>
      <c r="DJ113" s="36"/>
      <c r="DK113" s="36"/>
      <c r="DL113" s="36"/>
      <c r="DM113" s="36"/>
      <c r="DN113" s="36"/>
      <c r="DO113" s="36"/>
      <c r="DP113" s="36"/>
      <c r="DQ113" s="36"/>
      <c r="DR113" s="36"/>
      <c r="DS113" s="36"/>
      <c r="DT113" s="36"/>
      <c r="DU113" s="36"/>
      <c r="DV113" s="36"/>
      <c r="DW113" s="36"/>
      <c r="DX113" s="36"/>
      <c r="DY113" s="36"/>
      <c r="DZ113" s="36"/>
      <c r="EA113" s="36"/>
      <c r="EB113" s="36"/>
      <c r="EC113" s="36"/>
      <c r="ED113" s="36"/>
      <c r="EE113" s="36"/>
      <c r="EF113" s="36"/>
      <c r="EG113" s="36"/>
      <c r="EH113" s="36"/>
      <c r="EI113" s="36"/>
      <c r="EJ113" s="36"/>
      <c r="EK113" s="36"/>
      <c r="EL113" s="36"/>
      <c r="EM113" s="36"/>
      <c r="EN113" s="36"/>
      <c r="EO113" s="36"/>
      <c r="EP113" s="36"/>
      <c r="EQ113" s="36"/>
      <c r="ER113" s="36"/>
      <c r="ES113" s="36"/>
      <c r="ET113" s="36"/>
      <c r="EU113" s="36"/>
      <c r="EV113" s="36"/>
      <c r="EW113" s="36"/>
      <c r="EX113" s="36"/>
      <c r="EY113" s="36"/>
      <c r="EZ113" s="36"/>
      <c r="FA113" s="36"/>
      <c r="FB113" s="36"/>
      <c r="FC113" s="36"/>
      <c r="FD113" s="36"/>
      <c r="FE113" s="36"/>
      <c r="FF113" s="36"/>
      <c r="FG113" s="36"/>
      <c r="FH113" s="36"/>
      <c r="FI113" s="36"/>
    </row>
    <row r="114" spans="1:165">
      <c r="A114" s="57"/>
      <c r="B114" s="57" t="s">
        <v>103</v>
      </c>
      <c r="C114" s="57" t="s">
        <v>920</v>
      </c>
      <c r="D114" s="57" t="s">
        <v>825</v>
      </c>
      <c r="E114" s="57"/>
      <c r="F114" s="57" t="s">
        <v>918</v>
      </c>
      <c r="G114" s="57" t="s">
        <v>919</v>
      </c>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c r="DI114" s="36"/>
      <c r="DJ114" s="36"/>
      <c r="DK114" s="36"/>
      <c r="DL114" s="36"/>
      <c r="DM114" s="36"/>
      <c r="DN114" s="36"/>
      <c r="DO114" s="36"/>
      <c r="DP114" s="36"/>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row>
    <row r="115" spans="1:165">
      <c r="A115" s="55"/>
      <c r="B115" s="55" t="s">
        <v>103</v>
      </c>
      <c r="C115" s="55" t="s">
        <v>130</v>
      </c>
      <c r="D115" s="55" t="s">
        <v>837</v>
      </c>
      <c r="E115" s="55"/>
      <c r="F115" s="55"/>
      <c r="G115" s="55"/>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36"/>
      <c r="BW115" s="36"/>
      <c r="BX115" s="36"/>
      <c r="BY115" s="36"/>
      <c r="BZ115" s="36"/>
      <c r="CA115" s="36"/>
      <c r="CB115" s="36"/>
      <c r="CC115" s="36"/>
      <c r="CD115" s="36"/>
      <c r="CE115" s="36"/>
      <c r="CF115" s="36"/>
      <c r="CG115" s="36"/>
      <c r="CH115" s="36"/>
      <c r="CI115" s="36"/>
      <c r="CJ115" s="36"/>
      <c r="CK115" s="36"/>
      <c r="CL115" s="36"/>
      <c r="CM115" s="36"/>
      <c r="CN115" s="36"/>
      <c r="CO115" s="36"/>
      <c r="CP115" s="36"/>
      <c r="CQ115" s="36"/>
      <c r="CR115" s="36"/>
      <c r="CS115" s="36"/>
      <c r="CT115" s="36"/>
      <c r="CU115" s="36"/>
      <c r="CV115" s="36"/>
      <c r="CW115" s="36"/>
      <c r="CX115" s="36"/>
      <c r="CY115" s="36"/>
      <c r="CZ115" s="36"/>
      <c r="DA115" s="36"/>
      <c r="DB115" s="36"/>
      <c r="DC115" s="36"/>
      <c r="DD115" s="36"/>
      <c r="DE115" s="36"/>
      <c r="DF115" s="36"/>
      <c r="DG115" s="36"/>
      <c r="DH115" s="36"/>
      <c r="DI115" s="36"/>
      <c r="DJ115" s="36"/>
      <c r="DK115" s="36"/>
      <c r="DL115" s="36"/>
      <c r="DM115" s="36"/>
      <c r="DN115" s="36"/>
      <c r="DO115" s="36"/>
      <c r="DP115" s="36"/>
      <c r="DQ115" s="36"/>
      <c r="DR115" s="36"/>
      <c r="DS115" s="36"/>
      <c r="DT115" s="36"/>
      <c r="DU115" s="36"/>
      <c r="DV115" s="36"/>
      <c r="DW115" s="36"/>
      <c r="DX115" s="36"/>
      <c r="DY115" s="36"/>
      <c r="DZ115" s="36"/>
      <c r="EA115" s="36"/>
      <c r="EB115" s="36"/>
      <c r="EC115" s="36"/>
      <c r="ED115" s="36"/>
      <c r="EE115" s="36"/>
      <c r="EF115" s="36"/>
      <c r="EG115" s="36"/>
      <c r="EH115" s="36"/>
      <c r="EI115" s="36"/>
      <c r="EJ115" s="36"/>
      <c r="EK115" s="36"/>
      <c r="EL115" s="36"/>
      <c r="EM115" s="36"/>
      <c r="EN115" s="36"/>
      <c r="EO115" s="36"/>
      <c r="EP115" s="36"/>
      <c r="EQ115" s="36"/>
      <c r="ER115" s="36"/>
      <c r="ES115" s="36"/>
      <c r="ET115" s="36"/>
      <c r="EU115" s="36"/>
      <c r="EV115" s="36"/>
      <c r="EW115" s="36"/>
      <c r="EX115" s="36"/>
      <c r="EY115" s="36"/>
      <c r="EZ115" s="36"/>
      <c r="FA115" s="36"/>
      <c r="FB115" s="36"/>
      <c r="FC115" s="36"/>
      <c r="FD115" s="36"/>
      <c r="FE115" s="36"/>
      <c r="FF115" s="36"/>
      <c r="FG115" s="36"/>
      <c r="FH115" s="36"/>
      <c r="FI115" s="36"/>
    </row>
    <row r="116" spans="1:165">
      <c r="A116" s="57"/>
      <c r="B116" s="57" t="s">
        <v>103</v>
      </c>
      <c r="C116" s="57" t="s">
        <v>131</v>
      </c>
      <c r="D116" s="57" t="s">
        <v>837</v>
      </c>
      <c r="E116" s="57"/>
      <c r="F116" s="57"/>
      <c r="G116" s="57"/>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c r="DI116" s="36"/>
      <c r="DJ116" s="36"/>
      <c r="DK116" s="36"/>
      <c r="DL116" s="36"/>
      <c r="DM116" s="36"/>
      <c r="DN116" s="36"/>
      <c r="DO116" s="36"/>
      <c r="DP116" s="36"/>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row>
    <row r="117" spans="1:165">
      <c r="A117" s="55"/>
      <c r="B117" s="55" t="s">
        <v>103</v>
      </c>
      <c r="C117" s="55" t="s">
        <v>132</v>
      </c>
      <c r="D117" s="55" t="s">
        <v>837</v>
      </c>
      <c r="E117" s="55"/>
      <c r="F117" s="55"/>
      <c r="G117" s="55"/>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c r="BS117" s="36"/>
      <c r="BT117" s="36"/>
      <c r="BU117" s="36"/>
      <c r="BV117" s="36"/>
      <c r="BW117" s="36"/>
      <c r="BX117" s="36"/>
      <c r="BY117" s="36"/>
      <c r="BZ117" s="36"/>
      <c r="CA117" s="36"/>
      <c r="CB117" s="36"/>
      <c r="CC117" s="36"/>
      <c r="CD117" s="36"/>
      <c r="CE117" s="36"/>
      <c r="CF117" s="36"/>
      <c r="CG117" s="36"/>
      <c r="CH117" s="36"/>
      <c r="CI117" s="36"/>
      <c r="CJ117" s="36"/>
      <c r="CK117" s="36"/>
      <c r="CL117" s="36"/>
      <c r="CM117" s="36"/>
      <c r="CN117" s="36"/>
      <c r="CO117" s="36"/>
      <c r="CP117" s="36"/>
      <c r="CQ117" s="36"/>
      <c r="CR117" s="36"/>
      <c r="CS117" s="36"/>
      <c r="CT117" s="36"/>
      <c r="CU117" s="36"/>
      <c r="CV117" s="36"/>
      <c r="CW117" s="36"/>
      <c r="CX117" s="36"/>
      <c r="CY117" s="36"/>
      <c r="CZ117" s="36"/>
      <c r="DA117" s="36"/>
      <c r="DB117" s="36"/>
      <c r="DC117" s="36"/>
      <c r="DD117" s="36"/>
      <c r="DE117" s="36"/>
      <c r="DF117" s="36"/>
      <c r="DG117" s="36"/>
      <c r="DH117" s="36"/>
      <c r="DI117" s="36"/>
      <c r="DJ117" s="36"/>
      <c r="DK117" s="36"/>
      <c r="DL117" s="36"/>
      <c r="DM117" s="36"/>
      <c r="DN117" s="36"/>
      <c r="DO117" s="36"/>
      <c r="DP117" s="36"/>
      <c r="DQ117" s="36"/>
      <c r="DR117" s="36"/>
      <c r="DS117" s="36"/>
      <c r="DT117" s="36"/>
      <c r="DU117" s="36"/>
      <c r="DV117" s="36"/>
      <c r="DW117" s="36"/>
      <c r="DX117" s="36"/>
      <c r="DY117" s="36"/>
      <c r="DZ117" s="36"/>
      <c r="EA117" s="36"/>
      <c r="EB117" s="36"/>
      <c r="EC117" s="36"/>
      <c r="ED117" s="36"/>
      <c r="EE117" s="36"/>
      <c r="EF117" s="36"/>
      <c r="EG117" s="36"/>
      <c r="EH117" s="36"/>
      <c r="EI117" s="36"/>
      <c r="EJ117" s="36"/>
      <c r="EK117" s="36"/>
      <c r="EL117" s="36"/>
      <c r="EM117" s="36"/>
      <c r="EN117" s="36"/>
      <c r="EO117" s="36"/>
      <c r="EP117" s="36"/>
      <c r="EQ117" s="36"/>
      <c r="ER117" s="36"/>
      <c r="ES117" s="36"/>
      <c r="ET117" s="36"/>
      <c r="EU117" s="36"/>
      <c r="EV117" s="36"/>
      <c r="EW117" s="36"/>
      <c r="EX117" s="36"/>
      <c r="EY117" s="36"/>
      <c r="EZ117" s="36"/>
      <c r="FA117" s="36"/>
      <c r="FB117" s="36"/>
      <c r="FC117" s="36"/>
      <c r="FD117" s="36"/>
      <c r="FE117" s="36"/>
      <c r="FF117" s="36"/>
      <c r="FG117" s="36"/>
      <c r="FH117" s="36"/>
      <c r="FI117" s="36"/>
    </row>
    <row r="118" spans="1:165">
      <c r="A118" s="57"/>
      <c r="B118" s="57" t="s">
        <v>103</v>
      </c>
      <c r="C118" s="57" t="s">
        <v>133</v>
      </c>
      <c r="D118" s="57" t="s">
        <v>837</v>
      </c>
      <c r="E118" s="57"/>
      <c r="F118" s="57"/>
      <c r="G118" s="57"/>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c r="DI118" s="36"/>
      <c r="DJ118" s="36"/>
      <c r="DK118" s="36"/>
      <c r="DL118" s="36"/>
      <c r="DM118" s="36"/>
      <c r="DN118" s="36"/>
      <c r="DO118" s="36"/>
      <c r="DP118" s="36"/>
      <c r="DQ118" s="36"/>
      <c r="DR118" s="36"/>
      <c r="DS118" s="36"/>
      <c r="DT118" s="36"/>
      <c r="DU118" s="36"/>
      <c r="DV118" s="36"/>
      <c r="DW118" s="36"/>
      <c r="DX118" s="36"/>
      <c r="DY118" s="36"/>
      <c r="DZ118" s="36"/>
      <c r="EA118" s="36"/>
      <c r="EB118" s="36"/>
      <c r="EC118" s="36"/>
      <c r="ED118" s="36"/>
      <c r="EE118" s="36"/>
      <c r="EF118" s="36"/>
      <c r="EG118" s="36"/>
      <c r="EH118" s="36"/>
      <c r="EI118" s="36"/>
      <c r="EJ118" s="36"/>
      <c r="EK118" s="36"/>
      <c r="EL118" s="36"/>
      <c r="EM118" s="36"/>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row>
    <row r="119" spans="1:165">
      <c r="A119" s="55"/>
      <c r="B119" s="55" t="s">
        <v>103</v>
      </c>
      <c r="C119" s="55" t="s">
        <v>134</v>
      </c>
      <c r="D119" s="55" t="s">
        <v>825</v>
      </c>
      <c r="E119" s="55"/>
      <c r="F119" s="55"/>
      <c r="G119" s="55"/>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c r="BS119" s="36"/>
      <c r="BT119" s="36"/>
      <c r="BU119" s="36"/>
      <c r="BV119" s="36"/>
      <c r="BW119" s="36"/>
      <c r="BX119" s="36"/>
      <c r="BY119" s="36"/>
      <c r="BZ119" s="36"/>
      <c r="CA119" s="36"/>
      <c r="CB119" s="36"/>
      <c r="CC119" s="36"/>
      <c r="CD119" s="36"/>
      <c r="CE119" s="36"/>
      <c r="CF119" s="36"/>
      <c r="CG119" s="36"/>
      <c r="CH119" s="36"/>
      <c r="CI119" s="36"/>
      <c r="CJ119" s="36"/>
      <c r="CK119" s="36"/>
      <c r="CL119" s="36"/>
      <c r="CM119" s="36"/>
      <c r="CN119" s="36"/>
      <c r="CO119" s="36"/>
      <c r="CP119" s="36"/>
      <c r="CQ119" s="36"/>
      <c r="CR119" s="36"/>
      <c r="CS119" s="36"/>
      <c r="CT119" s="36"/>
      <c r="CU119" s="36"/>
      <c r="CV119" s="36"/>
      <c r="CW119" s="36"/>
      <c r="CX119" s="36"/>
      <c r="CY119" s="36"/>
      <c r="CZ119" s="36"/>
      <c r="DA119" s="36"/>
      <c r="DB119" s="36"/>
      <c r="DC119" s="36"/>
      <c r="DD119" s="36"/>
      <c r="DE119" s="36"/>
      <c r="DF119" s="36"/>
      <c r="DG119" s="36"/>
      <c r="DH119" s="36"/>
      <c r="DI119" s="36"/>
      <c r="DJ119" s="36"/>
      <c r="DK119" s="36"/>
      <c r="DL119" s="36"/>
      <c r="DM119" s="36"/>
      <c r="DN119" s="36"/>
      <c r="DO119" s="36"/>
      <c r="DP119" s="36"/>
      <c r="DQ119" s="36"/>
      <c r="DR119" s="36"/>
      <c r="DS119" s="36"/>
      <c r="DT119" s="36"/>
      <c r="DU119" s="36"/>
      <c r="DV119" s="36"/>
      <c r="DW119" s="36"/>
      <c r="DX119" s="36"/>
      <c r="DY119" s="36"/>
      <c r="DZ119" s="36"/>
      <c r="EA119" s="36"/>
      <c r="EB119" s="36"/>
      <c r="EC119" s="36"/>
      <c r="ED119" s="36"/>
      <c r="EE119" s="36"/>
      <c r="EF119" s="36"/>
      <c r="EG119" s="36"/>
      <c r="EH119" s="36"/>
      <c r="EI119" s="36"/>
      <c r="EJ119" s="36"/>
      <c r="EK119" s="36"/>
      <c r="EL119" s="36"/>
      <c r="EM119" s="36"/>
      <c r="EN119" s="36"/>
      <c r="EO119" s="36"/>
      <c r="EP119" s="36"/>
      <c r="EQ119" s="36"/>
      <c r="ER119" s="36"/>
      <c r="ES119" s="36"/>
      <c r="ET119" s="36"/>
      <c r="EU119" s="36"/>
      <c r="EV119" s="36"/>
      <c r="EW119" s="36"/>
      <c r="EX119" s="36"/>
      <c r="EY119" s="36"/>
      <c r="EZ119" s="36"/>
      <c r="FA119" s="36"/>
      <c r="FB119" s="36"/>
      <c r="FC119" s="36"/>
      <c r="FD119" s="36"/>
      <c r="FE119" s="36"/>
      <c r="FF119" s="36"/>
      <c r="FG119" s="36"/>
      <c r="FH119" s="36"/>
      <c r="FI119" s="36"/>
    </row>
    <row r="120" spans="1:165">
      <c r="A120" s="57"/>
      <c r="B120" s="57"/>
      <c r="C120" s="57"/>
      <c r="D120" s="57"/>
      <c r="E120" s="57"/>
      <c r="F120" s="57"/>
      <c r="G120" s="57"/>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6"/>
      <c r="BV120" s="36"/>
      <c r="BW120" s="36"/>
      <c r="BX120" s="36"/>
      <c r="BY120" s="36"/>
      <c r="BZ120" s="36"/>
      <c r="CA120" s="36"/>
      <c r="CB120" s="36"/>
      <c r="CC120" s="36"/>
      <c r="CD120" s="36"/>
      <c r="CE120" s="36"/>
      <c r="CF120" s="36"/>
      <c r="CG120" s="36"/>
      <c r="CH120" s="36"/>
      <c r="CI120" s="36"/>
      <c r="CJ120" s="36"/>
      <c r="CK120" s="36"/>
      <c r="CL120" s="36"/>
      <c r="CM120" s="36"/>
      <c r="CN120" s="36"/>
      <c r="CO120" s="36"/>
      <c r="CP120" s="36"/>
      <c r="CQ120" s="36"/>
      <c r="CR120" s="36"/>
      <c r="CS120" s="36"/>
      <c r="CT120" s="36"/>
      <c r="CU120" s="36"/>
      <c r="CV120" s="36"/>
      <c r="CW120" s="36"/>
      <c r="CX120" s="36"/>
      <c r="CY120" s="36"/>
      <c r="CZ120" s="36"/>
      <c r="DA120" s="36"/>
      <c r="DB120" s="36"/>
      <c r="DC120" s="36"/>
      <c r="DD120" s="36"/>
      <c r="DE120" s="36"/>
      <c r="DF120" s="36"/>
      <c r="DG120" s="36"/>
      <c r="DH120" s="36"/>
      <c r="DI120" s="36"/>
      <c r="DJ120" s="36"/>
      <c r="DK120" s="36"/>
      <c r="DL120" s="36"/>
      <c r="DM120" s="36"/>
      <c r="DN120" s="36"/>
      <c r="DO120" s="36"/>
      <c r="DP120" s="36"/>
      <c r="DQ120" s="36"/>
      <c r="DR120" s="36"/>
      <c r="DS120" s="36"/>
      <c r="DT120" s="36"/>
      <c r="DU120" s="36"/>
      <c r="DV120" s="36"/>
      <c r="DW120" s="36"/>
      <c r="DX120" s="36"/>
      <c r="DY120" s="36"/>
      <c r="DZ120" s="36"/>
      <c r="EA120" s="36"/>
      <c r="EB120" s="36"/>
      <c r="EC120" s="36"/>
      <c r="ED120" s="36"/>
      <c r="EE120" s="36"/>
      <c r="EF120" s="36"/>
      <c r="EG120" s="36"/>
      <c r="EH120" s="36"/>
      <c r="EI120" s="36"/>
      <c r="EJ120" s="36"/>
      <c r="EK120" s="36"/>
      <c r="EL120" s="36"/>
      <c r="EM120" s="36"/>
      <c r="EN120" s="36"/>
      <c r="EO120" s="36"/>
      <c r="EP120" s="36"/>
      <c r="EQ120" s="36"/>
      <c r="ER120" s="36"/>
      <c r="ES120" s="36"/>
      <c r="ET120" s="36"/>
      <c r="EU120" s="36"/>
      <c r="EV120" s="36"/>
      <c r="EW120" s="36"/>
      <c r="EX120" s="36"/>
      <c r="EY120" s="36"/>
      <c r="EZ120" s="36"/>
      <c r="FA120" s="36"/>
      <c r="FB120" s="36"/>
      <c r="FC120" s="36"/>
      <c r="FD120" s="36"/>
      <c r="FE120" s="36"/>
      <c r="FF120" s="36"/>
      <c r="FG120" s="36"/>
      <c r="FH120" s="36"/>
      <c r="FI120" s="36"/>
    </row>
    <row r="121" spans="1:165" ht="15">
      <c r="A121" s="48" t="s">
        <v>921</v>
      </c>
      <c r="B121" s="48"/>
      <c r="C121" s="48"/>
      <c r="D121" s="48"/>
      <c r="E121" s="48"/>
      <c r="F121" s="48"/>
      <c r="G121" s="48"/>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c r="DI121" s="36"/>
      <c r="DJ121" s="36"/>
      <c r="DK121" s="36"/>
      <c r="DL121" s="36"/>
      <c r="DM121" s="36"/>
      <c r="DN121" s="36"/>
      <c r="DO121" s="36"/>
      <c r="DP121" s="36"/>
      <c r="DQ121" s="36"/>
      <c r="DR121" s="36"/>
      <c r="DS121" s="36"/>
      <c r="DT121" s="36"/>
      <c r="DU121" s="36"/>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row>
    <row r="122" spans="1:165">
      <c r="A122" s="55"/>
      <c r="B122" s="55" t="s">
        <v>205</v>
      </c>
      <c r="C122" s="55" t="s">
        <v>206</v>
      </c>
      <c r="D122" s="55" t="s">
        <v>825</v>
      </c>
      <c r="E122" s="55" t="s">
        <v>826</v>
      </c>
      <c r="F122" s="55" t="s">
        <v>855</v>
      </c>
      <c r="G122" s="55"/>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c r="BS122" s="36"/>
      <c r="BT122" s="36"/>
      <c r="BU122" s="36"/>
      <c r="BV122" s="36"/>
      <c r="BW122" s="36"/>
      <c r="BX122" s="36"/>
      <c r="BY122" s="36"/>
      <c r="BZ122" s="36"/>
      <c r="CA122" s="36"/>
      <c r="CB122" s="36"/>
      <c r="CC122" s="36"/>
      <c r="CD122" s="36"/>
      <c r="CE122" s="36"/>
      <c r="CF122" s="36"/>
      <c r="CG122" s="36"/>
      <c r="CH122" s="36"/>
      <c r="CI122" s="36"/>
      <c r="CJ122" s="36"/>
      <c r="CK122" s="36"/>
      <c r="CL122" s="36"/>
      <c r="CM122" s="36"/>
      <c r="CN122" s="36"/>
      <c r="CO122" s="36"/>
      <c r="CP122" s="36"/>
      <c r="CQ122" s="36"/>
      <c r="CR122" s="36"/>
      <c r="CS122" s="36"/>
      <c r="CT122" s="36"/>
      <c r="CU122" s="36"/>
      <c r="CV122" s="36"/>
      <c r="CW122" s="36"/>
      <c r="CX122" s="36"/>
      <c r="CY122" s="36"/>
      <c r="CZ122" s="36"/>
      <c r="DA122" s="36"/>
      <c r="DB122" s="36"/>
      <c r="DC122" s="36"/>
      <c r="DD122" s="36"/>
      <c r="DE122" s="36"/>
      <c r="DF122" s="36"/>
      <c r="DG122" s="36"/>
      <c r="DH122" s="36"/>
      <c r="DI122" s="36"/>
      <c r="DJ122" s="36"/>
      <c r="DK122" s="36"/>
      <c r="DL122" s="36"/>
      <c r="DM122" s="36"/>
      <c r="DN122" s="36"/>
      <c r="DO122" s="36"/>
      <c r="DP122" s="36"/>
      <c r="DQ122" s="36"/>
      <c r="DR122" s="36"/>
      <c r="DS122" s="36"/>
      <c r="DT122" s="36"/>
      <c r="DU122" s="36"/>
      <c r="DV122" s="36"/>
      <c r="DW122" s="36"/>
      <c r="DX122" s="36"/>
      <c r="DY122" s="36"/>
      <c r="DZ122" s="36"/>
      <c r="EA122" s="36"/>
      <c r="EB122" s="36"/>
      <c r="EC122" s="36"/>
      <c r="ED122" s="36"/>
      <c r="EE122" s="36"/>
      <c r="EF122" s="36"/>
      <c r="EG122" s="36"/>
      <c r="EH122" s="36"/>
      <c r="EI122" s="36"/>
      <c r="EJ122" s="36"/>
      <c r="EK122" s="36"/>
      <c r="EL122" s="36"/>
      <c r="EM122" s="36"/>
      <c r="EN122" s="36"/>
      <c r="EO122" s="36"/>
      <c r="EP122" s="36"/>
      <c r="EQ122" s="36"/>
      <c r="ER122" s="36"/>
      <c r="ES122" s="36"/>
      <c r="ET122" s="36"/>
      <c r="EU122" s="36"/>
      <c r="EV122" s="36"/>
      <c r="EW122" s="36"/>
      <c r="EX122" s="36"/>
      <c r="EY122" s="36"/>
      <c r="EZ122" s="36"/>
      <c r="FA122" s="36"/>
      <c r="FB122" s="36"/>
      <c r="FC122" s="36"/>
      <c r="FD122" s="36"/>
      <c r="FE122" s="36"/>
      <c r="FF122" s="36"/>
      <c r="FG122" s="36"/>
      <c r="FH122" s="36"/>
      <c r="FI122" s="36"/>
    </row>
    <row r="123" spans="1:165">
      <c r="A123" s="57"/>
      <c r="B123" s="57" t="s">
        <v>205</v>
      </c>
      <c r="C123" s="57" t="s">
        <v>207</v>
      </c>
      <c r="D123" s="57" t="s">
        <v>839</v>
      </c>
      <c r="E123" s="57" t="s">
        <v>83</v>
      </c>
      <c r="F123" s="57"/>
      <c r="G123" s="57"/>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row>
    <row r="124" spans="1:165">
      <c r="A124" s="55"/>
      <c r="B124" s="55" t="s">
        <v>205</v>
      </c>
      <c r="C124" s="55" t="s">
        <v>7</v>
      </c>
      <c r="D124" s="55" t="s">
        <v>825</v>
      </c>
      <c r="E124" s="55"/>
      <c r="F124" s="55"/>
      <c r="G124" s="55"/>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6"/>
      <c r="CX124" s="36"/>
      <c r="CY124" s="36"/>
      <c r="CZ124" s="36"/>
      <c r="DA124" s="36"/>
      <c r="DB124" s="36"/>
      <c r="DC124" s="36"/>
      <c r="DD124" s="36"/>
      <c r="DE124" s="36"/>
      <c r="DF124" s="36"/>
      <c r="DG124" s="36"/>
      <c r="DH124" s="36"/>
      <c r="DI124" s="36"/>
      <c r="DJ124" s="36"/>
      <c r="DK124" s="36"/>
      <c r="DL124" s="36"/>
      <c r="DM124" s="36"/>
      <c r="DN124" s="36"/>
      <c r="DO124" s="36"/>
      <c r="DP124" s="36"/>
      <c r="DQ124" s="36"/>
      <c r="DR124" s="36"/>
      <c r="DS124" s="36"/>
      <c r="DT124" s="36"/>
      <c r="DU124" s="36"/>
      <c r="DV124" s="36"/>
      <c r="DW124" s="36"/>
      <c r="DX124" s="36"/>
      <c r="DY124" s="36"/>
      <c r="DZ124" s="36"/>
      <c r="EA124" s="36"/>
      <c r="EB124" s="36"/>
      <c r="EC124" s="36"/>
      <c r="ED124" s="36"/>
      <c r="EE124" s="36"/>
      <c r="EF124" s="36"/>
      <c r="EG124" s="36"/>
      <c r="EH124" s="36"/>
      <c r="EI124" s="36"/>
      <c r="EJ124" s="36"/>
      <c r="EK124" s="36"/>
      <c r="EL124" s="36"/>
      <c r="EM124" s="36"/>
      <c r="EN124" s="36"/>
      <c r="EO124" s="36"/>
      <c r="EP124" s="36"/>
      <c r="EQ124" s="36"/>
      <c r="ER124" s="36"/>
      <c r="ES124" s="36"/>
      <c r="ET124" s="36"/>
      <c r="EU124" s="36"/>
      <c r="EV124" s="36"/>
      <c r="EW124" s="36"/>
      <c r="EX124" s="36"/>
      <c r="EY124" s="36"/>
      <c r="EZ124" s="36"/>
      <c r="FA124" s="36"/>
      <c r="FB124" s="36"/>
      <c r="FC124" s="36"/>
      <c r="FD124" s="36"/>
      <c r="FE124" s="36"/>
      <c r="FF124" s="36"/>
      <c r="FG124" s="36"/>
      <c r="FH124" s="36"/>
      <c r="FI124" s="36"/>
    </row>
    <row r="125" spans="1:165">
      <c r="A125" s="57"/>
      <c r="B125" s="57" t="s">
        <v>205</v>
      </c>
      <c r="C125" s="57" t="s">
        <v>90</v>
      </c>
      <c r="D125" s="57" t="s">
        <v>825</v>
      </c>
      <c r="E125" s="57"/>
      <c r="F125" s="57"/>
      <c r="G125" s="57"/>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c r="EX125" s="36"/>
      <c r="EY125" s="36"/>
      <c r="EZ125" s="36"/>
      <c r="FA125" s="36"/>
      <c r="FB125" s="36"/>
      <c r="FC125" s="36"/>
      <c r="FD125" s="36"/>
      <c r="FE125" s="36"/>
      <c r="FF125" s="36"/>
      <c r="FG125" s="36"/>
      <c r="FH125" s="36"/>
      <c r="FI125" s="36"/>
    </row>
    <row r="126" spans="1:165" ht="25.5">
      <c r="A126" s="55"/>
      <c r="B126" s="55" t="s">
        <v>205</v>
      </c>
      <c r="C126" s="55" t="s">
        <v>208</v>
      </c>
      <c r="D126" s="55" t="s">
        <v>828</v>
      </c>
      <c r="E126" s="55" t="s">
        <v>922</v>
      </c>
      <c r="F126" s="55" t="s">
        <v>923</v>
      </c>
      <c r="G126" s="55" t="s">
        <v>924</v>
      </c>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6"/>
      <c r="CX126" s="36"/>
      <c r="CY126" s="36"/>
      <c r="CZ126" s="36"/>
      <c r="DA126" s="36"/>
      <c r="DB126" s="36"/>
      <c r="DC126" s="36"/>
      <c r="DD126" s="36"/>
      <c r="DE126" s="36"/>
      <c r="DF126" s="36"/>
      <c r="DG126" s="36"/>
      <c r="DH126" s="36"/>
      <c r="DI126" s="36"/>
      <c r="DJ126" s="36"/>
      <c r="DK126" s="36"/>
      <c r="DL126" s="36"/>
      <c r="DM126" s="36"/>
      <c r="DN126" s="36"/>
      <c r="DO126" s="36"/>
      <c r="DP126" s="36"/>
      <c r="DQ126" s="36"/>
      <c r="DR126" s="36"/>
      <c r="DS126" s="36"/>
      <c r="DT126" s="36"/>
      <c r="DU126" s="36"/>
      <c r="DV126" s="36"/>
      <c r="DW126" s="36"/>
      <c r="DX126" s="36"/>
      <c r="DY126" s="36"/>
      <c r="DZ126" s="36"/>
      <c r="EA126" s="36"/>
      <c r="EB126" s="36"/>
      <c r="EC126" s="36"/>
      <c r="ED126" s="36"/>
      <c r="EE126" s="36"/>
      <c r="EF126" s="36"/>
      <c r="EG126" s="36"/>
      <c r="EH126" s="36"/>
      <c r="EI126" s="36"/>
      <c r="EJ126" s="36"/>
      <c r="EK126" s="36"/>
      <c r="EL126" s="36"/>
      <c r="EM126" s="36"/>
      <c r="EN126" s="36"/>
      <c r="EO126" s="36"/>
      <c r="EP126" s="36"/>
      <c r="EQ126" s="36"/>
      <c r="ER126" s="36"/>
      <c r="ES126" s="36"/>
      <c r="ET126" s="36"/>
      <c r="EU126" s="36"/>
      <c r="EV126" s="36"/>
      <c r="EW126" s="36"/>
      <c r="EX126" s="36"/>
      <c r="EY126" s="36"/>
      <c r="EZ126" s="36"/>
      <c r="FA126" s="36"/>
      <c r="FB126" s="36"/>
      <c r="FC126" s="36"/>
      <c r="FD126" s="36"/>
      <c r="FE126" s="36"/>
      <c r="FF126" s="36"/>
      <c r="FG126" s="36"/>
      <c r="FH126" s="36"/>
      <c r="FI126" s="36"/>
    </row>
    <row r="127" spans="1:165">
      <c r="A127" s="57"/>
      <c r="B127" s="57" t="s">
        <v>205</v>
      </c>
      <c r="C127" s="57" t="s">
        <v>209</v>
      </c>
      <c r="D127" s="57" t="s">
        <v>839</v>
      </c>
      <c r="E127" s="57" t="s">
        <v>83</v>
      </c>
      <c r="F127" s="57"/>
      <c r="G127" s="57"/>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c r="DI127" s="36"/>
      <c r="DJ127" s="36"/>
      <c r="DK127" s="36"/>
      <c r="DL127" s="36"/>
      <c r="DM127" s="36"/>
      <c r="DN127" s="36"/>
      <c r="DO127" s="36"/>
      <c r="DP127" s="36"/>
      <c r="DQ127" s="36"/>
      <c r="DR127" s="36"/>
      <c r="DS127" s="36"/>
      <c r="DT127" s="36"/>
      <c r="DU127" s="36"/>
      <c r="DV127" s="36"/>
      <c r="DW127" s="36"/>
      <c r="DX127" s="36"/>
      <c r="DY127" s="36"/>
      <c r="DZ127" s="36"/>
      <c r="EA127" s="36"/>
      <c r="EB127" s="36"/>
      <c r="EC127" s="36"/>
      <c r="ED127" s="36"/>
      <c r="EE127" s="36"/>
      <c r="EF127" s="36"/>
      <c r="EG127" s="36"/>
      <c r="EH127" s="36"/>
      <c r="EI127" s="36"/>
      <c r="EJ127" s="36"/>
      <c r="EK127" s="36"/>
      <c r="EL127" s="36"/>
      <c r="EM127" s="36"/>
      <c r="EN127" s="36"/>
      <c r="EO127" s="36"/>
      <c r="EP127" s="36"/>
      <c r="EQ127" s="36"/>
      <c r="ER127" s="36"/>
      <c r="ES127" s="36"/>
      <c r="ET127" s="36"/>
      <c r="EU127" s="36"/>
      <c r="EV127" s="36"/>
      <c r="EW127" s="36"/>
      <c r="EX127" s="36"/>
      <c r="EY127" s="36"/>
      <c r="EZ127" s="36"/>
      <c r="FA127" s="36"/>
      <c r="FB127" s="36"/>
      <c r="FC127" s="36"/>
      <c r="FD127" s="36"/>
      <c r="FE127" s="36"/>
      <c r="FF127" s="36"/>
      <c r="FG127" s="36"/>
      <c r="FH127" s="36"/>
      <c r="FI127" s="36"/>
    </row>
    <row r="128" spans="1:165">
      <c r="A128" s="55"/>
      <c r="B128" s="55" t="s">
        <v>205</v>
      </c>
      <c r="C128" s="55" t="s">
        <v>925</v>
      </c>
      <c r="D128" s="55" t="s">
        <v>848</v>
      </c>
      <c r="E128" s="55" t="s">
        <v>241</v>
      </c>
      <c r="F128" s="55" t="s">
        <v>100</v>
      </c>
      <c r="G128" s="55"/>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c r="BR128" s="36"/>
      <c r="BS128" s="36"/>
      <c r="BT128" s="36"/>
      <c r="BU128" s="36"/>
      <c r="BV128" s="36"/>
      <c r="BW128" s="36"/>
      <c r="BX128" s="36"/>
      <c r="BY128" s="36"/>
      <c r="BZ128" s="36"/>
      <c r="CA128" s="36"/>
      <c r="CB128" s="36"/>
      <c r="CC128" s="36"/>
      <c r="CD128" s="36"/>
      <c r="CE128" s="36"/>
      <c r="CF128" s="36"/>
      <c r="CG128" s="36"/>
      <c r="CH128" s="36"/>
      <c r="CI128" s="36"/>
      <c r="CJ128" s="36"/>
      <c r="CK128" s="36"/>
      <c r="CL128" s="36"/>
      <c r="CM128" s="36"/>
      <c r="CN128" s="36"/>
      <c r="CO128" s="36"/>
      <c r="CP128" s="36"/>
      <c r="CQ128" s="36"/>
      <c r="CR128" s="36"/>
      <c r="CS128" s="36"/>
      <c r="CT128" s="36"/>
      <c r="CU128" s="36"/>
      <c r="CV128" s="36"/>
      <c r="CW128" s="36"/>
      <c r="CX128" s="36"/>
      <c r="CY128" s="36"/>
      <c r="CZ128" s="36"/>
      <c r="DA128" s="36"/>
      <c r="DB128" s="36"/>
      <c r="DC128" s="36"/>
      <c r="DD128" s="36"/>
      <c r="DE128" s="36"/>
      <c r="DF128" s="36"/>
      <c r="DG128" s="36"/>
      <c r="DH128" s="36"/>
      <c r="DI128" s="36"/>
      <c r="DJ128" s="36"/>
      <c r="DK128" s="36"/>
      <c r="DL128" s="36"/>
      <c r="DM128" s="36"/>
      <c r="DN128" s="36"/>
      <c r="DO128" s="36"/>
      <c r="DP128" s="36"/>
      <c r="DQ128" s="36"/>
      <c r="DR128" s="36"/>
      <c r="DS128" s="36"/>
      <c r="DT128" s="36"/>
      <c r="DU128" s="36"/>
      <c r="DV128" s="36"/>
      <c r="DW128" s="36"/>
      <c r="DX128" s="36"/>
      <c r="DY128" s="36"/>
      <c r="DZ128" s="36"/>
      <c r="EA128" s="36"/>
      <c r="EB128" s="36"/>
      <c r="EC128" s="36"/>
      <c r="ED128" s="36"/>
      <c r="EE128" s="36"/>
      <c r="EF128" s="36"/>
      <c r="EG128" s="36"/>
      <c r="EH128" s="36"/>
      <c r="EI128" s="36"/>
      <c r="EJ128" s="36"/>
      <c r="EK128" s="36"/>
      <c r="EL128" s="36"/>
      <c r="EM128" s="36"/>
      <c r="EN128" s="36"/>
      <c r="EO128" s="36"/>
      <c r="EP128" s="36"/>
      <c r="EQ128" s="36"/>
      <c r="ER128" s="36"/>
      <c r="ES128" s="36"/>
      <c r="ET128" s="36"/>
      <c r="EU128" s="36"/>
      <c r="EV128" s="36"/>
      <c r="EW128" s="36"/>
      <c r="EX128" s="36"/>
      <c r="EY128" s="36"/>
      <c r="EZ128" s="36"/>
      <c r="FA128" s="36"/>
      <c r="FB128" s="36"/>
      <c r="FC128" s="36"/>
      <c r="FD128" s="36"/>
      <c r="FE128" s="36"/>
      <c r="FF128" s="36"/>
      <c r="FG128" s="36"/>
      <c r="FH128" s="36"/>
      <c r="FI128" s="36"/>
    </row>
    <row r="129" spans="1:165" ht="25.5">
      <c r="A129" s="57"/>
      <c r="B129" s="57" t="s">
        <v>205</v>
      </c>
      <c r="C129" s="57" t="s">
        <v>210</v>
      </c>
      <c r="D129" s="57" t="s">
        <v>828</v>
      </c>
      <c r="E129" s="57" t="s">
        <v>926</v>
      </c>
      <c r="F129" s="57" t="s">
        <v>927</v>
      </c>
      <c r="G129" s="57"/>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6"/>
      <c r="BV129" s="36"/>
      <c r="BW129" s="36"/>
      <c r="BX129" s="36"/>
      <c r="BY129" s="36"/>
      <c r="BZ129" s="36"/>
      <c r="CA129" s="36"/>
      <c r="CB129" s="36"/>
      <c r="CC129" s="36"/>
      <c r="CD129" s="36"/>
      <c r="CE129" s="36"/>
      <c r="CF129" s="36"/>
      <c r="CG129" s="36"/>
      <c r="CH129" s="36"/>
      <c r="CI129" s="36"/>
      <c r="CJ129" s="36"/>
      <c r="CK129" s="36"/>
      <c r="CL129" s="36"/>
      <c r="CM129" s="36"/>
      <c r="CN129" s="36"/>
      <c r="CO129" s="36"/>
      <c r="CP129" s="36"/>
      <c r="CQ129" s="36"/>
      <c r="CR129" s="36"/>
      <c r="CS129" s="36"/>
      <c r="CT129" s="36"/>
      <c r="CU129" s="36"/>
      <c r="CV129" s="36"/>
      <c r="CW129" s="36"/>
      <c r="CX129" s="36"/>
      <c r="CY129" s="36"/>
      <c r="CZ129" s="36"/>
      <c r="DA129" s="36"/>
      <c r="DB129" s="36"/>
      <c r="DC129" s="36"/>
      <c r="DD129" s="36"/>
      <c r="DE129" s="36"/>
      <c r="DF129" s="36"/>
      <c r="DG129" s="36"/>
      <c r="DH129" s="36"/>
      <c r="DI129" s="36"/>
      <c r="DJ129" s="36"/>
      <c r="DK129" s="36"/>
      <c r="DL129" s="36"/>
      <c r="DM129" s="36"/>
      <c r="DN129" s="36"/>
      <c r="DO129" s="36"/>
      <c r="DP129" s="36"/>
      <c r="DQ129" s="36"/>
      <c r="DR129" s="36"/>
      <c r="DS129" s="36"/>
      <c r="DT129" s="36"/>
      <c r="DU129" s="36"/>
      <c r="DV129" s="36"/>
      <c r="DW129" s="36"/>
      <c r="DX129" s="36"/>
      <c r="DY129" s="36"/>
      <c r="DZ129" s="36"/>
      <c r="EA129" s="36"/>
      <c r="EB129" s="36"/>
      <c r="EC129" s="36"/>
      <c r="ED129" s="36"/>
      <c r="EE129" s="36"/>
      <c r="EF129" s="36"/>
      <c r="EG129" s="36"/>
      <c r="EH129" s="36"/>
      <c r="EI129" s="36"/>
      <c r="EJ129" s="36"/>
      <c r="EK129" s="36"/>
      <c r="EL129" s="36"/>
      <c r="EM129" s="36"/>
      <c r="EN129" s="36"/>
      <c r="EO129" s="36"/>
      <c r="EP129" s="36"/>
      <c r="EQ129" s="36"/>
      <c r="ER129" s="36"/>
      <c r="ES129" s="36"/>
      <c r="ET129" s="36"/>
      <c r="EU129" s="36"/>
      <c r="EV129" s="36"/>
      <c r="EW129" s="36"/>
      <c r="EX129" s="36"/>
      <c r="EY129" s="36"/>
      <c r="EZ129" s="36"/>
      <c r="FA129" s="36"/>
      <c r="FB129" s="36"/>
      <c r="FC129" s="36"/>
      <c r="FD129" s="36"/>
      <c r="FE129" s="36"/>
      <c r="FF129" s="36"/>
      <c r="FG129" s="36"/>
      <c r="FH129" s="36"/>
      <c r="FI129" s="36"/>
    </row>
    <row r="130" spans="1:165">
      <c r="A130" s="55"/>
      <c r="B130" s="55" t="s">
        <v>205</v>
      </c>
      <c r="C130" s="55" t="s">
        <v>199</v>
      </c>
      <c r="D130" s="55" t="s">
        <v>825</v>
      </c>
      <c r="E130" s="55"/>
      <c r="F130" s="55" t="s">
        <v>248</v>
      </c>
      <c r="G130" s="55"/>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6"/>
      <c r="BV130" s="36"/>
      <c r="BW130" s="36"/>
      <c r="BX130" s="36"/>
      <c r="BY130" s="36"/>
      <c r="BZ130" s="36"/>
      <c r="CA130" s="36"/>
      <c r="CB130" s="36"/>
      <c r="CC130" s="36"/>
      <c r="CD130" s="36"/>
      <c r="CE130" s="36"/>
      <c r="CF130" s="36"/>
      <c r="CG130" s="36"/>
      <c r="CH130" s="36"/>
      <c r="CI130" s="36"/>
      <c r="CJ130" s="36"/>
      <c r="CK130" s="36"/>
      <c r="CL130" s="36"/>
      <c r="CM130" s="36"/>
      <c r="CN130" s="36"/>
      <c r="CO130" s="36"/>
      <c r="CP130" s="36"/>
      <c r="CQ130" s="36"/>
      <c r="CR130" s="36"/>
      <c r="CS130" s="36"/>
      <c r="CT130" s="36"/>
      <c r="CU130" s="36"/>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36"/>
      <c r="DX130" s="36"/>
      <c r="DY130" s="36"/>
      <c r="DZ130" s="36"/>
      <c r="EA130" s="36"/>
      <c r="EB130" s="36"/>
      <c r="EC130" s="36"/>
      <c r="ED130" s="36"/>
      <c r="EE130" s="36"/>
      <c r="EF130" s="36"/>
      <c r="EG130" s="36"/>
      <c r="EH130" s="36"/>
      <c r="EI130" s="36"/>
      <c r="EJ130" s="36"/>
      <c r="EK130" s="36"/>
      <c r="EL130" s="36"/>
      <c r="EM130" s="36"/>
      <c r="EN130" s="36"/>
      <c r="EO130" s="36"/>
      <c r="EP130" s="36"/>
      <c r="EQ130" s="36"/>
      <c r="ER130" s="36"/>
      <c r="ES130" s="36"/>
      <c r="ET130" s="36"/>
      <c r="EU130" s="36"/>
      <c r="EV130" s="36"/>
      <c r="EW130" s="36"/>
      <c r="EX130" s="36"/>
      <c r="EY130" s="36"/>
      <c r="EZ130" s="36"/>
      <c r="FA130" s="36"/>
      <c r="FB130" s="36"/>
      <c r="FC130" s="36"/>
      <c r="FD130" s="36"/>
      <c r="FE130" s="36"/>
      <c r="FF130" s="36"/>
      <c r="FG130" s="36"/>
      <c r="FH130" s="36"/>
      <c r="FI130" s="36"/>
    </row>
    <row r="131" spans="1:165">
      <c r="A131" s="57"/>
      <c r="B131" s="57" t="s">
        <v>205</v>
      </c>
      <c r="C131" s="57" t="s">
        <v>928</v>
      </c>
      <c r="D131" s="57" t="s">
        <v>825</v>
      </c>
      <c r="E131" s="57"/>
      <c r="F131" s="57" t="s">
        <v>248</v>
      </c>
      <c r="G131" s="57"/>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36"/>
      <c r="BW131" s="36"/>
      <c r="BX131" s="36"/>
      <c r="BY131" s="36"/>
      <c r="BZ131" s="36"/>
      <c r="CA131" s="36"/>
      <c r="CB131" s="36"/>
      <c r="CC131" s="36"/>
      <c r="CD131" s="36"/>
      <c r="CE131" s="36"/>
      <c r="CF131" s="36"/>
      <c r="CG131" s="36"/>
      <c r="CH131" s="36"/>
      <c r="CI131" s="36"/>
      <c r="CJ131" s="36"/>
      <c r="CK131" s="36"/>
      <c r="CL131" s="36"/>
      <c r="CM131" s="36"/>
      <c r="CN131" s="36"/>
      <c r="CO131" s="36"/>
      <c r="CP131" s="36"/>
      <c r="CQ131" s="36"/>
      <c r="CR131" s="36"/>
      <c r="CS131" s="36"/>
      <c r="CT131" s="36"/>
      <c r="CU131" s="36"/>
      <c r="CV131" s="36"/>
      <c r="CW131" s="36"/>
      <c r="CX131" s="36"/>
      <c r="CY131" s="36"/>
      <c r="CZ131" s="36"/>
      <c r="DA131" s="36"/>
      <c r="DB131" s="36"/>
      <c r="DC131" s="36"/>
      <c r="DD131" s="36"/>
      <c r="DE131" s="36"/>
      <c r="DF131" s="36"/>
      <c r="DG131" s="36"/>
      <c r="DH131" s="36"/>
      <c r="DI131" s="36"/>
      <c r="DJ131" s="36"/>
      <c r="DK131" s="36"/>
      <c r="DL131" s="36"/>
      <c r="DM131" s="36"/>
      <c r="DN131" s="36"/>
      <c r="DO131" s="36"/>
      <c r="DP131" s="36"/>
      <c r="DQ131" s="36"/>
      <c r="DR131" s="36"/>
      <c r="DS131" s="36"/>
      <c r="DT131" s="36"/>
      <c r="DU131" s="36"/>
      <c r="DV131" s="36"/>
      <c r="DW131" s="36"/>
      <c r="DX131" s="36"/>
      <c r="DY131" s="36"/>
      <c r="DZ131" s="36"/>
      <c r="EA131" s="36"/>
      <c r="EB131" s="36"/>
      <c r="EC131" s="36"/>
      <c r="ED131" s="36"/>
      <c r="EE131" s="36"/>
      <c r="EF131" s="36"/>
      <c r="EG131" s="36"/>
      <c r="EH131" s="36"/>
      <c r="EI131" s="36"/>
      <c r="EJ131" s="36"/>
      <c r="EK131" s="36"/>
      <c r="EL131" s="36"/>
      <c r="EM131" s="36"/>
      <c r="EN131" s="36"/>
      <c r="EO131" s="36"/>
      <c r="EP131" s="36"/>
      <c r="EQ131" s="36"/>
      <c r="ER131" s="36"/>
      <c r="ES131" s="36"/>
      <c r="ET131" s="36"/>
      <c r="EU131" s="36"/>
      <c r="EV131" s="36"/>
      <c r="EW131" s="36"/>
      <c r="EX131" s="36"/>
      <c r="EY131" s="36"/>
      <c r="EZ131" s="36"/>
      <c r="FA131" s="36"/>
      <c r="FB131" s="36"/>
      <c r="FC131" s="36"/>
      <c r="FD131" s="36"/>
      <c r="FE131" s="36"/>
      <c r="FF131" s="36"/>
      <c r="FG131" s="36"/>
      <c r="FH131" s="36"/>
      <c r="FI131" s="36"/>
    </row>
    <row r="132" spans="1:165">
      <c r="A132" s="55"/>
      <c r="B132" s="55" t="s">
        <v>205</v>
      </c>
      <c r="C132" s="55" t="s">
        <v>200</v>
      </c>
      <c r="D132" s="55" t="s">
        <v>825</v>
      </c>
      <c r="E132" s="55"/>
      <c r="F132" s="55" t="s">
        <v>248</v>
      </c>
      <c r="G132" s="55"/>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6"/>
      <c r="CK132" s="36"/>
      <c r="CL132" s="36"/>
      <c r="CM132" s="36"/>
      <c r="CN132" s="36"/>
      <c r="CO132" s="36"/>
      <c r="CP132" s="36"/>
      <c r="CQ132" s="36"/>
      <c r="CR132" s="36"/>
      <c r="CS132" s="36"/>
      <c r="CT132" s="36"/>
      <c r="CU132" s="36"/>
      <c r="CV132" s="36"/>
      <c r="CW132" s="36"/>
      <c r="CX132" s="36"/>
      <c r="CY132" s="36"/>
      <c r="CZ132" s="36"/>
      <c r="DA132" s="36"/>
      <c r="DB132" s="36"/>
      <c r="DC132" s="36"/>
      <c r="DD132" s="36"/>
      <c r="DE132" s="36"/>
      <c r="DF132" s="36"/>
      <c r="DG132" s="36"/>
      <c r="DH132" s="36"/>
      <c r="DI132" s="36"/>
      <c r="DJ132" s="36"/>
      <c r="DK132" s="36"/>
      <c r="DL132" s="36"/>
      <c r="DM132" s="36"/>
      <c r="DN132" s="36"/>
      <c r="DO132" s="36"/>
      <c r="DP132" s="36"/>
      <c r="DQ132" s="36"/>
      <c r="DR132" s="36"/>
      <c r="DS132" s="36"/>
      <c r="DT132" s="36"/>
      <c r="DU132" s="36"/>
      <c r="DV132" s="36"/>
      <c r="DW132" s="36"/>
      <c r="DX132" s="36"/>
      <c r="DY132" s="36"/>
      <c r="DZ132" s="36"/>
      <c r="EA132" s="36"/>
      <c r="EB132" s="36"/>
      <c r="EC132" s="36"/>
      <c r="ED132" s="36"/>
      <c r="EE132" s="36"/>
      <c r="EF132" s="36"/>
      <c r="EG132" s="36"/>
      <c r="EH132" s="36"/>
      <c r="EI132" s="36"/>
      <c r="EJ132" s="36"/>
      <c r="EK132" s="36"/>
      <c r="EL132" s="36"/>
      <c r="EM132" s="36"/>
      <c r="EN132" s="36"/>
      <c r="EO132" s="36"/>
      <c r="EP132" s="36"/>
      <c r="EQ132" s="36"/>
      <c r="ER132" s="36"/>
      <c r="ES132" s="36"/>
      <c r="ET132" s="36"/>
      <c r="EU132" s="36"/>
      <c r="EV132" s="36"/>
      <c r="EW132" s="36"/>
      <c r="EX132" s="36"/>
      <c r="EY132" s="36"/>
      <c r="EZ132" s="36"/>
      <c r="FA132" s="36"/>
      <c r="FB132" s="36"/>
      <c r="FC132" s="36"/>
      <c r="FD132" s="36"/>
      <c r="FE132" s="36"/>
      <c r="FF132" s="36"/>
      <c r="FG132" s="36"/>
      <c r="FH132" s="36"/>
      <c r="FI132" s="36"/>
    </row>
    <row r="133" spans="1:165">
      <c r="A133" s="57"/>
      <c r="B133" s="57" t="s">
        <v>205</v>
      </c>
      <c r="C133" s="57" t="s">
        <v>211</v>
      </c>
      <c r="D133" s="57" t="s">
        <v>837</v>
      </c>
      <c r="E133" s="57">
        <v>1</v>
      </c>
      <c r="F133" s="57" t="s">
        <v>929</v>
      </c>
      <c r="G133" s="57"/>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c r="EH133" s="36"/>
      <c r="EI133" s="36"/>
      <c r="EJ133" s="36"/>
      <c r="EK133" s="36"/>
      <c r="EL133" s="36"/>
      <c r="EM133" s="36"/>
      <c r="EN133" s="36"/>
      <c r="EO133" s="36"/>
      <c r="EP133" s="36"/>
      <c r="EQ133" s="36"/>
      <c r="ER133" s="36"/>
      <c r="ES133" s="36"/>
      <c r="ET133" s="36"/>
      <c r="EU133" s="36"/>
      <c r="EV133" s="36"/>
      <c r="EW133" s="36"/>
      <c r="EX133" s="36"/>
      <c r="EY133" s="36"/>
      <c r="EZ133" s="36"/>
      <c r="FA133" s="36"/>
      <c r="FB133" s="36"/>
      <c r="FC133" s="36"/>
      <c r="FD133" s="36"/>
      <c r="FE133" s="36"/>
      <c r="FF133" s="36"/>
      <c r="FG133" s="36"/>
      <c r="FH133" s="36"/>
      <c r="FI133" s="36"/>
    </row>
    <row r="134" spans="1:165">
      <c r="A134" s="55"/>
      <c r="B134" s="55" t="s">
        <v>205</v>
      </c>
      <c r="C134" s="55" t="s">
        <v>212</v>
      </c>
      <c r="D134" s="55" t="s">
        <v>828</v>
      </c>
      <c r="E134" s="55" t="s">
        <v>930</v>
      </c>
      <c r="F134" s="55"/>
      <c r="G134" s="55"/>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c r="DI134" s="36"/>
      <c r="DJ134" s="36"/>
      <c r="DK134" s="36"/>
      <c r="DL134" s="36"/>
      <c r="DM134" s="36"/>
      <c r="DN134" s="36"/>
      <c r="DO134" s="36"/>
      <c r="DP134" s="36"/>
      <c r="DQ134" s="36"/>
      <c r="DR134" s="36"/>
      <c r="DS134" s="36"/>
      <c r="DT134" s="36"/>
      <c r="DU134" s="36"/>
      <c r="DV134" s="36"/>
      <c r="DW134" s="36"/>
      <c r="DX134" s="36"/>
      <c r="DY134" s="36"/>
      <c r="DZ134" s="36"/>
      <c r="EA134" s="36"/>
      <c r="EB134" s="36"/>
      <c r="EC134" s="36"/>
      <c r="ED134" s="36"/>
      <c r="EE134" s="36"/>
      <c r="EF134" s="36"/>
      <c r="EG134" s="36"/>
      <c r="EH134" s="36"/>
      <c r="EI134" s="36"/>
      <c r="EJ134" s="36"/>
      <c r="EK134" s="36"/>
      <c r="EL134" s="36"/>
      <c r="EM134" s="36"/>
      <c r="EN134" s="36"/>
      <c r="EO134" s="36"/>
      <c r="EP134" s="36"/>
      <c r="EQ134" s="36"/>
      <c r="ER134" s="36"/>
      <c r="ES134" s="36"/>
      <c r="ET134" s="36"/>
      <c r="EU134" s="36"/>
      <c r="EV134" s="36"/>
      <c r="EW134" s="36"/>
      <c r="EX134" s="36"/>
      <c r="EY134" s="36"/>
      <c r="EZ134" s="36"/>
      <c r="FA134" s="36"/>
      <c r="FB134" s="36"/>
      <c r="FC134" s="36"/>
      <c r="FD134" s="36"/>
      <c r="FE134" s="36"/>
      <c r="FF134" s="36"/>
      <c r="FG134" s="36"/>
      <c r="FH134" s="36"/>
      <c r="FI134" s="36"/>
    </row>
    <row r="135" spans="1:165">
      <c r="A135" s="57"/>
      <c r="B135" s="57" t="s">
        <v>205</v>
      </c>
      <c r="C135" s="57" t="s">
        <v>213</v>
      </c>
      <c r="D135" s="57" t="s">
        <v>828</v>
      </c>
      <c r="E135" s="57" t="s">
        <v>931</v>
      </c>
      <c r="F135" s="57" t="s">
        <v>932</v>
      </c>
      <c r="G135" s="57"/>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c r="DI135" s="36"/>
      <c r="DJ135" s="36"/>
      <c r="DK135" s="36"/>
      <c r="DL135" s="36"/>
      <c r="DM135" s="36"/>
      <c r="DN135" s="36"/>
      <c r="DO135" s="36"/>
      <c r="DP135" s="36"/>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c r="EQ135" s="36"/>
      <c r="ER135" s="36"/>
      <c r="ES135" s="36"/>
      <c r="ET135" s="36"/>
      <c r="EU135" s="36"/>
      <c r="EV135" s="36"/>
      <c r="EW135" s="36"/>
      <c r="EX135" s="36"/>
      <c r="EY135" s="36"/>
      <c r="EZ135" s="36"/>
      <c r="FA135" s="36"/>
      <c r="FB135" s="36"/>
      <c r="FC135" s="36"/>
      <c r="FD135" s="36"/>
      <c r="FE135" s="36"/>
      <c r="FF135" s="36"/>
      <c r="FG135" s="36"/>
      <c r="FH135" s="36"/>
      <c r="FI135" s="36"/>
    </row>
    <row r="136" spans="1:165">
      <c r="A136" s="55"/>
      <c r="B136" s="55" t="s">
        <v>205</v>
      </c>
      <c r="C136" s="55" t="s">
        <v>214</v>
      </c>
      <c r="D136" s="55" t="s">
        <v>837</v>
      </c>
      <c r="E136" s="55"/>
      <c r="F136" s="55"/>
      <c r="G136" s="55"/>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6"/>
      <c r="CX136" s="36"/>
      <c r="CY136" s="36"/>
      <c r="CZ136" s="36"/>
      <c r="DA136" s="36"/>
      <c r="DB136" s="36"/>
      <c r="DC136" s="36"/>
      <c r="DD136" s="36"/>
      <c r="DE136" s="36"/>
      <c r="DF136" s="36"/>
      <c r="DG136" s="36"/>
      <c r="DH136" s="36"/>
      <c r="DI136" s="36"/>
      <c r="DJ136" s="36"/>
      <c r="DK136" s="36"/>
      <c r="DL136" s="36"/>
      <c r="DM136" s="36"/>
      <c r="DN136" s="36"/>
      <c r="DO136" s="36"/>
      <c r="DP136" s="36"/>
      <c r="DQ136" s="36"/>
      <c r="DR136" s="36"/>
      <c r="DS136" s="36"/>
      <c r="DT136" s="36"/>
      <c r="DU136" s="36"/>
      <c r="DV136" s="36"/>
      <c r="DW136" s="36"/>
      <c r="DX136" s="36"/>
      <c r="DY136" s="36"/>
      <c r="DZ136" s="36"/>
      <c r="EA136" s="36"/>
      <c r="EB136" s="36"/>
      <c r="EC136" s="36"/>
      <c r="ED136" s="36"/>
      <c r="EE136" s="36"/>
      <c r="EF136" s="36"/>
      <c r="EG136" s="36"/>
      <c r="EH136" s="36"/>
      <c r="EI136" s="36"/>
      <c r="EJ136" s="36"/>
      <c r="EK136" s="36"/>
      <c r="EL136" s="36"/>
      <c r="EM136" s="36"/>
      <c r="EN136" s="36"/>
      <c r="EO136" s="36"/>
      <c r="EP136" s="36"/>
      <c r="EQ136" s="36"/>
      <c r="ER136" s="36"/>
      <c r="ES136" s="36"/>
      <c r="ET136" s="36"/>
      <c r="EU136" s="36"/>
      <c r="EV136" s="36"/>
      <c r="EW136" s="36"/>
      <c r="EX136" s="36"/>
      <c r="EY136" s="36"/>
      <c r="EZ136" s="36"/>
      <c r="FA136" s="36"/>
      <c r="FB136" s="36"/>
      <c r="FC136" s="36"/>
      <c r="FD136" s="36"/>
      <c r="FE136" s="36"/>
      <c r="FF136" s="36"/>
      <c r="FG136" s="36"/>
      <c r="FH136" s="36"/>
      <c r="FI136" s="36"/>
    </row>
    <row r="137" spans="1:165">
      <c r="A137" s="57"/>
      <c r="B137" s="57" t="s">
        <v>205</v>
      </c>
      <c r="C137" s="57" t="s">
        <v>215</v>
      </c>
      <c r="D137" s="57" t="s">
        <v>837</v>
      </c>
      <c r="E137" s="57"/>
      <c r="F137" s="57"/>
      <c r="G137" s="57"/>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c r="CZ137" s="36"/>
      <c r="DA137" s="36"/>
      <c r="DB137" s="36"/>
      <c r="DC137" s="36"/>
      <c r="DD137" s="36"/>
      <c r="DE137" s="36"/>
      <c r="DF137" s="36"/>
      <c r="DG137" s="36"/>
      <c r="DH137" s="36"/>
      <c r="DI137" s="36"/>
      <c r="DJ137" s="36"/>
      <c r="DK137" s="36"/>
      <c r="DL137" s="36"/>
      <c r="DM137" s="36"/>
      <c r="DN137" s="36"/>
      <c r="DO137" s="36"/>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row>
    <row r="138" spans="1:165">
      <c r="A138" s="55"/>
      <c r="B138" s="55" t="s">
        <v>205</v>
      </c>
      <c r="C138" s="55" t="s">
        <v>216</v>
      </c>
      <c r="D138" s="55" t="s">
        <v>837</v>
      </c>
      <c r="E138" s="55"/>
      <c r="F138" s="55"/>
      <c r="G138" s="55"/>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c r="DD138" s="36"/>
      <c r="DE138" s="36"/>
      <c r="DF138" s="36"/>
      <c r="DG138" s="36"/>
      <c r="DH138" s="36"/>
      <c r="DI138" s="36"/>
      <c r="DJ138" s="36"/>
      <c r="DK138" s="36"/>
      <c r="DL138" s="36"/>
      <c r="DM138" s="36"/>
      <c r="DN138" s="36"/>
      <c r="DO138" s="36"/>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row>
    <row r="139" spans="1:165">
      <c r="A139" s="57"/>
      <c r="B139" s="57" t="s">
        <v>205</v>
      </c>
      <c r="C139" s="57" t="s">
        <v>217</v>
      </c>
      <c r="D139" s="57" t="s">
        <v>837</v>
      </c>
      <c r="E139" s="57"/>
      <c r="F139" s="57"/>
      <c r="G139" s="57"/>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c r="DD139" s="36"/>
      <c r="DE139" s="36"/>
      <c r="DF139" s="36"/>
      <c r="DG139" s="36"/>
      <c r="DH139" s="36"/>
      <c r="DI139" s="36"/>
      <c r="DJ139" s="36"/>
      <c r="DK139" s="36"/>
      <c r="DL139" s="36"/>
      <c r="DM139" s="36"/>
      <c r="DN139" s="36"/>
      <c r="DO139" s="36"/>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row>
    <row r="140" spans="1:165">
      <c r="A140" s="55"/>
      <c r="B140" s="55" t="s">
        <v>205</v>
      </c>
      <c r="C140" s="55" t="s">
        <v>218</v>
      </c>
      <c r="D140" s="55" t="s">
        <v>825</v>
      </c>
      <c r="E140" s="55"/>
      <c r="F140" s="55"/>
      <c r="G140" s="55"/>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row>
    <row r="141" spans="1:165">
      <c r="A141" s="57"/>
      <c r="B141" s="57" t="s">
        <v>205</v>
      </c>
      <c r="C141" s="57" t="s">
        <v>219</v>
      </c>
      <c r="D141" s="57" t="s">
        <v>825</v>
      </c>
      <c r="E141" s="57"/>
      <c r="F141" s="57"/>
      <c r="G141" s="57"/>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c r="DC141" s="36"/>
      <c r="DD141" s="36"/>
      <c r="DE141" s="36"/>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row>
    <row r="142" spans="1:165">
      <c r="A142" s="55"/>
      <c r="B142" s="55" t="s">
        <v>205</v>
      </c>
      <c r="C142" s="55" t="s">
        <v>220</v>
      </c>
      <c r="D142" s="55" t="s">
        <v>825</v>
      </c>
      <c r="E142" s="55"/>
      <c r="F142" s="55"/>
      <c r="G142" s="55"/>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c r="EZ142" s="36"/>
      <c r="FA142" s="36"/>
      <c r="FB142" s="36"/>
      <c r="FC142" s="36"/>
      <c r="FD142" s="36"/>
      <c r="FE142" s="36"/>
      <c r="FF142" s="36"/>
      <c r="FG142" s="36"/>
      <c r="FH142" s="36"/>
      <c r="FI142" s="36"/>
    </row>
    <row r="143" spans="1:165">
      <c r="A143" s="57"/>
      <c r="B143" s="57" t="s">
        <v>205</v>
      </c>
      <c r="C143" s="57" t="s">
        <v>221</v>
      </c>
      <c r="D143" s="57" t="s">
        <v>825</v>
      </c>
      <c r="E143" s="57"/>
      <c r="F143" s="57" t="s">
        <v>933</v>
      </c>
      <c r="G143" s="57"/>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c r="EZ143" s="36"/>
      <c r="FA143" s="36"/>
      <c r="FB143" s="36"/>
      <c r="FC143" s="36"/>
      <c r="FD143" s="36"/>
      <c r="FE143" s="36"/>
      <c r="FF143" s="36"/>
      <c r="FG143" s="36"/>
      <c r="FH143" s="36"/>
      <c r="FI143" s="36"/>
    </row>
    <row r="144" spans="1:165">
      <c r="A144" s="55"/>
      <c r="B144" s="55" t="s">
        <v>205</v>
      </c>
      <c r="C144" s="55" t="s">
        <v>222</v>
      </c>
      <c r="D144" s="55" t="s">
        <v>825</v>
      </c>
      <c r="E144" s="55"/>
      <c r="F144" s="55" t="s">
        <v>933</v>
      </c>
      <c r="G144" s="55"/>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6"/>
      <c r="CX144" s="36"/>
      <c r="CY144" s="36"/>
      <c r="CZ144" s="36"/>
      <c r="DA144" s="36"/>
      <c r="DB144" s="36"/>
      <c r="DC144" s="36"/>
      <c r="DD144" s="36"/>
      <c r="DE144" s="36"/>
      <c r="DF144" s="36"/>
      <c r="DG144" s="36"/>
      <c r="DH144" s="36"/>
      <c r="DI144" s="36"/>
      <c r="DJ144" s="36"/>
      <c r="DK144" s="36"/>
      <c r="DL144" s="36"/>
      <c r="DM144" s="36"/>
      <c r="DN144" s="36"/>
      <c r="DO144" s="36"/>
      <c r="DP144" s="36"/>
      <c r="DQ144" s="36"/>
      <c r="DR144" s="36"/>
      <c r="DS144" s="36"/>
      <c r="DT144" s="36"/>
      <c r="DU144" s="36"/>
      <c r="DV144" s="36"/>
      <c r="DW144" s="36"/>
      <c r="DX144" s="36"/>
      <c r="DY144" s="36"/>
      <c r="DZ144" s="36"/>
      <c r="EA144" s="36"/>
      <c r="EB144" s="36"/>
      <c r="EC144" s="36"/>
      <c r="ED144" s="36"/>
      <c r="EE144" s="36"/>
      <c r="EF144" s="36"/>
      <c r="EG144" s="36"/>
      <c r="EH144" s="36"/>
      <c r="EI144" s="36"/>
      <c r="EJ144" s="36"/>
      <c r="EK144" s="36"/>
      <c r="EL144" s="36"/>
      <c r="EM144" s="36"/>
      <c r="EN144" s="36"/>
      <c r="EO144" s="36"/>
      <c r="EP144" s="36"/>
      <c r="EQ144" s="36"/>
      <c r="ER144" s="36"/>
      <c r="ES144" s="36"/>
      <c r="ET144" s="36"/>
      <c r="EU144" s="36"/>
      <c r="EV144" s="36"/>
      <c r="EW144" s="36"/>
      <c r="EX144" s="36"/>
      <c r="EY144" s="36"/>
      <c r="EZ144" s="36"/>
      <c r="FA144" s="36"/>
      <c r="FB144" s="36"/>
      <c r="FC144" s="36"/>
      <c r="FD144" s="36"/>
      <c r="FE144" s="36"/>
      <c r="FF144" s="36"/>
      <c r="FG144" s="36"/>
      <c r="FH144" s="36"/>
      <c r="FI144" s="36"/>
    </row>
    <row r="145" spans="1:165">
      <c r="A145" s="57"/>
      <c r="B145" s="57" t="s">
        <v>205</v>
      </c>
      <c r="C145" s="57" t="s">
        <v>223</v>
      </c>
      <c r="D145" s="57" t="s">
        <v>856</v>
      </c>
      <c r="E145" s="57"/>
      <c r="F145" s="57" t="s">
        <v>933</v>
      </c>
      <c r="G145" s="57"/>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row>
    <row r="146" spans="1:165">
      <c r="A146" s="55"/>
      <c r="B146" s="55" t="s">
        <v>205</v>
      </c>
      <c r="C146" s="55" t="s">
        <v>224</v>
      </c>
      <c r="D146" s="55" t="s">
        <v>828</v>
      </c>
      <c r="E146" s="55" t="s">
        <v>934</v>
      </c>
      <c r="F146" s="55" t="s">
        <v>933</v>
      </c>
      <c r="G146" s="55"/>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row>
    <row r="147" spans="1:165">
      <c r="A147" s="57"/>
      <c r="B147" s="57" t="s">
        <v>205</v>
      </c>
      <c r="C147" s="57" t="s">
        <v>225</v>
      </c>
      <c r="D147" s="57" t="s">
        <v>848</v>
      </c>
      <c r="E147" s="57"/>
      <c r="F147" s="57" t="s">
        <v>933</v>
      </c>
      <c r="G147" s="57"/>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row>
    <row r="148" spans="1:165">
      <c r="A148" s="55"/>
      <c r="B148" s="55" t="s">
        <v>205</v>
      </c>
      <c r="C148" s="55" t="s">
        <v>226</v>
      </c>
      <c r="D148" s="55" t="s">
        <v>825</v>
      </c>
      <c r="E148" s="55"/>
      <c r="F148" s="55" t="s">
        <v>935</v>
      </c>
      <c r="G148" s="55"/>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row>
    <row r="149" spans="1:165">
      <c r="A149" s="57"/>
      <c r="B149" s="57" t="s">
        <v>205</v>
      </c>
      <c r="C149" s="57" t="s">
        <v>227</v>
      </c>
      <c r="D149" s="57" t="s">
        <v>825</v>
      </c>
      <c r="E149" s="57"/>
      <c r="F149" s="57" t="s">
        <v>935</v>
      </c>
      <c r="G149" s="57"/>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row>
    <row r="150" spans="1:165">
      <c r="A150" s="55"/>
      <c r="B150" s="55" t="s">
        <v>205</v>
      </c>
      <c r="C150" s="55" t="s">
        <v>228</v>
      </c>
      <c r="D150" s="55" t="s">
        <v>825</v>
      </c>
      <c r="E150" s="55"/>
      <c r="F150" s="55" t="s">
        <v>935</v>
      </c>
      <c r="G150" s="55"/>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row>
    <row r="151" spans="1:165">
      <c r="A151" s="57"/>
      <c r="B151" s="57" t="s">
        <v>205</v>
      </c>
      <c r="C151" s="57" t="s">
        <v>229</v>
      </c>
      <c r="D151" s="57" t="s">
        <v>856</v>
      </c>
      <c r="E151" s="57"/>
      <c r="F151" s="57" t="s">
        <v>935</v>
      </c>
      <c r="G151" s="57"/>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row>
    <row r="152" spans="1:165">
      <c r="A152" s="55"/>
      <c r="B152" s="55" t="s">
        <v>205</v>
      </c>
      <c r="C152" s="55" t="s">
        <v>230</v>
      </c>
      <c r="D152" s="55" t="s">
        <v>848</v>
      </c>
      <c r="E152" s="55"/>
      <c r="F152" s="55" t="s">
        <v>935</v>
      </c>
      <c r="G152" s="55"/>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row>
    <row r="153" spans="1:165">
      <c r="A153" s="57"/>
      <c r="B153" s="57" t="s">
        <v>205</v>
      </c>
      <c r="C153" s="57" t="s">
        <v>231</v>
      </c>
      <c r="D153" s="57" t="s">
        <v>825</v>
      </c>
      <c r="E153" s="57"/>
      <c r="F153" s="57"/>
      <c r="G153" s="57"/>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c r="DJ153" s="36"/>
      <c r="DK153" s="36"/>
      <c r="DL153" s="36"/>
      <c r="DM153" s="36"/>
      <c r="DN153" s="36"/>
      <c r="DO153" s="36"/>
      <c r="DP153" s="36"/>
      <c r="DQ153" s="36"/>
      <c r="DR153" s="36"/>
      <c r="DS153" s="36"/>
      <c r="DT153" s="36"/>
      <c r="DU153" s="36"/>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row>
    <row r="154" spans="1:165">
      <c r="A154" s="55"/>
      <c r="B154" s="55" t="s">
        <v>205</v>
      </c>
      <c r="C154" s="55" t="s">
        <v>232</v>
      </c>
      <c r="D154" s="55" t="s">
        <v>825</v>
      </c>
      <c r="E154" s="55"/>
      <c r="F154" s="55"/>
      <c r="G154" s="55"/>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c r="DJ154" s="36"/>
      <c r="DK154" s="36"/>
      <c r="DL154" s="36"/>
      <c r="DM154" s="36"/>
      <c r="DN154" s="36"/>
      <c r="DO154" s="36"/>
      <c r="DP154" s="36"/>
      <c r="DQ154" s="36"/>
      <c r="DR154" s="36"/>
      <c r="DS154" s="36"/>
      <c r="DT154" s="36"/>
      <c r="DU154" s="36"/>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row>
    <row r="155" spans="1:165">
      <c r="A155" s="57"/>
      <c r="B155" s="57" t="s">
        <v>205</v>
      </c>
      <c r="C155" s="57" t="s">
        <v>233</v>
      </c>
      <c r="D155" s="57" t="s">
        <v>856</v>
      </c>
      <c r="E155" s="57"/>
      <c r="F155" s="57"/>
      <c r="G155" s="57"/>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row>
    <row r="156" spans="1:165">
      <c r="A156" s="55"/>
      <c r="B156" s="55" t="s">
        <v>205</v>
      </c>
      <c r="C156" s="55" t="s">
        <v>234</v>
      </c>
      <c r="D156" s="55" t="s">
        <v>825</v>
      </c>
      <c r="E156" s="55"/>
      <c r="F156" s="55"/>
      <c r="G156" s="55"/>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row>
    <row r="157" spans="1:165">
      <c r="A157" s="57"/>
      <c r="B157" s="57" t="s">
        <v>205</v>
      </c>
      <c r="C157" s="57" t="s">
        <v>235</v>
      </c>
      <c r="D157" s="57" t="s">
        <v>825</v>
      </c>
      <c r="E157" s="57"/>
      <c r="F157" s="57"/>
      <c r="G157" s="57"/>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c r="EO157" s="36"/>
      <c r="EP157" s="36"/>
      <c r="EQ157" s="36"/>
      <c r="ER157" s="36"/>
      <c r="ES157" s="36"/>
      <c r="ET157" s="36"/>
      <c r="EU157" s="36"/>
      <c r="EV157" s="36"/>
      <c r="EW157" s="36"/>
      <c r="EX157" s="36"/>
      <c r="EY157" s="36"/>
      <c r="EZ157" s="36"/>
      <c r="FA157" s="36"/>
      <c r="FB157" s="36"/>
      <c r="FC157" s="36"/>
      <c r="FD157" s="36"/>
      <c r="FE157" s="36"/>
      <c r="FF157" s="36"/>
      <c r="FG157" s="36"/>
      <c r="FH157" s="36"/>
      <c r="FI157" s="36"/>
    </row>
    <row r="158" spans="1:165">
      <c r="A158" s="55"/>
      <c r="B158" s="55" t="s">
        <v>205</v>
      </c>
      <c r="C158" s="55" t="s">
        <v>236</v>
      </c>
      <c r="D158" s="55" t="s">
        <v>839</v>
      </c>
      <c r="E158" s="55"/>
      <c r="F158" s="55"/>
      <c r="G158" s="55"/>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c r="EO158" s="36"/>
      <c r="EP158" s="36"/>
      <c r="EQ158" s="36"/>
      <c r="ER158" s="36"/>
      <c r="ES158" s="36"/>
      <c r="ET158" s="36"/>
      <c r="EU158" s="36"/>
      <c r="EV158" s="36"/>
      <c r="EW158" s="36"/>
      <c r="EX158" s="36"/>
      <c r="EY158" s="36"/>
      <c r="EZ158" s="36"/>
      <c r="FA158" s="36"/>
      <c r="FB158" s="36"/>
      <c r="FC158" s="36"/>
      <c r="FD158" s="36"/>
      <c r="FE158" s="36"/>
      <c r="FF158" s="36"/>
      <c r="FG158" s="36"/>
      <c r="FH158" s="36"/>
      <c r="FI158" s="36"/>
    </row>
    <row r="159" spans="1:165">
      <c r="A159" s="57"/>
      <c r="B159" s="57" t="s">
        <v>205</v>
      </c>
      <c r="C159" s="57" t="s">
        <v>237</v>
      </c>
      <c r="D159" s="57" t="s">
        <v>848</v>
      </c>
      <c r="E159" s="57"/>
      <c r="F159" s="57"/>
      <c r="G159" s="57"/>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row>
    <row r="160" spans="1:165">
      <c r="A160" s="55"/>
      <c r="B160" s="55" t="s">
        <v>205</v>
      </c>
      <c r="C160" s="55" t="s">
        <v>0</v>
      </c>
      <c r="D160" s="55" t="s">
        <v>825</v>
      </c>
      <c r="E160" s="55"/>
      <c r="F160" s="55"/>
      <c r="G160" s="55"/>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row>
    <row r="161" spans="1:165">
      <c r="A161" s="57"/>
      <c r="B161" s="57" t="s">
        <v>205</v>
      </c>
      <c r="C161" s="57" t="s">
        <v>238</v>
      </c>
      <c r="D161" s="57" t="s">
        <v>848</v>
      </c>
      <c r="E161" s="57"/>
      <c r="F161" s="57"/>
      <c r="G161" s="57"/>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row>
    <row r="162" spans="1:165">
      <c r="A162" s="55"/>
      <c r="B162" s="55" t="s">
        <v>205</v>
      </c>
      <c r="C162" s="55" t="s">
        <v>25</v>
      </c>
      <c r="D162" s="55" t="s">
        <v>825</v>
      </c>
      <c r="E162" s="55"/>
      <c r="F162" s="55"/>
      <c r="G162" s="55"/>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row>
    <row r="163" spans="1:165" ht="15">
      <c r="A163" s="45" t="s">
        <v>936</v>
      </c>
      <c r="B163" s="45"/>
      <c r="C163" s="45"/>
      <c r="D163" s="45"/>
      <c r="E163" s="45"/>
      <c r="F163" s="45"/>
      <c r="G163" s="45"/>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row>
    <row r="164" spans="1:165">
      <c r="A164" s="55"/>
      <c r="B164" s="55" t="s">
        <v>1</v>
      </c>
      <c r="C164" s="55" t="s">
        <v>56</v>
      </c>
      <c r="D164" s="55" t="s">
        <v>825</v>
      </c>
      <c r="E164" s="55" t="s">
        <v>826</v>
      </c>
      <c r="F164" s="55"/>
      <c r="G164" s="55"/>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row>
    <row r="165" spans="1:165">
      <c r="A165" s="57"/>
      <c r="B165" s="57" t="s">
        <v>1</v>
      </c>
      <c r="C165" s="57" t="s">
        <v>57</v>
      </c>
      <c r="D165" s="57" t="s">
        <v>825</v>
      </c>
      <c r="E165" s="57" t="s">
        <v>826</v>
      </c>
      <c r="F165" s="57" t="s">
        <v>855</v>
      </c>
      <c r="G165" s="57"/>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c r="EO165" s="36"/>
      <c r="EP165" s="36"/>
      <c r="EQ165" s="36"/>
      <c r="ER165" s="36"/>
      <c r="ES165" s="36"/>
      <c r="ET165" s="36"/>
      <c r="EU165" s="36"/>
      <c r="EV165" s="36"/>
      <c r="EW165" s="36"/>
      <c r="EX165" s="36"/>
      <c r="EY165" s="36"/>
      <c r="EZ165" s="36"/>
      <c r="FA165" s="36"/>
      <c r="FB165" s="36"/>
      <c r="FC165" s="36"/>
      <c r="FD165" s="36"/>
      <c r="FE165" s="36"/>
      <c r="FF165" s="36"/>
      <c r="FG165" s="36"/>
      <c r="FH165" s="36"/>
      <c r="FI165" s="36"/>
    </row>
    <row r="166" spans="1:165">
      <c r="A166" s="55"/>
      <c r="B166" s="55" t="s">
        <v>1</v>
      </c>
      <c r="C166" s="55" t="s">
        <v>58</v>
      </c>
      <c r="D166" s="55" t="s">
        <v>839</v>
      </c>
      <c r="E166" s="55" t="s">
        <v>83</v>
      </c>
      <c r="F166" s="55"/>
      <c r="G166" s="55"/>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c r="EO166" s="36"/>
      <c r="EP166" s="36"/>
      <c r="EQ166" s="36"/>
      <c r="ER166" s="36"/>
      <c r="ES166" s="36"/>
      <c r="ET166" s="36"/>
      <c r="EU166" s="36"/>
      <c r="EV166" s="36"/>
      <c r="EW166" s="36"/>
      <c r="EX166" s="36"/>
      <c r="EY166" s="36"/>
      <c r="EZ166" s="36"/>
      <c r="FA166" s="36"/>
      <c r="FB166" s="36"/>
      <c r="FC166" s="36"/>
      <c r="FD166" s="36"/>
      <c r="FE166" s="36"/>
      <c r="FF166" s="36"/>
      <c r="FG166" s="36"/>
      <c r="FH166" s="36"/>
      <c r="FI166" s="36"/>
    </row>
    <row r="167" spans="1:165">
      <c r="A167" s="57"/>
      <c r="B167" s="57" t="s">
        <v>1</v>
      </c>
      <c r="C167" s="57" t="s">
        <v>59</v>
      </c>
      <c r="D167" s="57" t="s">
        <v>828</v>
      </c>
      <c r="E167" s="57" t="s">
        <v>937</v>
      </c>
      <c r="F167" s="57" t="s">
        <v>938</v>
      </c>
      <c r="G167" s="57"/>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row>
    <row r="168" spans="1:165">
      <c r="A168" s="55"/>
      <c r="B168" s="55" t="s">
        <v>1</v>
      </c>
      <c r="C168" s="55" t="s">
        <v>939</v>
      </c>
      <c r="D168" s="55" t="s">
        <v>825</v>
      </c>
      <c r="E168" s="55"/>
      <c r="F168" s="55"/>
      <c r="G168" s="55"/>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row>
    <row r="169" spans="1:165">
      <c r="A169" s="57"/>
      <c r="B169" s="57" t="s">
        <v>1</v>
      </c>
      <c r="C169" s="57" t="s">
        <v>60</v>
      </c>
      <c r="D169" s="57" t="s">
        <v>825</v>
      </c>
      <c r="E169" s="57"/>
      <c r="F169" s="57"/>
      <c r="G169" s="57"/>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row>
    <row r="170" spans="1:165">
      <c r="A170" s="55"/>
      <c r="B170" s="55" t="s">
        <v>1</v>
      </c>
      <c r="C170" s="55" t="s">
        <v>61</v>
      </c>
      <c r="D170" s="55" t="s">
        <v>837</v>
      </c>
      <c r="E170" s="55">
        <v>100000</v>
      </c>
      <c r="F170" s="55"/>
      <c r="G170" s="55"/>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row>
    <row r="171" spans="1:165">
      <c r="A171" s="57"/>
      <c r="B171" s="57" t="s">
        <v>1</v>
      </c>
      <c r="C171" s="57" t="s">
        <v>62</v>
      </c>
      <c r="D171" s="57" t="s">
        <v>837</v>
      </c>
      <c r="E171" s="57">
        <v>10000</v>
      </c>
      <c r="F171" s="57"/>
      <c r="G171" s="57"/>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row>
    <row r="172" spans="1:165">
      <c r="A172" s="55"/>
      <c r="B172" s="55" t="s">
        <v>1</v>
      </c>
      <c r="C172" s="55" t="s">
        <v>63</v>
      </c>
      <c r="D172" s="55" t="s">
        <v>837</v>
      </c>
      <c r="E172" s="55">
        <v>90000</v>
      </c>
      <c r="F172" s="55"/>
      <c r="G172" s="55"/>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row>
    <row r="173" spans="1:165">
      <c r="A173" s="57"/>
      <c r="B173" s="57" t="s">
        <v>1</v>
      </c>
      <c r="C173" s="57" t="s">
        <v>64</v>
      </c>
      <c r="D173" s="57" t="s">
        <v>837</v>
      </c>
      <c r="E173" s="57">
        <v>150000</v>
      </c>
      <c r="F173" s="57" t="s">
        <v>940</v>
      </c>
      <c r="G173" s="57"/>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c r="EO173" s="36"/>
      <c r="EP173" s="36"/>
      <c r="EQ173" s="36"/>
      <c r="ER173" s="36"/>
      <c r="ES173" s="36"/>
      <c r="ET173" s="36"/>
      <c r="EU173" s="36"/>
      <c r="EV173" s="36"/>
      <c r="EW173" s="36"/>
      <c r="EX173" s="36"/>
      <c r="EY173" s="36"/>
      <c r="EZ173" s="36"/>
      <c r="FA173" s="36"/>
      <c r="FB173" s="36"/>
      <c r="FC173" s="36"/>
      <c r="FD173" s="36"/>
      <c r="FE173" s="36"/>
      <c r="FF173" s="36"/>
      <c r="FG173" s="36"/>
      <c r="FH173" s="36"/>
      <c r="FI173" s="36"/>
    </row>
    <row r="174" spans="1:165">
      <c r="A174" s="55"/>
      <c r="B174" s="55" t="s">
        <v>1</v>
      </c>
      <c r="C174" s="55" t="s">
        <v>65</v>
      </c>
      <c r="D174" s="55" t="s">
        <v>828</v>
      </c>
      <c r="E174" s="55" t="s">
        <v>941</v>
      </c>
      <c r="F174" s="55"/>
      <c r="G174" s="55"/>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c r="EO174" s="36"/>
      <c r="EP174" s="36"/>
      <c r="EQ174" s="36"/>
      <c r="ER174" s="36"/>
      <c r="ES174" s="36"/>
      <c r="ET174" s="36"/>
      <c r="EU174" s="36"/>
      <c r="EV174" s="36"/>
      <c r="EW174" s="36"/>
      <c r="EX174" s="36"/>
      <c r="EY174" s="36"/>
      <c r="EZ174" s="36"/>
      <c r="FA174" s="36"/>
      <c r="FB174" s="36"/>
      <c r="FC174" s="36"/>
      <c r="FD174" s="36"/>
      <c r="FE174" s="36"/>
      <c r="FF174" s="36"/>
      <c r="FG174" s="36"/>
      <c r="FH174" s="36"/>
      <c r="FI174" s="36"/>
    </row>
    <row r="175" spans="1:165">
      <c r="A175" s="57"/>
      <c r="B175" s="57" t="s">
        <v>1</v>
      </c>
      <c r="C175" s="57" t="s">
        <v>55</v>
      </c>
      <c r="D175" s="57" t="s">
        <v>828</v>
      </c>
      <c r="E175" s="57" t="s">
        <v>942</v>
      </c>
      <c r="F175" s="57"/>
      <c r="G175" s="57"/>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c r="CV175" s="36"/>
      <c r="CW175" s="36"/>
      <c r="CX175" s="36"/>
      <c r="CY175" s="36"/>
      <c r="CZ175" s="36"/>
      <c r="DA175" s="36"/>
      <c r="DB175" s="36"/>
      <c r="DC175" s="36"/>
      <c r="DD175" s="36"/>
      <c r="DE175" s="36"/>
      <c r="DF175" s="36"/>
      <c r="DG175" s="36"/>
      <c r="DH175" s="36"/>
      <c r="DI175" s="36"/>
      <c r="DJ175" s="36"/>
      <c r="DK175" s="36"/>
      <c r="DL175" s="36"/>
      <c r="DM175" s="36"/>
      <c r="DN175" s="36"/>
      <c r="DO175" s="36"/>
      <c r="DP175" s="36"/>
      <c r="DQ175" s="36"/>
      <c r="DR175" s="36"/>
      <c r="DS175" s="36"/>
      <c r="DT175" s="36"/>
      <c r="DU175" s="36"/>
      <c r="DV175" s="36"/>
      <c r="DW175" s="36"/>
      <c r="DX175" s="36"/>
      <c r="DY175" s="36"/>
      <c r="DZ175" s="36"/>
      <c r="EA175" s="36"/>
      <c r="EB175" s="36"/>
      <c r="EC175" s="36"/>
      <c r="ED175" s="36"/>
      <c r="EE175" s="36"/>
      <c r="EF175" s="36"/>
      <c r="EG175" s="36"/>
      <c r="EH175" s="36"/>
      <c r="EI175" s="36"/>
      <c r="EJ175" s="36"/>
      <c r="EK175" s="36"/>
      <c r="EL175" s="36"/>
      <c r="EM175" s="36"/>
      <c r="EN175" s="36"/>
      <c r="EO175" s="36"/>
      <c r="EP175" s="36"/>
      <c r="EQ175" s="36"/>
      <c r="ER175" s="36"/>
      <c r="ES175" s="36"/>
      <c r="ET175" s="36"/>
      <c r="EU175" s="36"/>
      <c r="EV175" s="36"/>
      <c r="EW175" s="36"/>
      <c r="EX175" s="36"/>
      <c r="EY175" s="36"/>
      <c r="EZ175" s="36"/>
      <c r="FA175" s="36"/>
      <c r="FB175" s="36"/>
      <c r="FC175" s="36"/>
      <c r="FD175" s="36"/>
      <c r="FE175" s="36"/>
      <c r="FF175" s="36"/>
      <c r="FG175" s="36"/>
      <c r="FH175" s="36"/>
      <c r="FI175" s="36"/>
    </row>
    <row r="176" spans="1:165">
      <c r="A176" s="55"/>
      <c r="B176" s="55" t="s">
        <v>1</v>
      </c>
      <c r="C176" s="55" t="s">
        <v>66</v>
      </c>
      <c r="D176" s="55" t="s">
        <v>839</v>
      </c>
      <c r="E176" s="55"/>
      <c r="F176" s="55"/>
      <c r="G176" s="55"/>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36"/>
      <c r="BW176" s="36"/>
      <c r="BX176" s="36"/>
      <c r="BY176" s="36"/>
      <c r="BZ176" s="36"/>
      <c r="CA176" s="36"/>
      <c r="CB176" s="36"/>
      <c r="CC176" s="36"/>
      <c r="CD176" s="36"/>
      <c r="CE176" s="36"/>
      <c r="CF176" s="36"/>
      <c r="CG176" s="36"/>
      <c r="CH176" s="36"/>
      <c r="CI176" s="36"/>
      <c r="CJ176" s="36"/>
      <c r="CK176" s="36"/>
      <c r="CL176" s="36"/>
      <c r="CM176" s="36"/>
      <c r="CN176" s="36"/>
      <c r="CO176" s="36"/>
      <c r="CP176" s="36"/>
      <c r="CQ176" s="36"/>
      <c r="CR176" s="36"/>
      <c r="CS176" s="36"/>
      <c r="CT176" s="36"/>
      <c r="CU176" s="36"/>
      <c r="CV176" s="36"/>
      <c r="CW176" s="36"/>
      <c r="CX176" s="36"/>
      <c r="CY176" s="36"/>
      <c r="CZ176" s="36"/>
      <c r="DA176" s="36"/>
      <c r="DB176" s="36"/>
      <c r="DC176" s="36"/>
      <c r="DD176" s="36"/>
      <c r="DE176" s="36"/>
      <c r="DF176" s="36"/>
      <c r="DG176" s="36"/>
      <c r="DH176" s="36"/>
      <c r="DI176" s="36"/>
      <c r="DJ176" s="36"/>
      <c r="DK176" s="36"/>
      <c r="DL176" s="36"/>
      <c r="DM176" s="36"/>
      <c r="DN176" s="36"/>
      <c r="DO176" s="36"/>
      <c r="DP176" s="36"/>
      <c r="DQ176" s="36"/>
      <c r="DR176" s="36"/>
      <c r="DS176" s="36"/>
      <c r="DT176" s="36"/>
      <c r="DU176" s="36"/>
      <c r="DV176" s="36"/>
      <c r="DW176" s="36"/>
      <c r="DX176" s="36"/>
      <c r="DY176" s="36"/>
      <c r="DZ176" s="36"/>
      <c r="EA176" s="36"/>
      <c r="EB176" s="36"/>
      <c r="EC176" s="36"/>
      <c r="ED176" s="36"/>
      <c r="EE176" s="36"/>
      <c r="EF176" s="36"/>
      <c r="EG176" s="36"/>
      <c r="EH176" s="36"/>
      <c r="EI176" s="36"/>
      <c r="EJ176" s="36"/>
      <c r="EK176" s="36"/>
      <c r="EL176" s="36"/>
      <c r="EM176" s="36"/>
      <c r="EN176" s="36"/>
      <c r="EO176" s="36"/>
      <c r="EP176" s="36"/>
      <c r="EQ176" s="36"/>
      <c r="ER176" s="36"/>
      <c r="ES176" s="36"/>
      <c r="ET176" s="36"/>
      <c r="EU176" s="36"/>
      <c r="EV176" s="36"/>
      <c r="EW176" s="36"/>
      <c r="EX176" s="36"/>
      <c r="EY176" s="36"/>
      <c r="EZ176" s="36"/>
      <c r="FA176" s="36"/>
      <c r="FB176" s="36"/>
      <c r="FC176" s="36"/>
      <c r="FD176" s="36"/>
      <c r="FE176" s="36"/>
      <c r="FF176" s="36"/>
      <c r="FG176" s="36"/>
      <c r="FH176" s="36"/>
      <c r="FI176" s="36"/>
    </row>
    <row r="177" spans="1:165">
      <c r="A177" s="57"/>
      <c r="B177" s="57" t="s">
        <v>1</v>
      </c>
      <c r="C177" s="57" t="s">
        <v>67</v>
      </c>
      <c r="D177" s="57" t="s">
        <v>828</v>
      </c>
      <c r="E177" s="57" t="s">
        <v>943</v>
      </c>
      <c r="F177" s="57"/>
      <c r="G177" s="57"/>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row>
    <row r="178" spans="1:165">
      <c r="A178" s="55"/>
      <c r="B178" s="55" t="s">
        <v>1</v>
      </c>
      <c r="C178" s="55" t="s">
        <v>68</v>
      </c>
      <c r="D178" s="55" t="s">
        <v>825</v>
      </c>
      <c r="E178" s="55" t="s">
        <v>85</v>
      </c>
      <c r="F178" s="55"/>
      <c r="G178" s="55"/>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row>
    <row r="179" spans="1:165">
      <c r="A179" s="57"/>
      <c r="B179" s="57" t="s">
        <v>1</v>
      </c>
      <c r="C179" s="57" t="s">
        <v>69</v>
      </c>
      <c r="D179" s="57" t="s">
        <v>825</v>
      </c>
      <c r="E179" s="57" t="s">
        <v>86</v>
      </c>
      <c r="F179" s="57"/>
      <c r="G179" s="57"/>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row>
    <row r="180" spans="1:165">
      <c r="A180" s="55"/>
      <c r="B180" s="55" t="s">
        <v>1</v>
      </c>
      <c r="C180" s="55" t="s">
        <v>70</v>
      </c>
      <c r="D180" s="55" t="s">
        <v>825</v>
      </c>
      <c r="E180" s="55" t="s">
        <v>76</v>
      </c>
      <c r="F180" s="55"/>
      <c r="G180" s="55"/>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row>
    <row r="181" spans="1:165">
      <c r="A181" s="57"/>
      <c r="B181" s="57" t="s">
        <v>1</v>
      </c>
      <c r="C181" s="57" t="s">
        <v>71</v>
      </c>
      <c r="D181" s="57" t="s">
        <v>837</v>
      </c>
      <c r="E181" s="57">
        <v>10000</v>
      </c>
      <c r="F181" s="57"/>
      <c r="G181" s="57"/>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row>
    <row r="182" spans="1:165">
      <c r="A182" s="55"/>
      <c r="B182" s="55" t="s">
        <v>1</v>
      </c>
      <c r="C182" s="55" t="s">
        <v>72</v>
      </c>
      <c r="D182" s="55" t="s">
        <v>839</v>
      </c>
      <c r="E182" s="55"/>
      <c r="F182" s="55"/>
      <c r="G182" s="55"/>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row>
    <row r="183" spans="1:165" ht="25.5">
      <c r="A183" s="57"/>
      <c r="B183" s="57" t="s">
        <v>1</v>
      </c>
      <c r="C183" s="57" t="s">
        <v>73</v>
      </c>
      <c r="D183" s="57" t="s">
        <v>825</v>
      </c>
      <c r="E183" s="57" t="s">
        <v>87</v>
      </c>
      <c r="F183" s="57"/>
      <c r="G183" s="57" t="s">
        <v>944</v>
      </c>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row>
    <row r="184" spans="1:165">
      <c r="A184" s="55"/>
      <c r="B184" s="55" t="s">
        <v>1</v>
      </c>
      <c r="C184" s="55" t="s">
        <v>25</v>
      </c>
      <c r="D184" s="55" t="s">
        <v>825</v>
      </c>
      <c r="E184" s="55"/>
      <c r="F184" s="55"/>
      <c r="G184" s="55"/>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row>
    <row r="185" spans="1:165" ht="15">
      <c r="A185" s="47" t="s">
        <v>945</v>
      </c>
      <c r="B185" s="47"/>
      <c r="C185" s="47"/>
      <c r="D185" s="47"/>
      <c r="E185" s="47"/>
      <c r="F185" s="47"/>
      <c r="G185" s="47"/>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row>
    <row r="186" spans="1:165">
      <c r="A186" s="55"/>
      <c r="B186" s="55" t="s">
        <v>946</v>
      </c>
      <c r="C186" s="55" t="s">
        <v>196</v>
      </c>
      <c r="D186" s="55" t="s">
        <v>825</v>
      </c>
      <c r="E186" s="55" t="s">
        <v>947</v>
      </c>
      <c r="F186" s="55" t="s">
        <v>855</v>
      </c>
      <c r="G186" s="55"/>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row>
    <row r="187" spans="1:165">
      <c r="A187" s="57"/>
      <c r="B187" s="57" t="s">
        <v>946</v>
      </c>
      <c r="C187" s="57" t="s">
        <v>197</v>
      </c>
      <c r="D187" s="57" t="s">
        <v>839</v>
      </c>
      <c r="E187" s="57" t="s">
        <v>83</v>
      </c>
      <c r="F187" s="57"/>
      <c r="G187" s="57"/>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row>
    <row r="188" spans="1:165">
      <c r="A188" s="55"/>
      <c r="B188" s="55" t="s">
        <v>946</v>
      </c>
      <c r="C188" s="55" t="s">
        <v>198</v>
      </c>
      <c r="D188" s="55" t="s">
        <v>828</v>
      </c>
      <c r="E188" s="55" t="s">
        <v>948</v>
      </c>
      <c r="F188" s="55"/>
      <c r="G188" s="55" t="s">
        <v>861</v>
      </c>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row>
    <row r="189" spans="1:165">
      <c r="A189" s="57"/>
      <c r="B189" s="57" t="s">
        <v>946</v>
      </c>
      <c r="C189" s="57" t="s">
        <v>199</v>
      </c>
      <c r="D189" s="57" t="s">
        <v>825</v>
      </c>
      <c r="E189" s="57" t="s">
        <v>949</v>
      </c>
      <c r="F189" s="57"/>
      <c r="G189" s="57"/>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c r="ER189" s="36"/>
      <c r="ES189" s="36"/>
      <c r="ET189" s="36"/>
      <c r="EU189" s="36"/>
      <c r="EV189" s="36"/>
      <c r="EW189" s="36"/>
      <c r="EX189" s="36"/>
      <c r="EY189" s="36"/>
      <c r="EZ189" s="36"/>
      <c r="FA189" s="36"/>
      <c r="FB189" s="36"/>
      <c r="FC189" s="36"/>
      <c r="FD189" s="36"/>
      <c r="FE189" s="36"/>
      <c r="FF189" s="36"/>
      <c r="FG189" s="36"/>
      <c r="FH189" s="36"/>
      <c r="FI189" s="36"/>
    </row>
    <row r="190" spans="1:165">
      <c r="A190" s="55"/>
      <c r="B190" s="55" t="s">
        <v>946</v>
      </c>
      <c r="C190" s="55" t="s">
        <v>928</v>
      </c>
      <c r="D190" s="55" t="s">
        <v>825</v>
      </c>
      <c r="E190" s="55"/>
      <c r="F190" s="55"/>
      <c r="G190" s="55"/>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c r="ER190" s="36"/>
      <c r="ES190" s="36"/>
      <c r="ET190" s="36"/>
      <c r="EU190" s="36"/>
      <c r="EV190" s="36"/>
      <c r="EW190" s="36"/>
      <c r="EX190" s="36"/>
      <c r="EY190" s="36"/>
      <c r="EZ190" s="36"/>
      <c r="FA190" s="36"/>
      <c r="FB190" s="36"/>
      <c r="FC190" s="36"/>
      <c r="FD190" s="36"/>
      <c r="FE190" s="36"/>
      <c r="FF190" s="36"/>
      <c r="FG190" s="36"/>
      <c r="FH190" s="36"/>
      <c r="FI190" s="36"/>
    </row>
    <row r="191" spans="1:165">
      <c r="A191" s="57"/>
      <c r="B191" s="57" t="s">
        <v>946</v>
      </c>
      <c r="C191" s="57" t="s">
        <v>200</v>
      </c>
      <c r="D191" s="57" t="s">
        <v>825</v>
      </c>
      <c r="E191" s="57"/>
      <c r="F191" s="57"/>
      <c r="G191" s="57"/>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c r="CO191" s="36"/>
      <c r="CP191" s="36"/>
      <c r="CQ191" s="36"/>
      <c r="CR191" s="36"/>
      <c r="CS191" s="36"/>
      <c r="CT191" s="36"/>
      <c r="CU191" s="36"/>
      <c r="CV191" s="36"/>
      <c r="CW191" s="36"/>
      <c r="CX191" s="36"/>
      <c r="CY191" s="36"/>
      <c r="CZ191" s="36"/>
      <c r="DA191" s="36"/>
      <c r="DB191" s="36"/>
      <c r="DC191" s="36"/>
      <c r="DD191" s="36"/>
      <c r="DE191" s="36"/>
      <c r="DF191" s="36"/>
      <c r="DG191" s="36"/>
      <c r="DH191" s="36"/>
      <c r="DI191" s="36"/>
      <c r="DJ191" s="36"/>
      <c r="DK191" s="36"/>
      <c r="DL191" s="36"/>
      <c r="DM191" s="36"/>
      <c r="DN191" s="36"/>
      <c r="DO191" s="36"/>
      <c r="DP191" s="36"/>
      <c r="DQ191" s="36"/>
      <c r="DR191" s="36"/>
      <c r="DS191" s="36"/>
      <c r="DT191" s="36"/>
      <c r="DU191" s="36"/>
      <c r="DV191" s="36"/>
      <c r="DW191" s="36"/>
      <c r="DX191" s="36"/>
      <c r="DY191" s="36"/>
      <c r="DZ191" s="36"/>
      <c r="EA191" s="36"/>
      <c r="EB191" s="36"/>
      <c r="EC191" s="36"/>
      <c r="ED191" s="36"/>
      <c r="EE191" s="36"/>
      <c r="EF191" s="36"/>
      <c r="EG191" s="36"/>
      <c r="EH191" s="36"/>
      <c r="EI191" s="36"/>
      <c r="EJ191" s="36"/>
      <c r="EK191" s="36"/>
      <c r="EL191" s="36"/>
      <c r="EM191" s="36"/>
      <c r="EN191" s="36"/>
      <c r="EO191" s="36"/>
      <c r="EP191" s="36"/>
      <c r="EQ191" s="36"/>
      <c r="ER191" s="36"/>
      <c r="ES191" s="36"/>
      <c r="ET191" s="36"/>
      <c r="EU191" s="36"/>
      <c r="EV191" s="36"/>
      <c r="EW191" s="36"/>
      <c r="EX191" s="36"/>
      <c r="EY191" s="36"/>
      <c r="EZ191" s="36"/>
      <c r="FA191" s="36"/>
      <c r="FB191" s="36"/>
      <c r="FC191" s="36"/>
      <c r="FD191" s="36"/>
      <c r="FE191" s="36"/>
      <c r="FF191" s="36"/>
      <c r="FG191" s="36"/>
      <c r="FH191" s="36"/>
      <c r="FI191" s="36"/>
    </row>
    <row r="192" spans="1:165">
      <c r="A192" s="55"/>
      <c r="B192" s="55" t="s">
        <v>946</v>
      </c>
      <c r="C192" s="55" t="s">
        <v>201</v>
      </c>
      <c r="D192" s="55" t="s">
        <v>837</v>
      </c>
      <c r="E192" s="55"/>
      <c r="F192" s="55"/>
      <c r="G192" s="55"/>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c r="CO192" s="36"/>
      <c r="CP192" s="36"/>
      <c r="CQ192" s="36"/>
      <c r="CR192" s="36"/>
      <c r="CS192" s="36"/>
      <c r="CT192" s="36"/>
      <c r="CU192" s="36"/>
      <c r="CV192" s="36"/>
      <c r="CW192" s="36"/>
      <c r="CX192" s="36"/>
      <c r="CY192" s="36"/>
      <c r="CZ192" s="36"/>
      <c r="DA192" s="36"/>
      <c r="DB192" s="36"/>
      <c r="DC192" s="36"/>
      <c r="DD192" s="36"/>
      <c r="DE192" s="36"/>
      <c r="DF192" s="36"/>
      <c r="DG192" s="36"/>
      <c r="DH192" s="36"/>
      <c r="DI192" s="36"/>
      <c r="DJ192" s="36"/>
      <c r="DK192" s="36"/>
      <c r="DL192" s="36"/>
      <c r="DM192" s="36"/>
      <c r="DN192" s="36"/>
      <c r="DO192" s="36"/>
      <c r="DP192" s="36"/>
      <c r="DQ192" s="36"/>
      <c r="DR192" s="36"/>
      <c r="DS192" s="36"/>
      <c r="DT192" s="36"/>
      <c r="DU192" s="36"/>
      <c r="DV192" s="36"/>
      <c r="DW192" s="36"/>
      <c r="DX192" s="36"/>
      <c r="DY192" s="36"/>
      <c r="DZ192" s="36"/>
      <c r="EA192" s="36"/>
      <c r="EB192" s="36"/>
      <c r="EC192" s="36"/>
      <c r="ED192" s="36"/>
      <c r="EE192" s="36"/>
      <c r="EF192" s="36"/>
      <c r="EG192" s="36"/>
      <c r="EH192" s="36"/>
      <c r="EI192" s="36"/>
      <c r="EJ192" s="36"/>
      <c r="EK192" s="36"/>
      <c r="EL192" s="36"/>
      <c r="EM192" s="36"/>
      <c r="EN192" s="36"/>
      <c r="EO192" s="36"/>
      <c r="EP192" s="36"/>
      <c r="EQ192" s="36"/>
      <c r="ER192" s="36"/>
      <c r="ES192" s="36"/>
      <c r="ET192" s="36"/>
      <c r="EU192" s="36"/>
      <c r="EV192" s="36"/>
      <c r="EW192" s="36"/>
      <c r="EX192" s="36"/>
      <c r="EY192" s="36"/>
      <c r="EZ192" s="36"/>
      <c r="FA192" s="36"/>
      <c r="FB192" s="36"/>
      <c r="FC192" s="36"/>
      <c r="FD192" s="36"/>
      <c r="FE192" s="36"/>
      <c r="FF192" s="36"/>
      <c r="FG192" s="36"/>
      <c r="FH192" s="36"/>
      <c r="FI192" s="36"/>
    </row>
    <row r="193" spans="1:165" ht="15">
      <c r="A193" s="49" t="s">
        <v>950</v>
      </c>
      <c r="B193" s="49"/>
      <c r="C193" s="49"/>
      <c r="D193" s="49"/>
      <c r="E193" s="49"/>
      <c r="F193" s="49"/>
      <c r="G193" s="49"/>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row>
    <row r="194" spans="1:165">
      <c r="A194" s="55"/>
      <c r="B194" s="55" t="s">
        <v>149</v>
      </c>
      <c r="C194" s="55" t="s">
        <v>162</v>
      </c>
      <c r="D194" s="55" t="s">
        <v>825</v>
      </c>
      <c r="E194" s="55" t="s">
        <v>826</v>
      </c>
      <c r="F194" s="55"/>
      <c r="G194" s="55"/>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row>
    <row r="195" spans="1:165">
      <c r="A195" s="57"/>
      <c r="B195" s="57" t="s">
        <v>149</v>
      </c>
      <c r="C195" s="57" t="s">
        <v>3</v>
      </c>
      <c r="D195" s="57" t="s">
        <v>828</v>
      </c>
      <c r="E195" s="57" t="s">
        <v>951</v>
      </c>
      <c r="F195" s="57"/>
      <c r="G195" s="57"/>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row>
    <row r="196" spans="1:165">
      <c r="A196" s="55"/>
      <c r="B196" s="55" t="s">
        <v>149</v>
      </c>
      <c r="C196" s="55" t="s">
        <v>163</v>
      </c>
      <c r="D196" s="55" t="s">
        <v>839</v>
      </c>
      <c r="E196" s="55" t="s">
        <v>83</v>
      </c>
      <c r="F196" s="55"/>
      <c r="G196" s="55"/>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row>
    <row r="197" spans="1:165">
      <c r="A197" s="57"/>
      <c r="B197" s="57" t="s">
        <v>149</v>
      </c>
      <c r="C197" s="57" t="s">
        <v>164</v>
      </c>
      <c r="D197" s="57" t="s">
        <v>825</v>
      </c>
      <c r="E197" s="57"/>
      <c r="F197" s="57"/>
      <c r="G197" s="57"/>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row>
    <row r="198" spans="1:165">
      <c r="A198" s="55"/>
      <c r="B198" s="55" t="s">
        <v>149</v>
      </c>
      <c r="C198" s="55" t="s">
        <v>165</v>
      </c>
      <c r="D198" s="55" t="s">
        <v>825</v>
      </c>
      <c r="E198" s="55"/>
      <c r="F198" s="55"/>
      <c r="G198" s="55"/>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row>
    <row r="199" spans="1:165">
      <c r="A199" s="57"/>
      <c r="B199" s="57" t="s">
        <v>149</v>
      </c>
      <c r="C199" s="57" t="s">
        <v>166</v>
      </c>
      <c r="D199" s="57" t="s">
        <v>825</v>
      </c>
      <c r="E199" s="57" t="s">
        <v>184</v>
      </c>
      <c r="F199" s="57"/>
      <c r="G199" s="57"/>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c r="ER199" s="36"/>
      <c r="ES199" s="36"/>
      <c r="ET199" s="36"/>
      <c r="EU199" s="36"/>
      <c r="EV199" s="36"/>
      <c r="EW199" s="36"/>
      <c r="EX199" s="36"/>
      <c r="EY199" s="36"/>
      <c r="EZ199" s="36"/>
      <c r="FA199" s="36"/>
      <c r="FB199" s="36"/>
      <c r="FC199" s="36"/>
      <c r="FD199" s="36"/>
      <c r="FE199" s="36"/>
      <c r="FF199" s="36"/>
      <c r="FG199" s="36"/>
      <c r="FH199" s="36"/>
      <c r="FI199" s="36"/>
    </row>
    <row r="200" spans="1:165">
      <c r="A200" s="55"/>
      <c r="B200" s="55" t="s">
        <v>149</v>
      </c>
      <c r="C200" s="55" t="s">
        <v>167</v>
      </c>
      <c r="D200" s="55" t="s">
        <v>837</v>
      </c>
      <c r="E200" s="55">
        <v>1000</v>
      </c>
      <c r="F200" s="55"/>
      <c r="G200" s="55"/>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c r="ER200" s="36"/>
      <c r="ES200" s="36"/>
      <c r="ET200" s="36"/>
      <c r="EU200" s="36"/>
      <c r="EV200" s="36"/>
      <c r="EW200" s="36"/>
      <c r="EX200" s="36"/>
      <c r="EY200" s="36"/>
      <c r="EZ200" s="36"/>
      <c r="FA200" s="36"/>
      <c r="FB200" s="36"/>
      <c r="FC200" s="36"/>
      <c r="FD200" s="36"/>
      <c r="FE200" s="36"/>
      <c r="FF200" s="36"/>
      <c r="FG200" s="36"/>
      <c r="FH200" s="36"/>
      <c r="FI200" s="36"/>
    </row>
    <row r="201" spans="1:165" ht="15">
      <c r="A201" s="46" t="s">
        <v>952</v>
      </c>
      <c r="B201" s="46"/>
      <c r="C201" s="46"/>
      <c r="D201" s="46"/>
      <c r="E201" s="46"/>
      <c r="F201" s="46"/>
      <c r="G201" s="4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c r="BS201" s="36"/>
      <c r="BT201" s="36"/>
      <c r="BU201" s="36"/>
      <c r="BV201" s="36"/>
      <c r="BW201" s="36"/>
      <c r="BX201" s="36"/>
      <c r="BY201" s="36"/>
      <c r="BZ201" s="36"/>
      <c r="CA201" s="36"/>
      <c r="CB201" s="36"/>
      <c r="CC201" s="36"/>
      <c r="CD201" s="36"/>
      <c r="CE201" s="36"/>
      <c r="CF201" s="36"/>
      <c r="CG201" s="36"/>
      <c r="CH201" s="36"/>
      <c r="CI201" s="36"/>
      <c r="CJ201" s="36"/>
      <c r="CK201" s="36"/>
      <c r="CL201" s="36"/>
      <c r="CM201" s="36"/>
      <c r="CN201" s="36"/>
      <c r="CO201" s="36"/>
      <c r="CP201" s="36"/>
      <c r="CQ201" s="36"/>
      <c r="CR201" s="36"/>
      <c r="CS201" s="36"/>
      <c r="CT201" s="36"/>
      <c r="CU201" s="36"/>
      <c r="CV201" s="36"/>
      <c r="CW201" s="36"/>
      <c r="CX201" s="36"/>
      <c r="CY201" s="36"/>
      <c r="CZ201" s="36"/>
      <c r="DA201" s="36"/>
      <c r="DB201" s="36"/>
      <c r="DC201" s="36"/>
      <c r="DD201" s="36"/>
      <c r="DE201" s="36"/>
      <c r="DF201" s="36"/>
      <c r="DG201" s="36"/>
      <c r="DH201" s="36"/>
      <c r="DI201" s="36"/>
      <c r="DJ201" s="36"/>
      <c r="DK201" s="36"/>
      <c r="DL201" s="36"/>
      <c r="DM201" s="36"/>
      <c r="DN201" s="36"/>
      <c r="DO201" s="36"/>
      <c r="DP201" s="36"/>
      <c r="DQ201" s="36"/>
      <c r="DR201" s="36"/>
      <c r="DS201" s="36"/>
      <c r="DT201" s="36"/>
      <c r="DU201" s="36"/>
      <c r="DV201" s="36"/>
      <c r="DW201" s="36"/>
      <c r="DX201" s="36"/>
      <c r="DY201" s="36"/>
      <c r="DZ201" s="36"/>
      <c r="EA201" s="36"/>
      <c r="EB201" s="36"/>
      <c r="EC201" s="36"/>
      <c r="ED201" s="36"/>
      <c r="EE201" s="36"/>
      <c r="EF201" s="36"/>
      <c r="EG201" s="36"/>
      <c r="EH201" s="36"/>
      <c r="EI201" s="36"/>
      <c r="EJ201" s="36"/>
      <c r="EK201" s="36"/>
      <c r="EL201" s="36"/>
      <c r="EM201" s="36"/>
      <c r="EN201" s="36"/>
      <c r="EO201" s="36"/>
      <c r="EP201" s="36"/>
      <c r="EQ201" s="36"/>
      <c r="ER201" s="36"/>
      <c r="ES201" s="36"/>
      <c r="ET201" s="36"/>
      <c r="EU201" s="36"/>
      <c r="EV201" s="36"/>
      <c r="EW201" s="36"/>
      <c r="EX201" s="36"/>
      <c r="EY201" s="36"/>
      <c r="EZ201" s="36"/>
      <c r="FA201" s="36"/>
      <c r="FB201" s="36"/>
      <c r="FC201" s="36"/>
      <c r="FD201" s="36"/>
      <c r="FE201" s="36"/>
      <c r="FF201" s="36"/>
      <c r="FG201" s="36"/>
      <c r="FH201" s="36"/>
      <c r="FI201" s="36"/>
    </row>
    <row r="202" spans="1:165">
      <c r="A202" s="55"/>
      <c r="B202" s="55" t="s">
        <v>150</v>
      </c>
      <c r="C202" s="55" t="s">
        <v>168</v>
      </c>
      <c r="D202" s="55" t="s">
        <v>825</v>
      </c>
      <c r="E202" s="55"/>
      <c r="F202" s="55"/>
      <c r="G202" s="55"/>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6"/>
      <c r="BV202" s="36"/>
      <c r="BW202" s="36"/>
      <c r="BX202" s="36"/>
      <c r="BY202" s="36"/>
      <c r="BZ202" s="36"/>
      <c r="CA202" s="36"/>
      <c r="CB202" s="36"/>
      <c r="CC202" s="36"/>
      <c r="CD202" s="36"/>
      <c r="CE202" s="36"/>
      <c r="CF202" s="36"/>
      <c r="CG202" s="36"/>
      <c r="CH202" s="36"/>
      <c r="CI202" s="36"/>
      <c r="CJ202" s="36"/>
      <c r="CK202" s="36"/>
      <c r="CL202" s="36"/>
      <c r="CM202" s="36"/>
      <c r="CN202" s="36"/>
      <c r="CO202" s="36"/>
      <c r="CP202" s="36"/>
      <c r="CQ202" s="36"/>
      <c r="CR202" s="36"/>
      <c r="CS202" s="36"/>
      <c r="CT202" s="36"/>
      <c r="CU202" s="36"/>
      <c r="CV202" s="36"/>
      <c r="CW202" s="36"/>
      <c r="CX202" s="36"/>
      <c r="CY202" s="36"/>
      <c r="CZ202" s="36"/>
      <c r="DA202" s="36"/>
      <c r="DB202" s="36"/>
      <c r="DC202" s="36"/>
      <c r="DD202" s="36"/>
      <c r="DE202" s="36"/>
      <c r="DF202" s="36"/>
      <c r="DG202" s="36"/>
      <c r="DH202" s="36"/>
      <c r="DI202" s="36"/>
      <c r="DJ202" s="36"/>
      <c r="DK202" s="36"/>
      <c r="DL202" s="36"/>
      <c r="DM202" s="36"/>
      <c r="DN202" s="36"/>
      <c r="DO202" s="36"/>
      <c r="DP202" s="36"/>
      <c r="DQ202" s="36"/>
      <c r="DR202" s="36"/>
      <c r="DS202" s="36"/>
      <c r="DT202" s="36"/>
      <c r="DU202" s="36"/>
      <c r="DV202" s="36"/>
      <c r="DW202" s="36"/>
      <c r="DX202" s="36"/>
      <c r="DY202" s="36"/>
      <c r="DZ202" s="36"/>
      <c r="EA202" s="36"/>
      <c r="EB202" s="36"/>
      <c r="EC202" s="36"/>
      <c r="ED202" s="36"/>
      <c r="EE202" s="36"/>
      <c r="EF202" s="36"/>
      <c r="EG202" s="36"/>
      <c r="EH202" s="36"/>
      <c r="EI202" s="36"/>
      <c r="EJ202" s="36"/>
      <c r="EK202" s="36"/>
      <c r="EL202" s="36"/>
      <c r="EM202" s="36"/>
      <c r="EN202" s="36"/>
      <c r="EO202" s="36"/>
      <c r="EP202" s="36"/>
      <c r="EQ202" s="36"/>
      <c r="ER202" s="36"/>
      <c r="ES202" s="36"/>
      <c r="ET202" s="36"/>
      <c r="EU202" s="36"/>
      <c r="EV202" s="36"/>
      <c r="EW202" s="36"/>
      <c r="EX202" s="36"/>
      <c r="EY202" s="36"/>
      <c r="EZ202" s="36"/>
      <c r="FA202" s="36"/>
      <c r="FB202" s="36"/>
      <c r="FC202" s="36"/>
      <c r="FD202" s="36"/>
      <c r="FE202" s="36"/>
      <c r="FF202" s="36"/>
      <c r="FG202" s="36"/>
      <c r="FH202" s="36"/>
      <c r="FI202" s="36"/>
    </row>
    <row r="203" spans="1:165">
      <c r="A203" s="57"/>
      <c r="B203" s="57" t="s">
        <v>150</v>
      </c>
      <c r="C203" s="57" t="s">
        <v>3</v>
      </c>
      <c r="D203" s="57" t="s">
        <v>828</v>
      </c>
      <c r="E203" s="57" t="s">
        <v>951</v>
      </c>
      <c r="F203" s="57"/>
      <c r="G203" s="57"/>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row>
    <row r="204" spans="1:165">
      <c r="A204" s="55"/>
      <c r="B204" s="55" t="s">
        <v>150</v>
      </c>
      <c r="C204" s="55" t="s">
        <v>163</v>
      </c>
      <c r="D204" s="55" t="s">
        <v>839</v>
      </c>
      <c r="E204" s="55"/>
      <c r="F204" s="55"/>
      <c r="G204" s="55"/>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row>
    <row r="205" spans="1:165">
      <c r="A205" s="57"/>
      <c r="B205" s="57" t="s">
        <v>150</v>
      </c>
      <c r="C205" s="57" t="s">
        <v>164</v>
      </c>
      <c r="D205" s="57" t="s">
        <v>825</v>
      </c>
      <c r="E205" s="57"/>
      <c r="F205" s="57"/>
      <c r="G205" s="57"/>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row>
    <row r="206" spans="1:165">
      <c r="A206" s="55"/>
      <c r="B206" s="55" t="s">
        <v>150</v>
      </c>
      <c r="C206" s="55" t="s">
        <v>165</v>
      </c>
      <c r="D206" s="55" t="s">
        <v>825</v>
      </c>
      <c r="E206" s="55"/>
      <c r="F206" s="55"/>
      <c r="G206" s="55"/>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row>
    <row r="207" spans="1:165">
      <c r="A207" s="57"/>
      <c r="B207" s="57" t="s">
        <v>150</v>
      </c>
      <c r="C207" s="57" t="s">
        <v>167</v>
      </c>
      <c r="D207" s="57" t="s">
        <v>837</v>
      </c>
      <c r="E207" s="57"/>
      <c r="F207" s="57"/>
      <c r="G207" s="57"/>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c r="BR207" s="36"/>
      <c r="BS207" s="36"/>
      <c r="BT207" s="36"/>
      <c r="BU207" s="36"/>
      <c r="BV207" s="36"/>
      <c r="BW207" s="36"/>
      <c r="BX207" s="36"/>
      <c r="BY207" s="36"/>
      <c r="BZ207" s="36"/>
      <c r="CA207" s="36"/>
      <c r="CB207" s="36"/>
      <c r="CC207" s="36"/>
      <c r="CD207" s="36"/>
      <c r="CE207" s="36"/>
      <c r="CF207" s="36"/>
      <c r="CG207" s="36"/>
      <c r="CH207" s="36"/>
      <c r="CI207" s="36"/>
      <c r="CJ207" s="36"/>
      <c r="CK207" s="36"/>
      <c r="CL207" s="36"/>
      <c r="CM207" s="36"/>
      <c r="CN207" s="36"/>
      <c r="CO207" s="36"/>
      <c r="CP207" s="36"/>
      <c r="CQ207" s="36"/>
      <c r="CR207" s="36"/>
      <c r="CS207" s="36"/>
      <c r="CT207" s="36"/>
      <c r="CU207" s="36"/>
      <c r="CV207" s="36"/>
      <c r="CW207" s="36"/>
      <c r="CX207" s="36"/>
      <c r="CY207" s="36"/>
      <c r="CZ207" s="36"/>
      <c r="DA207" s="36"/>
      <c r="DB207" s="36"/>
      <c r="DC207" s="36"/>
      <c r="DD207" s="36"/>
      <c r="DE207" s="36"/>
      <c r="DF207" s="36"/>
      <c r="DG207" s="36"/>
      <c r="DH207" s="36"/>
      <c r="DI207" s="36"/>
      <c r="DJ207" s="36"/>
      <c r="DK207" s="36"/>
      <c r="DL207" s="36"/>
      <c r="DM207" s="36"/>
      <c r="DN207" s="36"/>
      <c r="DO207" s="36"/>
      <c r="DP207" s="36"/>
      <c r="DQ207" s="36"/>
      <c r="DR207" s="36"/>
      <c r="DS207" s="36"/>
      <c r="DT207" s="36"/>
      <c r="DU207" s="36"/>
      <c r="DV207" s="36"/>
      <c r="DW207" s="36"/>
      <c r="DX207" s="36"/>
      <c r="DY207" s="36"/>
      <c r="DZ207" s="36"/>
      <c r="EA207" s="36"/>
      <c r="EB207" s="36"/>
      <c r="EC207" s="36"/>
      <c r="ED207" s="36"/>
      <c r="EE207" s="36"/>
      <c r="EF207" s="36"/>
      <c r="EG207" s="36"/>
      <c r="EH207" s="36"/>
      <c r="EI207" s="36"/>
      <c r="EJ207" s="36"/>
      <c r="EK207" s="36"/>
      <c r="EL207" s="36"/>
      <c r="EM207" s="36"/>
      <c r="EN207" s="36"/>
      <c r="EO207" s="36"/>
      <c r="EP207" s="36"/>
      <c r="EQ207" s="36"/>
      <c r="ER207" s="36"/>
      <c r="ES207" s="36"/>
      <c r="ET207" s="36"/>
      <c r="EU207" s="36"/>
      <c r="EV207" s="36"/>
      <c r="EW207" s="36"/>
      <c r="EX207" s="36"/>
      <c r="EY207" s="36"/>
      <c r="EZ207" s="36"/>
      <c r="FA207" s="36"/>
      <c r="FB207" s="36"/>
      <c r="FC207" s="36"/>
      <c r="FD207" s="36"/>
      <c r="FE207" s="36"/>
      <c r="FF207" s="36"/>
      <c r="FG207" s="36"/>
      <c r="FH207" s="36"/>
      <c r="FI207" s="36"/>
    </row>
    <row r="208" spans="1:165" ht="15">
      <c r="A208" s="50" t="s">
        <v>953</v>
      </c>
      <c r="B208" s="50"/>
      <c r="C208" s="50"/>
      <c r="D208" s="50"/>
      <c r="E208" s="50"/>
      <c r="F208" s="50"/>
      <c r="G208" s="50"/>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6"/>
      <c r="BV208" s="36"/>
      <c r="BW208" s="3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36"/>
      <c r="DX208" s="36"/>
      <c r="DY208" s="36"/>
      <c r="DZ208" s="36"/>
      <c r="EA208" s="36"/>
      <c r="EB208" s="36"/>
      <c r="EC208" s="36"/>
      <c r="ED208" s="36"/>
      <c r="EE208" s="36"/>
      <c r="EF208" s="36"/>
      <c r="EG208" s="36"/>
      <c r="EH208" s="36"/>
      <c r="EI208" s="36"/>
      <c r="EJ208" s="36"/>
      <c r="EK208" s="36"/>
      <c r="EL208" s="36"/>
      <c r="EM208" s="36"/>
      <c r="EN208" s="36"/>
      <c r="EO208" s="36"/>
      <c r="EP208" s="36"/>
      <c r="EQ208" s="36"/>
      <c r="ER208" s="36"/>
      <c r="ES208" s="36"/>
      <c r="ET208" s="36"/>
      <c r="EU208" s="36"/>
      <c r="EV208" s="36"/>
      <c r="EW208" s="36"/>
      <c r="EX208" s="36"/>
      <c r="EY208" s="36"/>
      <c r="EZ208" s="36"/>
      <c r="FA208" s="36"/>
      <c r="FB208" s="36"/>
      <c r="FC208" s="36"/>
      <c r="FD208" s="36"/>
      <c r="FE208" s="36"/>
      <c r="FF208" s="36"/>
      <c r="FG208" s="36"/>
      <c r="FH208" s="36"/>
      <c r="FI208" s="36"/>
    </row>
    <row r="209" spans="1:165">
      <c r="A209" s="55"/>
      <c r="B209" s="55" t="s">
        <v>148</v>
      </c>
      <c r="C209" s="55" t="s">
        <v>155</v>
      </c>
      <c r="D209" s="55" t="s">
        <v>825</v>
      </c>
      <c r="E209" s="55" t="s">
        <v>826</v>
      </c>
      <c r="F209" s="55"/>
      <c r="G209" s="55"/>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c r="BR209" s="36"/>
      <c r="BS209" s="36"/>
      <c r="BT209" s="36"/>
      <c r="BU209" s="36"/>
      <c r="BV209" s="36"/>
      <c r="BW209" s="36"/>
      <c r="BX209" s="36"/>
      <c r="BY209" s="36"/>
      <c r="BZ209" s="36"/>
      <c r="CA209" s="36"/>
      <c r="CB209" s="36"/>
      <c r="CC209" s="36"/>
      <c r="CD209" s="36"/>
      <c r="CE209" s="36"/>
      <c r="CF209" s="36"/>
      <c r="CG209" s="36"/>
      <c r="CH209" s="36"/>
      <c r="CI209" s="36"/>
      <c r="CJ209" s="36"/>
      <c r="CK209" s="36"/>
      <c r="CL209" s="36"/>
      <c r="CM209" s="36"/>
      <c r="CN209" s="36"/>
      <c r="CO209" s="36"/>
      <c r="CP209" s="36"/>
      <c r="CQ209" s="36"/>
      <c r="CR209" s="36"/>
      <c r="CS209" s="36"/>
      <c r="CT209" s="36"/>
      <c r="CU209" s="36"/>
      <c r="CV209" s="36"/>
      <c r="CW209" s="36"/>
      <c r="CX209" s="36"/>
      <c r="CY209" s="36"/>
      <c r="CZ209" s="36"/>
      <c r="DA209" s="36"/>
      <c r="DB209" s="36"/>
      <c r="DC209" s="36"/>
      <c r="DD209" s="36"/>
      <c r="DE209" s="36"/>
      <c r="DF209" s="36"/>
      <c r="DG209" s="36"/>
      <c r="DH209" s="36"/>
      <c r="DI209" s="36"/>
      <c r="DJ209" s="36"/>
      <c r="DK209" s="36"/>
      <c r="DL209" s="36"/>
      <c r="DM209" s="36"/>
      <c r="DN209" s="36"/>
      <c r="DO209" s="36"/>
      <c r="DP209" s="36"/>
      <c r="DQ209" s="36"/>
      <c r="DR209" s="36"/>
      <c r="DS209" s="36"/>
      <c r="DT209" s="36"/>
      <c r="DU209" s="36"/>
      <c r="DV209" s="36"/>
      <c r="DW209" s="36"/>
      <c r="DX209" s="36"/>
      <c r="DY209" s="36"/>
      <c r="DZ209" s="36"/>
      <c r="EA209" s="36"/>
      <c r="EB209" s="36"/>
      <c r="EC209" s="36"/>
      <c r="ED209" s="36"/>
      <c r="EE209" s="36"/>
      <c r="EF209" s="36"/>
      <c r="EG209" s="36"/>
      <c r="EH209" s="36"/>
      <c r="EI209" s="36"/>
      <c r="EJ209" s="36"/>
      <c r="EK209" s="36"/>
      <c r="EL209" s="36"/>
      <c r="EM209" s="36"/>
      <c r="EN209" s="36"/>
      <c r="EO209" s="36"/>
      <c r="EP209" s="36"/>
      <c r="EQ209" s="36"/>
      <c r="ER209" s="36"/>
      <c r="ES209" s="36"/>
      <c r="ET209" s="36"/>
      <c r="EU209" s="36"/>
      <c r="EV209" s="36"/>
      <c r="EW209" s="36"/>
      <c r="EX209" s="36"/>
      <c r="EY209" s="36"/>
      <c r="EZ209" s="36"/>
      <c r="FA209" s="36"/>
      <c r="FB209" s="36"/>
      <c r="FC209" s="36"/>
      <c r="FD209" s="36"/>
      <c r="FE209" s="36"/>
      <c r="FF209" s="36"/>
      <c r="FG209" s="36"/>
      <c r="FH209" s="36"/>
      <c r="FI209" s="36"/>
    </row>
    <row r="210" spans="1:165">
      <c r="A210" s="57"/>
      <c r="B210" s="57" t="s">
        <v>148</v>
      </c>
      <c r="C210" s="57" t="s">
        <v>156</v>
      </c>
      <c r="D210" s="57" t="s">
        <v>828</v>
      </c>
      <c r="E210" s="57" t="s">
        <v>954</v>
      </c>
      <c r="F210" s="57"/>
      <c r="G210" s="57"/>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row>
    <row r="211" spans="1:165">
      <c r="A211" s="55"/>
      <c r="B211" s="55" t="s">
        <v>148</v>
      </c>
      <c r="C211" s="55" t="s">
        <v>955</v>
      </c>
      <c r="D211" s="55" t="s">
        <v>828</v>
      </c>
      <c r="E211" s="55" t="s">
        <v>956</v>
      </c>
      <c r="F211" s="55"/>
      <c r="G211" s="55" t="s">
        <v>861</v>
      </c>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row>
    <row r="212" spans="1:165">
      <c r="A212" s="57"/>
      <c r="B212" s="57" t="s">
        <v>148</v>
      </c>
      <c r="C212" s="57" t="s">
        <v>157</v>
      </c>
      <c r="D212" s="57" t="s">
        <v>828</v>
      </c>
      <c r="E212" s="57" t="s">
        <v>957</v>
      </c>
      <c r="F212" s="57"/>
      <c r="G212" s="57"/>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row>
    <row r="213" spans="1:165">
      <c r="A213" s="55"/>
      <c r="B213" s="55" t="s">
        <v>148</v>
      </c>
      <c r="C213" s="55" t="s">
        <v>158</v>
      </c>
      <c r="D213" s="55" t="s">
        <v>825</v>
      </c>
      <c r="E213" s="55" t="s">
        <v>185</v>
      </c>
      <c r="F213" s="55"/>
      <c r="G213" s="55"/>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row>
    <row r="214" spans="1:165">
      <c r="A214" s="57"/>
      <c r="B214" s="57" t="s">
        <v>148</v>
      </c>
      <c r="C214" s="57" t="s">
        <v>159</v>
      </c>
      <c r="D214" s="57" t="s">
        <v>839</v>
      </c>
      <c r="E214" s="57"/>
      <c r="F214" s="57"/>
      <c r="G214" s="57"/>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row>
    <row r="215" spans="1:165">
      <c r="A215" s="55"/>
      <c r="B215" s="55" t="s">
        <v>148</v>
      </c>
      <c r="C215" s="55" t="s">
        <v>958</v>
      </c>
      <c r="D215" s="55" t="s">
        <v>839</v>
      </c>
      <c r="E215" s="55"/>
      <c r="F215" s="55"/>
      <c r="G215" s="55"/>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row>
    <row r="216" spans="1:165">
      <c r="A216" s="57"/>
      <c r="B216" s="57" t="s">
        <v>148</v>
      </c>
      <c r="C216" s="57" t="s">
        <v>160</v>
      </c>
      <c r="D216" s="57" t="s">
        <v>825</v>
      </c>
      <c r="E216" s="57"/>
      <c r="F216" s="57"/>
      <c r="G216" s="57"/>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row>
    <row r="217" spans="1:165">
      <c r="A217" s="55"/>
      <c r="B217" s="55" t="s">
        <v>148</v>
      </c>
      <c r="C217" s="55" t="s">
        <v>161</v>
      </c>
      <c r="D217" s="55" t="s">
        <v>825</v>
      </c>
      <c r="E217" s="55"/>
      <c r="F217" s="55"/>
      <c r="G217" s="55"/>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row>
    <row r="218" spans="1:165">
      <c r="A218" s="57"/>
      <c r="B218" s="57" t="s">
        <v>148</v>
      </c>
      <c r="C218" s="57" t="s">
        <v>25</v>
      </c>
      <c r="D218" s="57" t="s">
        <v>825</v>
      </c>
      <c r="E218" s="57"/>
      <c r="F218" s="57"/>
      <c r="G218" s="57"/>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row>
    <row r="219" spans="1:165" ht="15">
      <c r="A219" s="48" t="s">
        <v>959</v>
      </c>
      <c r="B219" s="48"/>
      <c r="C219" s="48"/>
      <c r="D219" s="48"/>
      <c r="E219" s="48"/>
      <c r="F219" s="48"/>
      <c r="G219" s="48"/>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row>
    <row r="220" spans="1:165">
      <c r="A220" s="55"/>
      <c r="B220" s="55" t="s">
        <v>23</v>
      </c>
      <c r="C220" s="55" t="s">
        <v>960</v>
      </c>
      <c r="D220" s="55" t="s">
        <v>825</v>
      </c>
      <c r="E220" s="55"/>
      <c r="F220" s="55"/>
      <c r="G220" s="55"/>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row>
    <row r="221" spans="1:165" ht="25.5">
      <c r="A221" s="57"/>
      <c r="B221" s="57" t="s">
        <v>23</v>
      </c>
      <c r="C221" s="57" t="s">
        <v>169</v>
      </c>
      <c r="D221" s="57" t="s">
        <v>828</v>
      </c>
      <c r="E221" s="57" t="s">
        <v>961</v>
      </c>
      <c r="F221" s="57"/>
      <c r="G221" s="57"/>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row>
    <row r="222" spans="1:165">
      <c r="A222" s="55"/>
      <c r="B222" s="55" t="s">
        <v>23</v>
      </c>
      <c r="C222" s="55" t="s">
        <v>170</v>
      </c>
      <c r="D222" s="55" t="s">
        <v>828</v>
      </c>
      <c r="E222" s="55" t="s">
        <v>962</v>
      </c>
      <c r="F222" s="55"/>
      <c r="G222" s="55"/>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row>
    <row r="223" spans="1:165" ht="15">
      <c r="A223" s="45" t="s">
        <v>963</v>
      </c>
      <c r="B223" s="45"/>
      <c r="C223" s="45"/>
      <c r="D223" s="45"/>
      <c r="E223" s="45"/>
      <c r="F223" s="45"/>
      <c r="G223" s="45"/>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row>
    <row r="224" spans="1:165">
      <c r="A224" s="55"/>
      <c r="B224" s="55" t="s">
        <v>151</v>
      </c>
      <c r="C224" s="55" t="s">
        <v>171</v>
      </c>
      <c r="D224" s="55" t="s">
        <v>825</v>
      </c>
      <c r="E224" s="55" t="s">
        <v>947</v>
      </c>
      <c r="F224" s="55"/>
      <c r="G224" s="55"/>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row>
    <row r="225" spans="1:165">
      <c r="A225" s="57"/>
      <c r="B225" s="57" t="s">
        <v>151</v>
      </c>
      <c r="C225" s="57" t="s">
        <v>3</v>
      </c>
      <c r="D225" s="57" t="s">
        <v>828</v>
      </c>
      <c r="E225" s="57" t="s">
        <v>951</v>
      </c>
      <c r="F225" s="57"/>
      <c r="G225" s="57"/>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row>
    <row r="226" spans="1:165">
      <c r="A226" s="55"/>
      <c r="B226" s="55" t="s">
        <v>151</v>
      </c>
      <c r="C226" s="55" t="s">
        <v>172</v>
      </c>
      <c r="D226" s="55" t="s">
        <v>825</v>
      </c>
      <c r="E226" s="55"/>
      <c r="F226" s="55"/>
      <c r="G226" s="55"/>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row>
    <row r="227" spans="1:165">
      <c r="A227" s="57"/>
      <c r="B227" s="57" t="s">
        <v>151</v>
      </c>
      <c r="C227" s="57" t="s">
        <v>165</v>
      </c>
      <c r="D227" s="57" t="s">
        <v>825</v>
      </c>
      <c r="E227" s="57"/>
      <c r="F227" s="57"/>
      <c r="G227" s="57"/>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row>
    <row r="228" spans="1:165" ht="30">
      <c r="A228" s="47" t="s">
        <v>964</v>
      </c>
      <c r="B228" s="47"/>
      <c r="C228" s="47"/>
      <c r="D228" s="47"/>
      <c r="E228" s="47"/>
      <c r="F228" s="47"/>
      <c r="G228" s="47"/>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row>
    <row r="229" spans="1:165">
      <c r="A229" s="55"/>
      <c r="B229" s="55" t="s">
        <v>152</v>
      </c>
      <c r="C229" s="55" t="s">
        <v>173</v>
      </c>
      <c r="D229" s="55" t="s">
        <v>825</v>
      </c>
      <c r="E229" s="55"/>
      <c r="F229" s="55"/>
      <c r="G229" s="55"/>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row>
    <row r="230" spans="1:165">
      <c r="A230" s="57"/>
      <c r="B230" s="57" t="s">
        <v>152</v>
      </c>
      <c r="C230" s="57" t="s">
        <v>3</v>
      </c>
      <c r="D230" s="57" t="s">
        <v>828</v>
      </c>
      <c r="E230" s="57" t="s">
        <v>951</v>
      </c>
      <c r="F230" s="57"/>
      <c r="G230" s="57"/>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row>
    <row r="231" spans="1:165">
      <c r="A231" s="55"/>
      <c r="B231" s="55" t="s">
        <v>152</v>
      </c>
      <c r="C231" s="55" t="s">
        <v>174</v>
      </c>
      <c r="D231" s="55" t="s">
        <v>839</v>
      </c>
      <c r="E231" s="55"/>
      <c r="F231" s="55"/>
      <c r="G231" s="55"/>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row>
    <row r="232" spans="1:165">
      <c r="A232" s="57"/>
      <c r="B232" s="57" t="s">
        <v>152</v>
      </c>
      <c r="C232" s="57" t="s">
        <v>146</v>
      </c>
      <c r="D232" s="57" t="s">
        <v>848</v>
      </c>
      <c r="E232" s="57"/>
      <c r="F232" s="57"/>
      <c r="G232" s="57"/>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row>
    <row r="233" spans="1:165" ht="15">
      <c r="A233" s="49" t="s">
        <v>965</v>
      </c>
      <c r="B233" s="49"/>
      <c r="C233" s="49"/>
      <c r="D233" s="49"/>
      <c r="E233" s="49"/>
      <c r="F233" s="49"/>
      <c r="G233" s="49"/>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row>
    <row r="234" spans="1:165">
      <c r="A234" s="55"/>
      <c r="B234" s="55" t="s">
        <v>153</v>
      </c>
      <c r="C234" s="55" t="s">
        <v>175</v>
      </c>
      <c r="D234" s="55" t="s">
        <v>825</v>
      </c>
      <c r="E234" s="55"/>
      <c r="F234" s="55"/>
      <c r="G234" s="55"/>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row>
    <row r="235" spans="1:165">
      <c r="A235" s="57"/>
      <c r="B235" s="57" t="s">
        <v>153</v>
      </c>
      <c r="C235" s="57" t="s">
        <v>3</v>
      </c>
      <c r="D235" s="57" t="s">
        <v>828</v>
      </c>
      <c r="E235" s="57" t="s">
        <v>951</v>
      </c>
      <c r="F235" s="57"/>
      <c r="G235" s="57"/>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row>
    <row r="236" spans="1:165">
      <c r="A236" s="55"/>
      <c r="B236" s="55" t="s">
        <v>153</v>
      </c>
      <c r="C236" s="55" t="s">
        <v>176</v>
      </c>
      <c r="D236" s="55" t="s">
        <v>856</v>
      </c>
      <c r="E236" s="55" t="s">
        <v>139</v>
      </c>
      <c r="F236" s="55"/>
      <c r="G236" s="55"/>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c r="DG236" s="36"/>
      <c r="DH236" s="36"/>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row>
    <row r="237" spans="1:165">
      <c r="A237" s="57"/>
      <c r="B237" s="57" t="s">
        <v>153</v>
      </c>
      <c r="C237" s="57" t="s">
        <v>146</v>
      </c>
      <c r="D237" s="57" t="s">
        <v>848</v>
      </c>
      <c r="E237" s="57"/>
      <c r="F237" s="57"/>
      <c r="G237" s="57"/>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c r="DG237" s="36"/>
      <c r="DH237" s="36"/>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row>
    <row r="238" spans="1:165">
      <c r="A238" s="55"/>
      <c r="B238" s="55" t="s">
        <v>153</v>
      </c>
      <c r="C238" s="55" t="s">
        <v>88</v>
      </c>
      <c r="D238" s="55" t="s">
        <v>825</v>
      </c>
      <c r="E238" s="55"/>
      <c r="F238" s="55"/>
      <c r="G238" s="55"/>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c r="ET238" s="36"/>
      <c r="EU238" s="36"/>
      <c r="EV238" s="36"/>
      <c r="EW238" s="36"/>
      <c r="EX238" s="36"/>
      <c r="EY238" s="36"/>
      <c r="EZ238" s="36"/>
      <c r="FA238" s="36"/>
      <c r="FB238" s="36"/>
      <c r="FC238" s="36"/>
      <c r="FD238" s="36"/>
      <c r="FE238" s="36"/>
      <c r="FF238" s="36"/>
      <c r="FG238" s="36"/>
      <c r="FH238" s="36"/>
      <c r="FI238" s="36"/>
    </row>
    <row r="239" spans="1:165" ht="15">
      <c r="A239" s="46" t="s">
        <v>966</v>
      </c>
      <c r="B239" s="46"/>
      <c r="C239" s="46"/>
      <c r="D239" s="46"/>
      <c r="E239" s="46"/>
      <c r="F239" s="46"/>
      <c r="G239" s="4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c r="ET239" s="36"/>
      <c r="EU239" s="36"/>
      <c r="EV239" s="36"/>
      <c r="EW239" s="36"/>
      <c r="EX239" s="36"/>
      <c r="EY239" s="36"/>
      <c r="EZ239" s="36"/>
      <c r="FA239" s="36"/>
      <c r="FB239" s="36"/>
      <c r="FC239" s="36"/>
      <c r="FD239" s="36"/>
      <c r="FE239" s="36"/>
      <c r="FF239" s="36"/>
      <c r="FG239" s="36"/>
      <c r="FH239" s="36"/>
      <c r="FI239" s="36"/>
    </row>
    <row r="240" spans="1:165">
      <c r="A240" s="55"/>
      <c r="B240" s="55" t="s">
        <v>154</v>
      </c>
      <c r="C240" s="55" t="s">
        <v>177</v>
      </c>
      <c r="D240" s="55" t="s">
        <v>825</v>
      </c>
      <c r="E240" s="55" t="s">
        <v>947</v>
      </c>
      <c r="F240" s="55"/>
      <c r="G240" s="55"/>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c r="ES240" s="36"/>
      <c r="ET240" s="36"/>
      <c r="EU240" s="36"/>
      <c r="EV240" s="36"/>
      <c r="EW240" s="36"/>
      <c r="EX240" s="36"/>
      <c r="EY240" s="36"/>
      <c r="EZ240" s="36"/>
      <c r="FA240" s="36"/>
      <c r="FB240" s="36"/>
      <c r="FC240" s="36"/>
      <c r="FD240" s="36"/>
      <c r="FE240" s="36"/>
      <c r="FF240" s="36"/>
      <c r="FG240" s="36"/>
      <c r="FH240" s="36"/>
      <c r="FI240" s="36"/>
    </row>
    <row r="241" spans="1:165">
      <c r="A241" s="57"/>
      <c r="B241" s="57" t="s">
        <v>154</v>
      </c>
      <c r="C241" s="57" t="s">
        <v>3</v>
      </c>
      <c r="D241" s="57" t="s">
        <v>828</v>
      </c>
      <c r="E241" s="57" t="s">
        <v>951</v>
      </c>
      <c r="F241" s="57"/>
      <c r="G241" s="57"/>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c r="ES241" s="36"/>
      <c r="ET241" s="36"/>
      <c r="EU241" s="36"/>
      <c r="EV241" s="36"/>
      <c r="EW241" s="36"/>
      <c r="EX241" s="36"/>
      <c r="EY241" s="36"/>
      <c r="EZ241" s="36"/>
      <c r="FA241" s="36"/>
      <c r="FB241" s="36"/>
      <c r="FC241" s="36"/>
      <c r="FD241" s="36"/>
      <c r="FE241" s="36"/>
      <c r="FF241" s="36"/>
      <c r="FG241" s="36"/>
      <c r="FH241" s="36"/>
      <c r="FI241" s="36"/>
    </row>
    <row r="242" spans="1:165">
      <c r="A242" s="55"/>
      <c r="B242" s="55" t="s">
        <v>154</v>
      </c>
      <c r="C242" s="55" t="s">
        <v>165</v>
      </c>
      <c r="D242" s="55" t="s">
        <v>825</v>
      </c>
      <c r="E242" s="55"/>
      <c r="F242" s="55"/>
      <c r="G242" s="55"/>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row>
    <row r="243" spans="1:165">
      <c r="A243" s="57"/>
      <c r="B243" s="57" t="s">
        <v>154</v>
      </c>
      <c r="C243" s="57" t="s">
        <v>178</v>
      </c>
      <c r="D243" s="57" t="s">
        <v>845</v>
      </c>
      <c r="E243" s="57" t="s">
        <v>967</v>
      </c>
      <c r="F243" s="57"/>
      <c r="G243" s="57"/>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row>
    <row r="244" spans="1:165" ht="15">
      <c r="A244" s="50" t="s">
        <v>968</v>
      </c>
      <c r="B244" s="50"/>
      <c r="C244" s="50"/>
      <c r="D244" s="50"/>
      <c r="E244" s="50"/>
      <c r="F244" s="50"/>
      <c r="G244" s="50"/>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row>
    <row r="245" spans="1:165">
      <c r="A245" s="55"/>
      <c r="B245" s="55" t="s">
        <v>184</v>
      </c>
      <c r="C245" s="55" t="s">
        <v>179</v>
      </c>
      <c r="D245" s="55" t="s">
        <v>825</v>
      </c>
      <c r="E245" s="55" t="s">
        <v>186</v>
      </c>
      <c r="F245" s="55"/>
      <c r="G245" s="55"/>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row>
    <row r="246" spans="1:165">
      <c r="A246" s="57"/>
      <c r="B246" s="57" t="s">
        <v>184</v>
      </c>
      <c r="C246" s="57" t="s">
        <v>22</v>
      </c>
      <c r="D246" s="57" t="s">
        <v>825</v>
      </c>
      <c r="E246" s="57"/>
      <c r="F246" s="57"/>
      <c r="G246" s="57"/>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c r="BS246" s="36"/>
      <c r="BT246" s="36"/>
      <c r="BU246" s="36"/>
      <c r="BV246" s="36"/>
      <c r="BW246" s="36"/>
      <c r="BX246" s="36"/>
      <c r="BY246" s="36"/>
      <c r="BZ246" s="36"/>
      <c r="CA246" s="36"/>
      <c r="CB246" s="36"/>
      <c r="CC246" s="36"/>
      <c r="CD246" s="36"/>
      <c r="CE246" s="36"/>
      <c r="CF246" s="36"/>
      <c r="CG246" s="36"/>
      <c r="CH246" s="36"/>
      <c r="CI246" s="36"/>
      <c r="CJ246" s="36"/>
      <c r="CK246" s="36"/>
      <c r="CL246" s="36"/>
      <c r="CM246" s="36"/>
      <c r="CN246" s="36"/>
      <c r="CO246" s="36"/>
      <c r="CP246" s="36"/>
      <c r="CQ246" s="36"/>
      <c r="CR246" s="36"/>
      <c r="CS246" s="36"/>
      <c r="CT246" s="36"/>
      <c r="CU246" s="36"/>
      <c r="CV246" s="36"/>
      <c r="CW246" s="36"/>
      <c r="CX246" s="36"/>
      <c r="CY246" s="36"/>
      <c r="CZ246" s="36"/>
      <c r="DA246" s="36"/>
      <c r="DB246" s="36"/>
      <c r="DC246" s="36"/>
      <c r="DD246" s="36"/>
      <c r="DE246" s="36"/>
      <c r="DF246" s="36"/>
      <c r="DG246" s="36"/>
      <c r="DH246" s="36"/>
      <c r="DI246" s="36"/>
      <c r="DJ246" s="36"/>
      <c r="DK246" s="36"/>
      <c r="DL246" s="36"/>
      <c r="DM246" s="36"/>
      <c r="DN246" s="36"/>
      <c r="DO246" s="36"/>
      <c r="DP246" s="36"/>
      <c r="DQ246" s="36"/>
      <c r="DR246" s="36"/>
      <c r="DS246" s="36"/>
      <c r="DT246" s="36"/>
      <c r="DU246" s="36"/>
      <c r="DV246" s="36"/>
      <c r="DW246" s="36"/>
      <c r="DX246" s="36"/>
      <c r="DY246" s="36"/>
      <c r="DZ246" s="36"/>
      <c r="EA246" s="36"/>
      <c r="EB246" s="36"/>
      <c r="EC246" s="36"/>
      <c r="ED246" s="36"/>
      <c r="EE246" s="36"/>
      <c r="EF246" s="36"/>
      <c r="EG246" s="36"/>
      <c r="EH246" s="36"/>
      <c r="EI246" s="36"/>
      <c r="EJ246" s="36"/>
      <c r="EK246" s="36"/>
      <c r="EL246" s="36"/>
      <c r="EM246" s="36"/>
      <c r="EN246" s="36"/>
      <c r="EO246" s="36"/>
      <c r="EP246" s="36"/>
      <c r="EQ246" s="36"/>
      <c r="ER246" s="36"/>
      <c r="ES246" s="36"/>
      <c r="ET246" s="36"/>
      <c r="EU246" s="36"/>
      <c r="EV246" s="36"/>
      <c r="EW246" s="36"/>
      <c r="EX246" s="36"/>
      <c r="EY246" s="36"/>
      <c r="EZ246" s="36"/>
      <c r="FA246" s="36"/>
      <c r="FB246" s="36"/>
      <c r="FC246" s="36"/>
      <c r="FD246" s="36"/>
      <c r="FE246" s="36"/>
      <c r="FF246" s="36"/>
      <c r="FG246" s="36"/>
      <c r="FH246" s="36"/>
      <c r="FI246" s="36"/>
    </row>
    <row r="247" spans="1:165">
      <c r="A247" s="55"/>
      <c r="B247" s="55" t="s">
        <v>184</v>
      </c>
      <c r="C247" s="55" t="s">
        <v>7</v>
      </c>
      <c r="D247" s="55" t="s">
        <v>825</v>
      </c>
      <c r="E247" s="55" t="s">
        <v>184</v>
      </c>
      <c r="F247" s="55"/>
      <c r="G247" s="55"/>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c r="EW247" s="36"/>
      <c r="EX247" s="36"/>
      <c r="EY247" s="36"/>
      <c r="EZ247" s="36"/>
      <c r="FA247" s="36"/>
      <c r="FB247" s="36"/>
      <c r="FC247" s="36"/>
      <c r="FD247" s="36"/>
      <c r="FE247" s="36"/>
      <c r="FF247" s="36"/>
      <c r="FG247" s="36"/>
      <c r="FH247" s="36"/>
      <c r="FI247" s="36"/>
    </row>
    <row r="248" spans="1:165" ht="25.5">
      <c r="A248" s="57"/>
      <c r="B248" s="57" t="s">
        <v>184</v>
      </c>
      <c r="C248" s="57" t="s">
        <v>969</v>
      </c>
      <c r="D248" s="57" t="s">
        <v>828</v>
      </c>
      <c r="E248" s="57" t="s">
        <v>970</v>
      </c>
      <c r="F248" s="57"/>
      <c r="G248" s="57" t="s">
        <v>861</v>
      </c>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c r="EW248" s="36"/>
      <c r="EX248" s="36"/>
      <c r="EY248" s="36"/>
      <c r="EZ248" s="36"/>
      <c r="FA248" s="36"/>
      <c r="FB248" s="36"/>
      <c r="FC248" s="36"/>
      <c r="FD248" s="36"/>
      <c r="FE248" s="36"/>
      <c r="FF248" s="36"/>
      <c r="FG248" s="36"/>
      <c r="FH248" s="36"/>
      <c r="FI248" s="36"/>
    </row>
    <row r="249" spans="1:165">
      <c r="A249" s="55"/>
      <c r="B249" s="55" t="s">
        <v>184</v>
      </c>
      <c r="C249" s="55" t="s">
        <v>971</v>
      </c>
      <c r="D249" s="55" t="s">
        <v>828</v>
      </c>
      <c r="E249" s="55" t="s">
        <v>972</v>
      </c>
      <c r="F249" s="55"/>
      <c r="G249" s="55" t="s">
        <v>861</v>
      </c>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36"/>
      <c r="CM249" s="36"/>
      <c r="CN249" s="36"/>
      <c r="CO249" s="36"/>
      <c r="CP249" s="36"/>
      <c r="CQ249" s="36"/>
      <c r="CR249" s="36"/>
      <c r="CS249" s="36"/>
      <c r="CT249" s="36"/>
      <c r="CU249" s="36"/>
      <c r="CV249" s="36"/>
      <c r="CW249" s="36"/>
      <c r="CX249" s="36"/>
      <c r="CY249" s="36"/>
      <c r="CZ249" s="36"/>
      <c r="DA249" s="36"/>
      <c r="DB249" s="36"/>
      <c r="DC249" s="36"/>
      <c r="DD249" s="36"/>
      <c r="DE249" s="36"/>
      <c r="DF249" s="36"/>
      <c r="DG249" s="36"/>
      <c r="DH249" s="36"/>
      <c r="DI249" s="36"/>
      <c r="DJ249" s="36"/>
      <c r="DK249" s="36"/>
      <c r="DL249" s="36"/>
      <c r="DM249" s="36"/>
      <c r="DN249" s="36"/>
      <c r="DO249" s="36"/>
      <c r="DP249" s="36"/>
      <c r="DQ249" s="36"/>
      <c r="DR249" s="36"/>
      <c r="DS249" s="36"/>
      <c r="DT249" s="36"/>
      <c r="DU249" s="36"/>
      <c r="DV249" s="36"/>
      <c r="DW249" s="36"/>
      <c r="DX249" s="36"/>
      <c r="DY249" s="36"/>
      <c r="DZ249" s="36"/>
      <c r="EA249" s="36"/>
      <c r="EB249" s="36"/>
      <c r="EC249" s="36"/>
      <c r="ED249" s="36"/>
      <c r="EE249" s="36"/>
      <c r="EF249" s="36"/>
      <c r="EG249" s="36"/>
      <c r="EH249" s="36"/>
      <c r="EI249" s="36"/>
      <c r="EJ249" s="36"/>
      <c r="EK249" s="36"/>
      <c r="EL249" s="36"/>
      <c r="EM249" s="36"/>
      <c r="EN249" s="36"/>
      <c r="EO249" s="36"/>
      <c r="EP249" s="36"/>
      <c r="EQ249" s="36"/>
      <c r="ER249" s="36"/>
      <c r="ES249" s="36"/>
      <c r="ET249" s="36"/>
      <c r="EU249" s="36"/>
      <c r="EV249" s="36"/>
      <c r="EW249" s="36"/>
      <c r="EX249" s="36"/>
      <c r="EY249" s="36"/>
      <c r="EZ249" s="36"/>
      <c r="FA249" s="36"/>
      <c r="FB249" s="36"/>
      <c r="FC249" s="36"/>
      <c r="FD249" s="36"/>
      <c r="FE249" s="36"/>
      <c r="FF249" s="36"/>
      <c r="FG249" s="36"/>
      <c r="FH249" s="36"/>
      <c r="FI249" s="36"/>
    </row>
    <row r="250" spans="1:165">
      <c r="A250" s="57"/>
      <c r="B250" s="57" t="s">
        <v>184</v>
      </c>
      <c r="C250" s="57" t="s">
        <v>180</v>
      </c>
      <c r="D250" s="57" t="s">
        <v>828</v>
      </c>
      <c r="E250" s="57" t="s">
        <v>973</v>
      </c>
      <c r="F250" s="57" t="s">
        <v>974</v>
      </c>
      <c r="G250" s="57"/>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c r="ES250" s="36"/>
      <c r="ET250" s="36"/>
      <c r="EU250" s="36"/>
      <c r="EV250" s="36"/>
      <c r="EW250" s="36"/>
      <c r="EX250" s="36"/>
      <c r="EY250" s="36"/>
      <c r="EZ250" s="36"/>
      <c r="FA250" s="36"/>
      <c r="FB250" s="36"/>
      <c r="FC250" s="36"/>
      <c r="FD250" s="36"/>
      <c r="FE250" s="36"/>
      <c r="FF250" s="36"/>
      <c r="FG250" s="36"/>
      <c r="FH250" s="36"/>
      <c r="FI250" s="36"/>
    </row>
    <row r="251" spans="1:165">
      <c r="A251" s="55"/>
      <c r="B251" s="55" t="s">
        <v>184</v>
      </c>
      <c r="C251" s="55" t="s">
        <v>181</v>
      </c>
      <c r="D251" s="55" t="s">
        <v>828</v>
      </c>
      <c r="E251" s="55" t="s">
        <v>975</v>
      </c>
      <c r="F251" s="55"/>
      <c r="G251" s="55"/>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c r="ES251" s="36"/>
      <c r="ET251" s="36"/>
      <c r="EU251" s="36"/>
      <c r="EV251" s="36"/>
      <c r="EW251" s="36"/>
      <c r="EX251" s="36"/>
      <c r="EY251" s="36"/>
      <c r="EZ251" s="36"/>
      <c r="FA251" s="36"/>
      <c r="FB251" s="36"/>
      <c r="FC251" s="36"/>
      <c r="FD251" s="36"/>
      <c r="FE251" s="36"/>
      <c r="FF251" s="36"/>
      <c r="FG251" s="36"/>
      <c r="FH251" s="36"/>
      <c r="FI251" s="36"/>
    </row>
    <row r="252" spans="1:165">
      <c r="A252" s="57"/>
      <c r="B252" s="57" t="s">
        <v>184</v>
      </c>
      <c r="C252" s="57" t="s">
        <v>182</v>
      </c>
      <c r="D252" s="57" t="s">
        <v>828</v>
      </c>
      <c r="E252" s="57" t="s">
        <v>976</v>
      </c>
      <c r="F252" s="57"/>
      <c r="G252" s="57"/>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row>
    <row r="253" spans="1:165">
      <c r="A253" s="167" t="s">
        <v>2510</v>
      </c>
      <c r="B253" s="167"/>
      <c r="C253" s="167"/>
      <c r="D253" s="167"/>
      <c r="E253" s="167"/>
      <c r="F253" s="167"/>
      <c r="G253" s="167"/>
    </row>
    <row r="254" spans="1:165">
      <c r="A254" s="167" t="s">
        <v>2387</v>
      </c>
      <c r="B254" s="167"/>
      <c r="C254" s="167"/>
      <c r="D254" s="167"/>
      <c r="E254" s="167"/>
      <c r="F254" s="167"/>
      <c r="G254" s="167"/>
    </row>
    <row r="255" spans="1:165" ht="25.5">
      <c r="A255" s="168"/>
      <c r="B255" s="168" t="s">
        <v>2388</v>
      </c>
      <c r="C255" s="168" t="s">
        <v>2389</v>
      </c>
      <c r="D255" s="168" t="s">
        <v>825</v>
      </c>
      <c r="E255" s="168" t="s">
        <v>2390</v>
      </c>
      <c r="F255" s="168" t="s">
        <v>855</v>
      </c>
      <c r="G255" s="168"/>
    </row>
    <row r="256" spans="1:165" ht="25.5">
      <c r="A256" s="169"/>
      <c r="B256" s="169" t="s">
        <v>2388</v>
      </c>
      <c r="C256" s="169" t="s">
        <v>2391</v>
      </c>
      <c r="D256" s="169" t="s">
        <v>825</v>
      </c>
      <c r="E256" s="169" t="s">
        <v>2392</v>
      </c>
      <c r="F256" s="169"/>
      <c r="G256" s="169"/>
    </row>
    <row r="257" spans="1:7" ht="25.5">
      <c r="A257" s="168"/>
      <c r="B257" s="168" t="s">
        <v>2388</v>
      </c>
      <c r="C257" s="168" t="s">
        <v>2393</v>
      </c>
      <c r="D257" s="168" t="s">
        <v>880</v>
      </c>
      <c r="E257" s="168" t="s">
        <v>881</v>
      </c>
      <c r="F257" s="168"/>
      <c r="G257" s="168"/>
    </row>
    <row r="258" spans="1:7" ht="25.5">
      <c r="A258" s="169"/>
      <c r="B258" s="169" t="s">
        <v>2388</v>
      </c>
      <c r="C258" s="169" t="s">
        <v>2394</v>
      </c>
      <c r="D258" s="169" t="s">
        <v>837</v>
      </c>
      <c r="E258" s="169">
        <v>3</v>
      </c>
      <c r="F258" s="169"/>
      <c r="G258" s="169"/>
    </row>
    <row r="259" spans="1:7" ht="25.5">
      <c r="A259" s="168"/>
      <c r="B259" s="168" t="s">
        <v>2388</v>
      </c>
      <c r="C259" s="168" t="s">
        <v>2395</v>
      </c>
      <c r="D259" s="168" t="s">
        <v>837</v>
      </c>
      <c r="E259" s="168">
        <v>15000</v>
      </c>
      <c r="F259" s="168" t="s">
        <v>2396</v>
      </c>
      <c r="G259" s="168"/>
    </row>
    <row r="260" spans="1:7" ht="25.5">
      <c r="A260" s="169"/>
      <c r="B260" s="169" t="s">
        <v>2388</v>
      </c>
      <c r="C260" s="169" t="s">
        <v>2397</v>
      </c>
      <c r="D260" s="169" t="s">
        <v>845</v>
      </c>
      <c r="E260" s="169" t="s">
        <v>846</v>
      </c>
      <c r="F260" s="169"/>
      <c r="G260" s="169"/>
    </row>
    <row r="261" spans="1:7">
      <c r="A261" s="168"/>
      <c r="B261" s="168" t="s">
        <v>2398</v>
      </c>
      <c r="C261" s="168" t="s">
        <v>2399</v>
      </c>
      <c r="D261" s="168" t="s">
        <v>825</v>
      </c>
      <c r="E261" s="168" t="s">
        <v>2400</v>
      </c>
      <c r="F261" s="168" t="s">
        <v>855</v>
      </c>
      <c r="G261" s="168"/>
    </row>
    <row r="262" spans="1:7">
      <c r="A262" s="169"/>
      <c r="B262" s="169" t="s">
        <v>2398</v>
      </c>
      <c r="C262" s="169" t="s">
        <v>2401</v>
      </c>
      <c r="D262" s="169" t="s">
        <v>880</v>
      </c>
      <c r="E262" s="169" t="s">
        <v>2402</v>
      </c>
      <c r="F262" s="169"/>
      <c r="G262" s="169"/>
    </row>
    <row r="263" spans="1:7">
      <c r="A263" s="168"/>
      <c r="B263" s="168" t="s">
        <v>2398</v>
      </c>
      <c r="C263" s="168" t="s">
        <v>2403</v>
      </c>
      <c r="D263" s="168" t="s">
        <v>880</v>
      </c>
      <c r="E263" s="168" t="s">
        <v>2404</v>
      </c>
      <c r="F263" s="168"/>
      <c r="G263" s="168"/>
    </row>
    <row r="264" spans="1:7">
      <c r="A264" s="169"/>
      <c r="B264" s="169" t="s">
        <v>2398</v>
      </c>
      <c r="C264" s="169" t="s">
        <v>2405</v>
      </c>
      <c r="D264" s="169" t="s">
        <v>839</v>
      </c>
      <c r="E264" s="169" t="s">
        <v>83</v>
      </c>
      <c r="F264" s="169"/>
      <c r="G264" s="169"/>
    </row>
    <row r="265" spans="1:7">
      <c r="A265" s="168"/>
      <c r="B265" s="168" t="s">
        <v>2398</v>
      </c>
      <c r="C265" s="168" t="s">
        <v>46</v>
      </c>
      <c r="D265" s="168" t="s">
        <v>837</v>
      </c>
      <c r="E265" s="168"/>
      <c r="F265" s="168"/>
      <c r="G265" s="168"/>
    </row>
    <row r="266" spans="1:7">
      <c r="A266" s="169"/>
      <c r="B266" s="169" t="s">
        <v>2398</v>
      </c>
      <c r="C266" s="169" t="s">
        <v>2406</v>
      </c>
      <c r="D266" s="169" t="s">
        <v>2407</v>
      </c>
      <c r="E266" s="169"/>
      <c r="F266" s="169" t="s">
        <v>2408</v>
      </c>
      <c r="G266" s="169"/>
    </row>
    <row r="267" spans="1:7">
      <c r="A267" s="167" t="s">
        <v>2409</v>
      </c>
      <c r="B267" s="167"/>
      <c r="C267" s="167"/>
      <c r="D267" s="167"/>
      <c r="E267" s="167"/>
      <c r="F267" s="167"/>
      <c r="G267" s="167"/>
    </row>
    <row r="268" spans="1:7">
      <c r="A268" s="169"/>
      <c r="B268" s="169" t="s">
        <v>2410</v>
      </c>
      <c r="C268" s="169" t="s">
        <v>2411</v>
      </c>
      <c r="D268" s="169" t="s">
        <v>825</v>
      </c>
      <c r="E268" s="169" t="s">
        <v>2412</v>
      </c>
      <c r="F268" s="169" t="s">
        <v>855</v>
      </c>
      <c r="G268" s="169"/>
    </row>
    <row r="269" spans="1:7">
      <c r="A269" s="168"/>
      <c r="B269" s="168" t="s">
        <v>2410</v>
      </c>
      <c r="C269" s="168" t="s">
        <v>2401</v>
      </c>
      <c r="D269" s="168" t="s">
        <v>880</v>
      </c>
      <c r="E269" s="168" t="s">
        <v>2402</v>
      </c>
      <c r="F269" s="168"/>
      <c r="G269" s="168"/>
    </row>
    <row r="270" spans="1:7">
      <c r="A270" s="169"/>
      <c r="B270" s="169" t="s">
        <v>2410</v>
      </c>
      <c r="C270" s="169" t="s">
        <v>2413</v>
      </c>
      <c r="D270" s="169" t="s">
        <v>880</v>
      </c>
      <c r="E270" s="169" t="s">
        <v>2414</v>
      </c>
      <c r="F270" s="169"/>
      <c r="G270" s="169"/>
    </row>
    <row r="271" spans="1:7">
      <c r="A271" s="168"/>
      <c r="B271" s="168" t="s">
        <v>2410</v>
      </c>
      <c r="C271" s="168" t="s">
        <v>2415</v>
      </c>
      <c r="D271" s="168" t="s">
        <v>828</v>
      </c>
      <c r="E271" s="168" t="s">
        <v>2416</v>
      </c>
      <c r="F271" s="168"/>
      <c r="G271" s="168"/>
    </row>
    <row r="272" spans="1:7">
      <c r="A272" s="169"/>
      <c r="B272" s="169" t="s">
        <v>2410</v>
      </c>
      <c r="C272" s="169" t="s">
        <v>2417</v>
      </c>
      <c r="D272" s="169" t="s">
        <v>845</v>
      </c>
      <c r="E272" s="169" t="s">
        <v>2418</v>
      </c>
      <c r="F272" s="169"/>
      <c r="G272" s="169"/>
    </row>
    <row r="273" spans="1:7">
      <c r="A273" s="168"/>
      <c r="B273" s="168" t="s">
        <v>2410</v>
      </c>
      <c r="C273" s="168" t="s">
        <v>2419</v>
      </c>
      <c r="D273" s="168" t="s">
        <v>2407</v>
      </c>
      <c r="E273" s="168"/>
      <c r="F273" s="168" t="s">
        <v>2420</v>
      </c>
      <c r="G273" s="168"/>
    </row>
    <row r="274" spans="1:7">
      <c r="A274" s="169"/>
      <c r="B274" s="169" t="s">
        <v>2410</v>
      </c>
      <c r="C274" s="169" t="s">
        <v>2421</v>
      </c>
      <c r="D274" s="169" t="s">
        <v>839</v>
      </c>
      <c r="E274" s="169" t="s">
        <v>83</v>
      </c>
      <c r="F274" s="169"/>
      <c r="G274" s="169"/>
    </row>
    <row r="275" spans="1:7">
      <c r="A275" s="168"/>
      <c r="B275" s="168" t="s">
        <v>2410</v>
      </c>
      <c r="C275" s="168" t="s">
        <v>2422</v>
      </c>
      <c r="D275" s="168" t="s">
        <v>825</v>
      </c>
      <c r="E275" s="168"/>
      <c r="F275" s="168" t="s">
        <v>2423</v>
      </c>
      <c r="G275" s="168"/>
    </row>
    <row r="276" spans="1:7">
      <c r="A276" s="167" t="s">
        <v>2424</v>
      </c>
      <c r="B276" s="167"/>
      <c r="C276" s="167"/>
      <c r="D276" s="167"/>
      <c r="E276" s="167"/>
      <c r="F276" s="167"/>
      <c r="G276" s="167"/>
    </row>
    <row r="277" spans="1:7">
      <c r="A277" s="168"/>
      <c r="B277" s="168" t="s">
        <v>2425</v>
      </c>
      <c r="C277" s="168" t="s">
        <v>2426</v>
      </c>
      <c r="D277" s="168" t="s">
        <v>825</v>
      </c>
      <c r="E277" s="168" t="s">
        <v>2427</v>
      </c>
      <c r="F277" s="168"/>
      <c r="G277" s="168"/>
    </row>
    <row r="278" spans="1:7">
      <c r="A278" s="169"/>
      <c r="B278" s="169" t="s">
        <v>2425</v>
      </c>
      <c r="C278" s="169" t="s">
        <v>1446</v>
      </c>
      <c r="D278" s="169" t="s">
        <v>825</v>
      </c>
      <c r="E278" s="169" t="s">
        <v>75</v>
      </c>
      <c r="F278" s="169"/>
      <c r="G278" s="169"/>
    </row>
    <row r="279" spans="1:7">
      <c r="A279" s="168"/>
      <c r="B279" s="168" t="s">
        <v>2425</v>
      </c>
      <c r="C279" s="168" t="s">
        <v>2428</v>
      </c>
      <c r="D279" s="168" t="s">
        <v>837</v>
      </c>
      <c r="E279" s="168">
        <v>29000</v>
      </c>
      <c r="F279" s="168"/>
      <c r="G279" s="168"/>
    </row>
    <row r="280" spans="1:7">
      <c r="A280" s="169"/>
      <c r="B280" s="169" t="s">
        <v>2425</v>
      </c>
      <c r="C280" s="169" t="s">
        <v>2429</v>
      </c>
      <c r="D280" s="169" t="s">
        <v>2407</v>
      </c>
      <c r="E280" s="169"/>
      <c r="F280" s="169" t="s">
        <v>2430</v>
      </c>
      <c r="G280" s="169"/>
    </row>
    <row r="281" spans="1:7">
      <c r="A281" s="168"/>
      <c r="B281" s="168" t="s">
        <v>2431</v>
      </c>
      <c r="C281" s="168" t="s">
        <v>2432</v>
      </c>
      <c r="D281" s="168" t="s">
        <v>825</v>
      </c>
      <c r="E281" s="168"/>
      <c r="F281" s="168" t="s">
        <v>855</v>
      </c>
      <c r="G281" s="168"/>
    </row>
    <row r="282" spans="1:7">
      <c r="A282" s="169"/>
      <c r="B282" s="169" t="s">
        <v>2431</v>
      </c>
      <c r="C282" s="169" t="s">
        <v>2401</v>
      </c>
      <c r="D282" s="169" t="s">
        <v>880</v>
      </c>
      <c r="E282" s="169"/>
      <c r="F282" s="169"/>
      <c r="G282" s="169"/>
    </row>
    <row r="283" spans="1:7">
      <c r="A283" s="168"/>
      <c r="B283" s="168" t="s">
        <v>2431</v>
      </c>
      <c r="C283" s="168" t="s">
        <v>2433</v>
      </c>
      <c r="D283" s="168" t="s">
        <v>880</v>
      </c>
      <c r="E283" s="168" t="s">
        <v>2434</v>
      </c>
      <c r="F283" s="168"/>
      <c r="G283" s="168"/>
    </row>
    <row r="284" spans="1:7">
      <c r="A284" s="169"/>
      <c r="B284" s="169" t="s">
        <v>2431</v>
      </c>
      <c r="C284" s="169" t="s">
        <v>2435</v>
      </c>
      <c r="D284" s="169" t="s">
        <v>839</v>
      </c>
      <c r="E284" s="169"/>
      <c r="F284" s="169"/>
      <c r="G284" s="169"/>
    </row>
    <row r="285" spans="1:7">
      <c r="A285" s="168"/>
      <c r="B285" s="168" t="s">
        <v>2431</v>
      </c>
      <c r="C285" s="168" t="s">
        <v>2436</v>
      </c>
      <c r="D285" s="168" t="s">
        <v>839</v>
      </c>
      <c r="E285" s="168"/>
      <c r="F285" s="168"/>
      <c r="G285" s="168"/>
    </row>
    <row r="286" spans="1:7">
      <c r="A286" s="169"/>
      <c r="B286" s="169" t="s">
        <v>2431</v>
      </c>
      <c r="C286" s="169" t="s">
        <v>2437</v>
      </c>
      <c r="D286" s="169" t="s">
        <v>845</v>
      </c>
      <c r="E286" s="169" t="s">
        <v>846</v>
      </c>
      <c r="F286" s="169"/>
      <c r="G286" s="169"/>
    </row>
    <row r="287" spans="1:7">
      <c r="A287" s="167" t="s">
        <v>2438</v>
      </c>
      <c r="B287" s="167"/>
      <c r="C287" s="167"/>
      <c r="D287" s="167"/>
      <c r="E287" s="167"/>
      <c r="F287" s="167"/>
      <c r="G287" s="167"/>
    </row>
    <row r="288" spans="1:7">
      <c r="A288" s="169"/>
      <c r="B288" s="169" t="s">
        <v>2439</v>
      </c>
      <c r="C288" s="169" t="s">
        <v>2440</v>
      </c>
      <c r="D288" s="169" t="s">
        <v>825</v>
      </c>
      <c r="E288" s="169" t="s">
        <v>2441</v>
      </c>
      <c r="F288" s="169" t="s">
        <v>855</v>
      </c>
      <c r="G288" s="169"/>
    </row>
    <row r="289" spans="1:7">
      <c r="A289" s="168"/>
      <c r="B289" s="168" t="s">
        <v>2439</v>
      </c>
      <c r="C289" s="168" t="s">
        <v>18</v>
      </c>
      <c r="D289" s="168" t="s">
        <v>825</v>
      </c>
      <c r="E289" s="168" t="s">
        <v>80</v>
      </c>
      <c r="F289" s="168"/>
      <c r="G289" s="168"/>
    </row>
    <row r="290" spans="1:7">
      <c r="A290" s="169"/>
      <c r="B290" s="169" t="s">
        <v>2439</v>
      </c>
      <c r="C290" s="169" t="s">
        <v>2442</v>
      </c>
      <c r="D290" s="169" t="s">
        <v>825</v>
      </c>
      <c r="E290" s="169" t="s">
        <v>2443</v>
      </c>
      <c r="F290" s="169"/>
      <c r="G290" s="169"/>
    </row>
    <row r="291" spans="1:7">
      <c r="A291" s="168"/>
      <c r="B291" s="168" t="s">
        <v>2439</v>
      </c>
      <c r="C291" s="168" t="s">
        <v>2444</v>
      </c>
      <c r="D291" s="168" t="s">
        <v>825</v>
      </c>
      <c r="E291" s="168"/>
      <c r="F291" s="168"/>
      <c r="G291" s="168"/>
    </row>
    <row r="292" spans="1:7">
      <c r="A292" s="169"/>
      <c r="B292" s="169" t="s">
        <v>2439</v>
      </c>
      <c r="C292" s="169" t="s">
        <v>2445</v>
      </c>
      <c r="D292" s="169" t="s">
        <v>825</v>
      </c>
      <c r="E292" s="169"/>
      <c r="F292" s="169"/>
      <c r="G292" s="169"/>
    </row>
    <row r="293" spans="1:7">
      <c r="A293" s="168"/>
      <c r="B293" s="168" t="s">
        <v>2439</v>
      </c>
      <c r="C293" s="168" t="s">
        <v>2446</v>
      </c>
      <c r="D293" s="168" t="s">
        <v>828</v>
      </c>
      <c r="E293" s="168" t="s">
        <v>2447</v>
      </c>
      <c r="F293" s="168"/>
      <c r="G293" s="168"/>
    </row>
    <row r="294" spans="1:7">
      <c r="A294" s="169"/>
      <c r="B294" s="169" t="s">
        <v>2011</v>
      </c>
      <c r="C294" s="169" t="s">
        <v>2448</v>
      </c>
      <c r="D294" s="169" t="s">
        <v>825</v>
      </c>
      <c r="E294" s="169" t="s">
        <v>2449</v>
      </c>
      <c r="F294" s="169" t="s">
        <v>855</v>
      </c>
      <c r="G294" s="169"/>
    </row>
    <row r="295" spans="1:7">
      <c r="A295" s="168"/>
      <c r="B295" s="168" t="s">
        <v>2011</v>
      </c>
      <c r="C295" s="168" t="s">
        <v>2450</v>
      </c>
      <c r="D295" s="168" t="s">
        <v>880</v>
      </c>
      <c r="E295" s="168" t="s">
        <v>2451</v>
      </c>
      <c r="F295" s="168"/>
      <c r="G295" s="168"/>
    </row>
    <row r="296" spans="1:7">
      <c r="A296" s="169"/>
      <c r="B296" s="169" t="s">
        <v>2011</v>
      </c>
      <c r="C296" s="169" t="s">
        <v>2452</v>
      </c>
      <c r="D296" s="169" t="s">
        <v>880</v>
      </c>
      <c r="E296" s="169" t="s">
        <v>881</v>
      </c>
      <c r="F296" s="169"/>
      <c r="G296" s="169"/>
    </row>
    <row r="297" spans="1:7" ht="25.5">
      <c r="A297" s="168"/>
      <c r="B297" s="168" t="s">
        <v>2011</v>
      </c>
      <c r="C297" s="168" t="s">
        <v>2453</v>
      </c>
      <c r="D297" s="168" t="s">
        <v>2407</v>
      </c>
      <c r="E297" s="168"/>
      <c r="F297" s="168" t="s">
        <v>2454</v>
      </c>
      <c r="G297" s="170" t="s">
        <v>2455</v>
      </c>
    </row>
    <row r="298" spans="1:7">
      <c r="A298" s="169"/>
      <c r="B298" s="169" t="s">
        <v>2011</v>
      </c>
      <c r="C298" s="169" t="s">
        <v>63</v>
      </c>
      <c r="D298" s="169" t="s">
        <v>837</v>
      </c>
      <c r="E298" s="169"/>
      <c r="F298" s="169"/>
      <c r="G298" s="169"/>
    </row>
    <row r="299" spans="1:7">
      <c r="A299" s="168"/>
      <c r="B299" s="168" t="s">
        <v>2011</v>
      </c>
      <c r="C299" s="168" t="s">
        <v>2456</v>
      </c>
      <c r="D299" s="168" t="s">
        <v>845</v>
      </c>
      <c r="E299" s="168" t="s">
        <v>846</v>
      </c>
      <c r="F299" s="168"/>
      <c r="G299" s="168"/>
    </row>
    <row r="300" spans="1:7">
      <c r="A300" s="167" t="s">
        <v>2457</v>
      </c>
      <c r="B300" s="167"/>
      <c r="C300" s="167"/>
      <c r="D300" s="167"/>
      <c r="E300" s="167"/>
      <c r="F300" s="167"/>
      <c r="G300" s="167"/>
    </row>
    <row r="301" spans="1:7">
      <c r="A301" s="168"/>
      <c r="B301" s="168" t="s">
        <v>2458</v>
      </c>
      <c r="C301" s="168" t="s">
        <v>2459</v>
      </c>
      <c r="D301" s="168" t="s">
        <v>825</v>
      </c>
      <c r="E301" s="168"/>
      <c r="F301" s="168" t="s">
        <v>855</v>
      </c>
      <c r="G301" s="168"/>
    </row>
    <row r="302" spans="1:7">
      <c r="A302" s="169"/>
      <c r="B302" s="169" t="s">
        <v>2458</v>
      </c>
      <c r="C302" s="169" t="s">
        <v>2401</v>
      </c>
      <c r="D302" s="169" t="s">
        <v>880</v>
      </c>
      <c r="E302" s="169"/>
      <c r="F302" s="169"/>
      <c r="G302" s="169"/>
    </row>
    <row r="303" spans="1:7">
      <c r="A303" s="168"/>
      <c r="B303" s="168" t="s">
        <v>2458</v>
      </c>
      <c r="C303" s="168" t="s">
        <v>27</v>
      </c>
      <c r="D303" s="168" t="s">
        <v>825</v>
      </c>
      <c r="E303" s="168"/>
      <c r="F303" s="168" t="s">
        <v>2460</v>
      </c>
      <c r="G303" s="168"/>
    </row>
    <row r="304" spans="1:7">
      <c r="A304" s="169"/>
      <c r="B304" s="169" t="s">
        <v>2458</v>
      </c>
      <c r="C304" s="169" t="s">
        <v>870</v>
      </c>
      <c r="D304" s="169" t="s">
        <v>825</v>
      </c>
      <c r="E304" s="169"/>
      <c r="F304" s="169" t="s">
        <v>2461</v>
      </c>
      <c r="G304" s="169"/>
    </row>
    <row r="305" spans="1:7">
      <c r="A305" s="168"/>
      <c r="B305" s="168" t="s">
        <v>2458</v>
      </c>
      <c r="C305" s="168" t="s">
        <v>2462</v>
      </c>
      <c r="D305" s="168" t="s">
        <v>837</v>
      </c>
      <c r="E305" s="168"/>
      <c r="F305" s="168" t="s">
        <v>2463</v>
      </c>
      <c r="G305" s="168"/>
    </row>
    <row r="306" spans="1:7">
      <c r="A306" s="169"/>
      <c r="B306" s="169" t="s">
        <v>1322</v>
      </c>
      <c r="C306" s="169" t="s">
        <v>2464</v>
      </c>
      <c r="D306" s="169" t="s">
        <v>825</v>
      </c>
      <c r="E306" s="169"/>
      <c r="F306" s="169" t="s">
        <v>855</v>
      </c>
      <c r="G306" s="169"/>
    </row>
    <row r="307" spans="1:7">
      <c r="A307" s="168"/>
      <c r="B307" s="168" t="s">
        <v>1322</v>
      </c>
      <c r="C307" s="168" t="s">
        <v>2465</v>
      </c>
      <c r="D307" s="168" t="s">
        <v>880</v>
      </c>
      <c r="E307" s="168" t="s">
        <v>2466</v>
      </c>
      <c r="F307" s="168"/>
      <c r="G307" s="168"/>
    </row>
    <row r="308" spans="1:7">
      <c r="A308" s="169"/>
      <c r="B308" s="169" t="s">
        <v>1322</v>
      </c>
      <c r="C308" s="169" t="s">
        <v>2467</v>
      </c>
      <c r="D308" s="169" t="s">
        <v>837</v>
      </c>
      <c r="E308" s="169"/>
      <c r="F308" s="169" t="s">
        <v>2468</v>
      </c>
      <c r="G308" s="170" t="s">
        <v>2469</v>
      </c>
    </row>
    <row r="309" spans="1:7" ht="25.5">
      <c r="A309" s="168"/>
      <c r="B309" s="168" t="s">
        <v>1322</v>
      </c>
      <c r="C309" s="168" t="s">
        <v>2470</v>
      </c>
      <c r="D309" s="168" t="s">
        <v>2407</v>
      </c>
      <c r="E309" s="168"/>
      <c r="F309" s="168" t="s">
        <v>2471</v>
      </c>
      <c r="G309" s="170" t="s">
        <v>2472</v>
      </c>
    </row>
    <row r="310" spans="1:7">
      <c r="A310" s="169"/>
      <c r="B310" s="169" t="s">
        <v>1322</v>
      </c>
      <c r="C310" s="169" t="s">
        <v>2473</v>
      </c>
      <c r="D310" s="169" t="s">
        <v>839</v>
      </c>
      <c r="E310" s="169"/>
      <c r="F310" s="169" t="s">
        <v>2474</v>
      </c>
      <c r="G310" s="169"/>
    </row>
    <row r="311" spans="1:7">
      <c r="A311" s="167" t="s">
        <v>2475</v>
      </c>
      <c r="B311" s="167"/>
      <c r="C311" s="167"/>
      <c r="D311" s="167"/>
      <c r="E311" s="167"/>
      <c r="F311" s="167"/>
      <c r="G311" s="167"/>
    </row>
    <row r="312" spans="1:7">
      <c r="A312" s="169"/>
      <c r="B312" s="169" t="s">
        <v>2476</v>
      </c>
      <c r="C312" s="169" t="s">
        <v>2477</v>
      </c>
      <c r="D312" s="169" t="s">
        <v>825</v>
      </c>
      <c r="E312" s="169" t="s">
        <v>2478</v>
      </c>
      <c r="F312" s="169" t="s">
        <v>855</v>
      </c>
      <c r="G312" s="169"/>
    </row>
    <row r="313" spans="1:7">
      <c r="A313" s="168"/>
      <c r="B313" s="168" t="s">
        <v>2476</v>
      </c>
      <c r="C313" s="168" t="s">
        <v>2479</v>
      </c>
      <c r="D313" s="168" t="s">
        <v>825</v>
      </c>
      <c r="E313" s="168" t="s">
        <v>2480</v>
      </c>
      <c r="F313" s="168"/>
      <c r="G313" s="168"/>
    </row>
    <row r="314" spans="1:7">
      <c r="A314" s="169"/>
      <c r="B314" s="169" t="s">
        <v>2476</v>
      </c>
      <c r="C314" s="169" t="s">
        <v>2481</v>
      </c>
      <c r="D314" s="169" t="s">
        <v>825</v>
      </c>
      <c r="E314" s="169"/>
      <c r="F314" s="169"/>
      <c r="G314" s="169"/>
    </row>
    <row r="315" spans="1:7">
      <c r="A315" s="168"/>
      <c r="B315" s="168" t="s">
        <v>2476</v>
      </c>
      <c r="C315" s="168" t="s">
        <v>427</v>
      </c>
      <c r="D315" s="168" t="s">
        <v>828</v>
      </c>
      <c r="E315" s="168" t="s">
        <v>2482</v>
      </c>
      <c r="F315" s="168"/>
      <c r="G315" s="168"/>
    </row>
    <row r="316" spans="1:7">
      <c r="A316" s="169"/>
      <c r="B316" s="169" t="s">
        <v>2476</v>
      </c>
      <c r="C316" s="169" t="s">
        <v>2483</v>
      </c>
      <c r="D316" s="169" t="s">
        <v>837</v>
      </c>
      <c r="E316" s="169">
        <v>1</v>
      </c>
      <c r="F316" s="169"/>
      <c r="G316" s="169"/>
    </row>
    <row r="317" spans="1:7">
      <c r="A317" s="168"/>
      <c r="B317" s="168" t="s">
        <v>2484</v>
      </c>
      <c r="C317" s="168" t="s">
        <v>2485</v>
      </c>
      <c r="D317" s="168" t="s">
        <v>825</v>
      </c>
      <c r="E317" s="168"/>
      <c r="F317" s="168" t="s">
        <v>855</v>
      </c>
      <c r="G317" s="168"/>
    </row>
    <row r="318" spans="1:7">
      <c r="A318" s="169"/>
      <c r="B318" s="169" t="s">
        <v>2484</v>
      </c>
      <c r="C318" s="169" t="s">
        <v>2401</v>
      </c>
      <c r="D318" s="169" t="s">
        <v>880</v>
      </c>
      <c r="E318" s="169"/>
      <c r="F318" s="169" t="s">
        <v>2486</v>
      </c>
      <c r="G318" s="169"/>
    </row>
    <row r="319" spans="1:7">
      <c r="A319" s="168"/>
      <c r="B319" s="168" t="s">
        <v>2484</v>
      </c>
      <c r="C319" s="168" t="s">
        <v>2487</v>
      </c>
      <c r="D319" s="168" t="s">
        <v>2407</v>
      </c>
      <c r="E319" s="168"/>
      <c r="F319" s="168" t="s">
        <v>2488</v>
      </c>
      <c r="G319" s="168"/>
    </row>
    <row r="320" spans="1:7">
      <c r="A320" s="169"/>
      <c r="B320" s="169" t="s">
        <v>2484</v>
      </c>
      <c r="C320" s="169" t="s">
        <v>2489</v>
      </c>
      <c r="D320" s="169" t="s">
        <v>845</v>
      </c>
      <c r="E320" s="169" t="s">
        <v>846</v>
      </c>
      <c r="F320" s="169" t="s">
        <v>2490</v>
      </c>
      <c r="G320" s="169"/>
    </row>
    <row r="321" spans="1:7">
      <c r="A321" s="168"/>
      <c r="B321" s="168" t="s">
        <v>2484</v>
      </c>
      <c r="C321" s="168" t="s">
        <v>2491</v>
      </c>
      <c r="D321" s="168" t="s">
        <v>2492</v>
      </c>
      <c r="E321" s="168"/>
      <c r="F321" s="168"/>
      <c r="G321" s="168"/>
    </row>
    <row r="322" spans="1:7">
      <c r="A322" s="167" t="s">
        <v>2493</v>
      </c>
      <c r="B322" s="167"/>
      <c r="C322" s="167"/>
      <c r="D322" s="167"/>
      <c r="E322" s="167"/>
      <c r="F322" s="167"/>
      <c r="G322" s="167"/>
    </row>
    <row r="323" spans="1:7">
      <c r="A323" s="168"/>
      <c r="B323" s="168" t="s">
        <v>2494</v>
      </c>
      <c r="C323" s="168" t="s">
        <v>2495</v>
      </c>
      <c r="D323" s="168" t="s">
        <v>825</v>
      </c>
      <c r="E323" s="168"/>
      <c r="F323" s="168" t="s">
        <v>855</v>
      </c>
      <c r="G323" s="168"/>
    </row>
    <row r="324" spans="1:7">
      <c r="A324" s="169"/>
      <c r="B324" s="169" t="s">
        <v>2494</v>
      </c>
      <c r="C324" s="169" t="s">
        <v>2496</v>
      </c>
      <c r="D324" s="169" t="s">
        <v>828</v>
      </c>
      <c r="E324" s="169" t="s">
        <v>2497</v>
      </c>
      <c r="F324" s="169"/>
      <c r="G324" s="169"/>
    </row>
    <row r="325" spans="1:7">
      <c r="A325" s="168"/>
      <c r="B325" s="168" t="s">
        <v>2494</v>
      </c>
      <c r="C325" s="168" t="s">
        <v>2498</v>
      </c>
      <c r="D325" s="168" t="s">
        <v>839</v>
      </c>
      <c r="E325" s="168"/>
      <c r="F325" s="168"/>
      <c r="G325" s="168"/>
    </row>
    <row r="326" spans="1:7">
      <c r="A326" s="169"/>
      <c r="B326" s="169" t="s">
        <v>2494</v>
      </c>
      <c r="C326" s="169" t="s">
        <v>27</v>
      </c>
      <c r="D326" s="169" t="s">
        <v>825</v>
      </c>
      <c r="E326" s="169"/>
      <c r="F326" s="169" t="s">
        <v>2499</v>
      </c>
      <c r="G326" s="169"/>
    </row>
    <row r="327" spans="1:7">
      <c r="A327" s="168"/>
      <c r="B327" s="168" t="s">
        <v>2494</v>
      </c>
      <c r="C327" s="168" t="s">
        <v>2500</v>
      </c>
      <c r="D327" s="168" t="s">
        <v>837</v>
      </c>
      <c r="E327" s="168"/>
      <c r="F327" s="168"/>
      <c r="G327" s="168"/>
    </row>
    <row r="328" spans="1:7">
      <c r="A328" s="169"/>
      <c r="B328" s="169" t="s">
        <v>2494</v>
      </c>
      <c r="C328" s="169" t="s">
        <v>2501</v>
      </c>
      <c r="D328" s="169" t="s">
        <v>837</v>
      </c>
      <c r="E328" s="169"/>
      <c r="F328" s="169"/>
      <c r="G328" s="169"/>
    </row>
    <row r="329" spans="1:7">
      <c r="A329" s="168"/>
      <c r="B329" s="168" t="s">
        <v>2494</v>
      </c>
      <c r="C329" s="168" t="s">
        <v>2502</v>
      </c>
      <c r="D329" s="168" t="s">
        <v>837</v>
      </c>
      <c r="E329" s="168"/>
      <c r="F329" s="168"/>
      <c r="G329" s="168"/>
    </row>
    <row r="330" spans="1:7">
      <c r="A330" s="169"/>
      <c r="B330" s="169" t="s">
        <v>2494</v>
      </c>
      <c r="C330" s="169" t="s">
        <v>2503</v>
      </c>
      <c r="D330" s="169" t="s">
        <v>837</v>
      </c>
      <c r="E330" s="169"/>
      <c r="F330" s="169" t="s">
        <v>2504</v>
      </c>
      <c r="G330" s="169"/>
    </row>
    <row r="331" spans="1:7">
      <c r="A331" s="168"/>
      <c r="B331" s="168" t="s">
        <v>2494</v>
      </c>
      <c r="C331" s="168" t="s">
        <v>2505</v>
      </c>
      <c r="D331" s="168" t="s">
        <v>837</v>
      </c>
      <c r="E331" s="168"/>
      <c r="F331" s="168" t="s">
        <v>2506</v>
      </c>
      <c r="G331" s="168"/>
    </row>
    <row r="332" spans="1:7">
      <c r="A332" s="169"/>
      <c r="B332" s="169" t="s">
        <v>2494</v>
      </c>
      <c r="C332" s="169" t="s">
        <v>2507</v>
      </c>
      <c r="D332" s="169" t="s">
        <v>837</v>
      </c>
      <c r="E332" s="169"/>
      <c r="F332" s="169"/>
      <c r="G332" s="169"/>
    </row>
    <row r="333" spans="1:7">
      <c r="A333" s="168"/>
      <c r="B333" s="168" t="s">
        <v>2494</v>
      </c>
      <c r="C333" s="168" t="s">
        <v>2508</v>
      </c>
      <c r="D333" s="168" t="s">
        <v>837</v>
      </c>
      <c r="E333" s="168"/>
      <c r="F333" s="168" t="s">
        <v>2509</v>
      </c>
      <c r="G333" s="168"/>
    </row>
  </sheetData>
  <phoneticPr fontId="10" type="noConversion"/>
  <printOptions horizontalCentered="1" gridLines="1"/>
  <pageMargins left="0.25" right="0.25"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69"/>
  <sheetViews>
    <sheetView workbookViewId="0">
      <selection activeCell="K35" sqref="K35"/>
    </sheetView>
  </sheetViews>
  <sheetFormatPr defaultColWidth="12.5703125" defaultRowHeight="12.75"/>
  <cols>
    <col min="1" max="1" width="4.7109375" customWidth="1"/>
    <col min="2" max="2" width="7.7109375" customWidth="1"/>
    <col min="4" max="4" width="17.42578125" customWidth="1"/>
    <col min="5" max="5" width="18.140625" customWidth="1"/>
    <col min="6" max="6" width="19.42578125" customWidth="1"/>
    <col min="7" max="7" width="12.140625" customWidth="1"/>
    <col min="8" max="8" width="56.85546875" customWidth="1"/>
    <col min="9" max="9" width="9.7109375" customWidth="1"/>
  </cols>
  <sheetData>
    <row r="1" spans="1:25" ht="39">
      <c r="B1" s="65"/>
      <c r="C1" s="65"/>
      <c r="D1" s="65"/>
      <c r="E1" s="65"/>
      <c r="F1" s="65"/>
      <c r="G1" s="65"/>
      <c r="H1" s="65" t="s">
        <v>977</v>
      </c>
      <c r="I1" s="65"/>
      <c r="J1" s="65"/>
    </row>
    <row r="2" spans="1:25">
      <c r="B2" s="72"/>
      <c r="C2" s="72"/>
      <c r="D2" s="72"/>
      <c r="E2" s="72"/>
      <c r="F2" s="72"/>
      <c r="G2" s="72"/>
      <c r="H2" s="72" t="s">
        <v>978</v>
      </c>
      <c r="I2" s="72"/>
      <c r="J2" s="72"/>
    </row>
    <row r="3" spans="1:25" ht="63">
      <c r="A3" s="97"/>
      <c r="B3" s="97" t="s">
        <v>249</v>
      </c>
      <c r="C3" s="97"/>
      <c r="D3" s="97"/>
      <c r="E3" s="97"/>
      <c r="F3" s="97"/>
      <c r="G3" s="97"/>
      <c r="H3" s="97"/>
      <c r="I3" s="97"/>
      <c r="J3" s="97"/>
      <c r="K3" s="1"/>
      <c r="L3" s="1"/>
      <c r="M3" s="1"/>
      <c r="N3" s="1"/>
      <c r="O3" s="1"/>
      <c r="P3" s="1"/>
      <c r="Q3" s="1"/>
      <c r="R3" s="1"/>
      <c r="S3" s="1"/>
      <c r="T3" s="1"/>
      <c r="U3" s="1"/>
      <c r="V3" s="1"/>
      <c r="W3" s="1"/>
      <c r="X3" s="1"/>
      <c r="Y3" s="1"/>
    </row>
    <row r="4" spans="1:25" ht="25.5">
      <c r="A4" s="98"/>
      <c r="B4" s="175" t="s">
        <v>250</v>
      </c>
      <c r="C4" s="176"/>
      <c r="D4" s="99" t="s">
        <v>251</v>
      </c>
      <c r="E4" s="99" t="s">
        <v>252</v>
      </c>
      <c r="F4" s="99" t="s">
        <v>253</v>
      </c>
      <c r="G4" s="99" t="s">
        <v>254</v>
      </c>
      <c r="H4" s="99" t="s">
        <v>255</v>
      </c>
      <c r="I4" s="99" t="s">
        <v>256</v>
      </c>
      <c r="J4" s="98"/>
      <c r="K4" s="1"/>
      <c r="L4" s="1"/>
      <c r="M4" s="1"/>
      <c r="N4" s="1"/>
      <c r="O4" s="1"/>
      <c r="P4" s="1"/>
      <c r="Q4" s="1"/>
      <c r="R4" s="1"/>
      <c r="S4" s="1"/>
      <c r="T4" s="1"/>
      <c r="U4" s="1"/>
      <c r="V4" s="1"/>
      <c r="W4" s="1"/>
      <c r="X4" s="1"/>
      <c r="Y4" s="1"/>
    </row>
    <row r="5" spans="1:25">
      <c r="A5" s="101"/>
      <c r="B5" s="102" t="s">
        <v>257</v>
      </c>
      <c r="C5" s="102" t="s">
        <v>258</v>
      </c>
      <c r="D5" s="102" t="s">
        <v>95</v>
      </c>
      <c r="E5" s="102" t="s">
        <v>259</v>
      </c>
      <c r="F5" s="102" t="s">
        <v>260</v>
      </c>
      <c r="G5" s="102" t="s">
        <v>257</v>
      </c>
      <c r="H5" s="102" t="s">
        <v>261</v>
      </c>
      <c r="I5" s="102"/>
      <c r="J5" s="101"/>
      <c r="K5" s="1"/>
      <c r="L5" s="1"/>
      <c r="M5" s="1"/>
      <c r="N5" s="1"/>
      <c r="O5" s="1"/>
      <c r="P5" s="1"/>
      <c r="Q5" s="1"/>
      <c r="R5" s="1"/>
      <c r="S5" s="1"/>
      <c r="T5" s="1"/>
      <c r="U5" s="1"/>
      <c r="V5" s="1"/>
      <c r="W5" s="1"/>
      <c r="X5" s="1"/>
      <c r="Y5" s="1"/>
    </row>
    <row r="6" spans="1:25" ht="25.5">
      <c r="A6" s="71"/>
      <c r="B6" s="75"/>
      <c r="C6" s="75"/>
      <c r="D6" s="75"/>
      <c r="E6" s="75" t="s">
        <v>262</v>
      </c>
      <c r="F6" s="75"/>
      <c r="G6" s="75" t="s">
        <v>257</v>
      </c>
      <c r="H6" s="75" t="s">
        <v>263</v>
      </c>
      <c r="I6" s="75"/>
      <c r="J6" s="71"/>
      <c r="K6" s="1"/>
      <c r="L6" s="1"/>
      <c r="M6" s="1"/>
      <c r="N6" s="1"/>
      <c r="O6" s="1"/>
      <c r="P6" s="1"/>
      <c r="Q6" s="1"/>
      <c r="R6" s="1"/>
      <c r="S6" s="1"/>
      <c r="T6" s="1"/>
      <c r="U6" s="1"/>
      <c r="V6" s="1"/>
      <c r="W6" s="1"/>
      <c r="X6" s="1"/>
      <c r="Y6" s="1"/>
    </row>
    <row r="7" spans="1:25">
      <c r="A7" s="73"/>
      <c r="B7" s="74"/>
      <c r="C7" s="74"/>
      <c r="D7" s="74"/>
      <c r="E7" s="74" t="s">
        <v>264</v>
      </c>
      <c r="F7" s="74"/>
      <c r="G7" s="74" t="s">
        <v>257</v>
      </c>
      <c r="H7" s="74"/>
      <c r="I7" s="74"/>
      <c r="J7" s="73"/>
      <c r="K7" s="1"/>
      <c r="L7" s="1"/>
      <c r="M7" s="1"/>
      <c r="N7" s="1"/>
      <c r="O7" s="1"/>
      <c r="P7" s="1"/>
      <c r="Q7" s="1"/>
      <c r="R7" s="1"/>
      <c r="S7" s="1"/>
      <c r="T7" s="1"/>
      <c r="U7" s="1"/>
      <c r="V7" s="1"/>
      <c r="W7" s="1"/>
      <c r="X7" s="1"/>
      <c r="Y7" s="1"/>
    </row>
    <row r="8" spans="1:25">
      <c r="A8" s="71"/>
      <c r="B8" s="75"/>
      <c r="C8" s="75"/>
      <c r="D8" s="75"/>
      <c r="E8" s="75" t="s">
        <v>265</v>
      </c>
      <c r="F8" s="75"/>
      <c r="G8" s="75" t="s">
        <v>257</v>
      </c>
      <c r="H8" s="75"/>
      <c r="I8" s="75"/>
      <c r="J8" s="71"/>
      <c r="K8" s="1"/>
      <c r="L8" s="1"/>
      <c r="M8" s="1"/>
      <c r="N8" s="1"/>
      <c r="O8" s="1"/>
      <c r="P8" s="1"/>
      <c r="Q8" s="1"/>
      <c r="R8" s="1"/>
      <c r="S8" s="1"/>
      <c r="T8" s="1"/>
      <c r="U8" s="1"/>
      <c r="V8" s="1"/>
      <c r="W8" s="1"/>
      <c r="X8" s="1"/>
      <c r="Y8" s="1"/>
    </row>
    <row r="9" spans="1:25">
      <c r="A9" s="73"/>
      <c r="B9" s="74"/>
      <c r="C9" s="74"/>
      <c r="D9" s="74" t="s">
        <v>266</v>
      </c>
      <c r="E9" s="74" t="s">
        <v>267</v>
      </c>
      <c r="F9" s="74"/>
      <c r="G9" s="74" t="s">
        <v>257</v>
      </c>
      <c r="H9" s="74"/>
      <c r="I9" s="74"/>
      <c r="J9" s="73"/>
      <c r="K9" s="1"/>
      <c r="L9" s="1"/>
      <c r="M9" s="1"/>
      <c r="N9" s="1"/>
      <c r="O9" s="1"/>
      <c r="P9" s="1"/>
      <c r="Q9" s="1"/>
      <c r="R9" s="1"/>
      <c r="S9" s="1"/>
      <c r="T9" s="1"/>
      <c r="U9" s="1"/>
      <c r="V9" s="1"/>
      <c r="W9" s="1"/>
      <c r="X9" s="1"/>
      <c r="Y9" s="1"/>
    </row>
    <row r="10" spans="1:25">
      <c r="A10" s="71"/>
      <c r="B10" s="75"/>
      <c r="C10" s="75"/>
      <c r="D10" s="75"/>
      <c r="E10" s="75" t="s">
        <v>268</v>
      </c>
      <c r="F10" s="75"/>
      <c r="G10" s="75" t="s">
        <v>257</v>
      </c>
      <c r="H10" s="75"/>
      <c r="I10" s="75"/>
      <c r="J10" s="71"/>
      <c r="K10" s="1"/>
      <c r="L10" s="1"/>
      <c r="M10" s="1"/>
      <c r="N10" s="1"/>
      <c r="O10" s="1"/>
      <c r="P10" s="1"/>
      <c r="Q10" s="1"/>
      <c r="R10" s="1"/>
      <c r="S10" s="1"/>
      <c r="T10" s="1"/>
      <c r="U10" s="1"/>
      <c r="V10" s="1"/>
      <c r="W10" s="1"/>
      <c r="X10" s="1"/>
      <c r="Y10" s="1"/>
    </row>
    <row r="11" spans="1:25">
      <c r="A11" s="73"/>
      <c r="B11" s="74"/>
      <c r="C11" s="74"/>
      <c r="D11" s="74"/>
      <c r="E11" s="74" t="s">
        <v>269</v>
      </c>
      <c r="F11" s="74" t="s">
        <v>270</v>
      </c>
      <c r="G11" s="74" t="s">
        <v>257</v>
      </c>
      <c r="H11" s="74"/>
      <c r="I11" s="74"/>
      <c r="J11" s="73"/>
      <c r="K11" s="1"/>
      <c r="L11" s="1"/>
      <c r="M11" s="1"/>
      <c r="N11" s="1"/>
      <c r="O11" s="1"/>
      <c r="P11" s="1"/>
      <c r="Q11" s="1"/>
      <c r="R11" s="1"/>
      <c r="S11" s="1"/>
      <c r="T11" s="1"/>
      <c r="U11" s="1"/>
      <c r="V11" s="1"/>
      <c r="W11" s="1"/>
      <c r="X11" s="1"/>
      <c r="Y11" s="1"/>
    </row>
    <row r="12" spans="1:25">
      <c r="A12" s="71"/>
      <c r="B12" s="75"/>
      <c r="C12" s="75"/>
      <c r="D12" s="75"/>
      <c r="E12" s="75"/>
      <c r="F12" s="75" t="s">
        <v>271</v>
      </c>
      <c r="G12" s="75" t="s">
        <v>257</v>
      </c>
      <c r="H12" s="75"/>
      <c r="I12" s="75"/>
      <c r="J12" s="71"/>
      <c r="K12" s="1"/>
      <c r="L12" s="1"/>
      <c r="M12" s="1"/>
      <c r="N12" s="1"/>
      <c r="O12" s="1"/>
      <c r="P12" s="1"/>
      <c r="Q12" s="1"/>
      <c r="R12" s="1"/>
      <c r="S12" s="1"/>
      <c r="T12" s="1"/>
      <c r="U12" s="1"/>
      <c r="V12" s="1"/>
      <c r="W12" s="1"/>
      <c r="X12" s="1"/>
      <c r="Y12" s="1"/>
    </row>
    <row r="13" spans="1:25">
      <c r="A13" s="73"/>
      <c r="B13" s="74"/>
      <c r="C13" s="74"/>
      <c r="D13" s="74"/>
      <c r="E13" s="74"/>
      <c r="F13" s="74" t="s">
        <v>272</v>
      </c>
      <c r="G13" s="74" t="s">
        <v>257</v>
      </c>
      <c r="H13" s="74"/>
      <c r="I13" s="74"/>
      <c r="J13" s="73"/>
      <c r="K13" s="1"/>
      <c r="L13" s="1"/>
      <c r="M13" s="1"/>
      <c r="N13" s="1"/>
      <c r="O13" s="1"/>
      <c r="P13" s="1"/>
      <c r="Q13" s="1"/>
      <c r="R13" s="1"/>
      <c r="S13" s="1"/>
      <c r="T13" s="1"/>
      <c r="U13" s="1"/>
      <c r="V13" s="1"/>
      <c r="W13" s="1"/>
      <c r="X13" s="1"/>
      <c r="Y13" s="1"/>
    </row>
    <row r="14" spans="1:25">
      <c r="A14" s="71"/>
      <c r="B14" s="75"/>
      <c r="C14" s="75"/>
      <c r="D14" s="75"/>
      <c r="E14" s="75"/>
      <c r="F14" s="75" t="s">
        <v>273</v>
      </c>
      <c r="G14" s="75" t="s">
        <v>257</v>
      </c>
      <c r="H14" s="75"/>
      <c r="I14" s="75"/>
      <c r="J14" s="71"/>
      <c r="K14" s="1"/>
      <c r="L14" s="1"/>
      <c r="M14" s="1"/>
      <c r="N14" s="1"/>
      <c r="O14" s="1"/>
      <c r="P14" s="1"/>
      <c r="Q14" s="1"/>
      <c r="R14" s="1"/>
      <c r="S14" s="1"/>
      <c r="T14" s="1"/>
      <c r="U14" s="1"/>
      <c r="V14" s="1"/>
      <c r="W14" s="1"/>
      <c r="X14" s="1"/>
      <c r="Y14" s="1"/>
    </row>
    <row r="15" spans="1:25">
      <c r="A15" s="73"/>
      <c r="B15" s="74"/>
      <c r="C15" s="74"/>
      <c r="D15" s="74" t="s">
        <v>274</v>
      </c>
      <c r="E15" s="74" t="s">
        <v>205</v>
      </c>
      <c r="F15" s="74" t="s">
        <v>275</v>
      </c>
      <c r="G15" s="74" t="s">
        <v>257</v>
      </c>
      <c r="H15" s="74"/>
      <c r="I15" s="74"/>
      <c r="J15" s="73"/>
      <c r="K15" s="1"/>
      <c r="L15" s="1"/>
      <c r="M15" s="1"/>
      <c r="N15" s="1"/>
      <c r="O15" s="1"/>
      <c r="P15" s="1"/>
      <c r="Q15" s="1"/>
      <c r="R15" s="1"/>
      <c r="S15" s="1"/>
      <c r="T15" s="1"/>
      <c r="U15" s="1"/>
      <c r="V15" s="1"/>
      <c r="W15" s="1"/>
      <c r="X15" s="1"/>
      <c r="Y15" s="1"/>
    </row>
    <row r="16" spans="1:25" ht="51">
      <c r="A16" s="71"/>
      <c r="B16" s="75"/>
      <c r="C16" s="75"/>
      <c r="D16" s="75"/>
      <c r="E16" s="75"/>
      <c r="F16" s="75" t="s">
        <v>276</v>
      </c>
      <c r="G16" s="75" t="s">
        <v>257</v>
      </c>
      <c r="H16" s="75" t="s">
        <v>277</v>
      </c>
      <c r="I16" s="75"/>
      <c r="J16" s="71"/>
      <c r="K16" s="1"/>
      <c r="L16" s="1"/>
      <c r="M16" s="1"/>
      <c r="N16" s="1"/>
      <c r="O16" s="1"/>
      <c r="P16" s="1"/>
      <c r="Q16" s="1"/>
      <c r="R16" s="1"/>
      <c r="S16" s="1"/>
      <c r="T16" s="1"/>
      <c r="U16" s="1"/>
      <c r="V16" s="1"/>
      <c r="W16" s="1"/>
      <c r="X16" s="1"/>
      <c r="Y16" s="1"/>
    </row>
    <row r="17" spans="1:25">
      <c r="A17" s="73"/>
      <c r="B17" s="74"/>
      <c r="C17" s="74"/>
      <c r="D17" s="74" t="s">
        <v>278</v>
      </c>
      <c r="E17" s="74" t="s">
        <v>92</v>
      </c>
      <c r="F17" s="74" t="s">
        <v>99</v>
      </c>
      <c r="G17" s="74" t="s">
        <v>257</v>
      </c>
      <c r="H17" s="74"/>
      <c r="I17" s="74"/>
      <c r="J17" s="73"/>
      <c r="K17" s="1"/>
      <c r="L17" s="1"/>
      <c r="M17" s="1"/>
      <c r="N17" s="1"/>
      <c r="O17" s="1"/>
      <c r="P17" s="1"/>
      <c r="Q17" s="1"/>
      <c r="R17" s="1"/>
      <c r="S17" s="1"/>
      <c r="T17" s="1"/>
      <c r="U17" s="1"/>
      <c r="V17" s="1"/>
      <c r="W17" s="1"/>
      <c r="X17" s="1"/>
      <c r="Y17" s="1"/>
    </row>
    <row r="18" spans="1:25">
      <c r="A18" s="71"/>
      <c r="B18" s="75"/>
      <c r="C18" s="75"/>
      <c r="D18" s="75"/>
      <c r="E18" s="75"/>
      <c r="F18" s="75" t="s">
        <v>93</v>
      </c>
      <c r="G18" s="75" t="s">
        <v>257</v>
      </c>
      <c r="H18" s="75" t="s">
        <v>279</v>
      </c>
      <c r="I18" s="75"/>
      <c r="J18" s="71"/>
      <c r="K18" s="1"/>
      <c r="L18" s="1"/>
      <c r="M18" s="1"/>
      <c r="N18" s="1"/>
      <c r="O18" s="1"/>
      <c r="P18" s="1"/>
      <c r="Q18" s="1"/>
      <c r="R18" s="1"/>
      <c r="S18" s="1"/>
      <c r="T18" s="1"/>
      <c r="U18" s="1"/>
      <c r="V18" s="1"/>
      <c r="W18" s="1"/>
      <c r="X18" s="1"/>
      <c r="Y18" s="1"/>
    </row>
    <row r="19" spans="1:25">
      <c r="A19" s="73"/>
      <c r="B19" s="74"/>
      <c r="C19" s="74"/>
      <c r="D19" s="74"/>
      <c r="E19" s="74" t="s">
        <v>280</v>
      </c>
      <c r="F19" s="74" t="s">
        <v>280</v>
      </c>
      <c r="G19" s="74" t="s">
        <v>257</v>
      </c>
      <c r="H19" s="74"/>
      <c r="I19" s="74"/>
      <c r="J19" s="73"/>
      <c r="K19" s="1"/>
      <c r="L19" s="1"/>
      <c r="M19" s="1"/>
      <c r="N19" s="1"/>
      <c r="O19" s="1"/>
      <c r="P19" s="1"/>
      <c r="Q19" s="1"/>
      <c r="R19" s="1"/>
      <c r="S19" s="1"/>
      <c r="T19" s="1"/>
      <c r="U19" s="1"/>
      <c r="V19" s="1"/>
      <c r="W19" s="1"/>
      <c r="X19" s="1"/>
      <c r="Y19" s="1"/>
    </row>
    <row r="20" spans="1:25">
      <c r="A20" s="71"/>
      <c r="B20" s="75"/>
      <c r="C20" s="75"/>
      <c r="D20" s="75"/>
      <c r="E20" s="75" t="s">
        <v>281</v>
      </c>
      <c r="F20" s="75"/>
      <c r="G20" s="75" t="s">
        <v>282</v>
      </c>
      <c r="H20" s="75" t="s">
        <v>282</v>
      </c>
      <c r="I20" s="75"/>
      <c r="J20" s="71"/>
      <c r="K20" s="1"/>
      <c r="L20" s="1"/>
      <c r="M20" s="1"/>
      <c r="N20" s="1"/>
      <c r="O20" s="1"/>
      <c r="P20" s="1"/>
      <c r="Q20" s="1"/>
      <c r="R20" s="1"/>
      <c r="S20" s="1"/>
      <c r="T20" s="1"/>
      <c r="U20" s="1"/>
      <c r="V20" s="1"/>
      <c r="W20" s="1"/>
      <c r="X20" s="1"/>
      <c r="Y20" s="1"/>
    </row>
    <row r="21" spans="1:25">
      <c r="A21" s="73"/>
      <c r="B21" s="74"/>
      <c r="C21" s="74"/>
      <c r="D21" s="74"/>
      <c r="E21" s="74" t="s">
        <v>98</v>
      </c>
      <c r="F21" s="74" t="s">
        <v>283</v>
      </c>
      <c r="G21" s="74" t="s">
        <v>257</v>
      </c>
      <c r="H21" s="74" t="s">
        <v>284</v>
      </c>
      <c r="I21" s="74"/>
      <c r="J21" s="73"/>
      <c r="K21" s="1"/>
      <c r="L21" s="1"/>
      <c r="M21" s="1"/>
      <c r="N21" s="1"/>
      <c r="O21" s="1"/>
      <c r="P21" s="1"/>
      <c r="Q21" s="1"/>
      <c r="R21" s="1"/>
      <c r="S21" s="1"/>
      <c r="T21" s="1"/>
      <c r="U21" s="1"/>
      <c r="V21" s="1"/>
      <c r="W21" s="1"/>
      <c r="X21" s="1"/>
      <c r="Y21" s="1"/>
    </row>
    <row r="22" spans="1:25">
      <c r="A22" s="71"/>
      <c r="B22" s="75"/>
      <c r="C22" s="75"/>
      <c r="D22" s="75"/>
      <c r="E22" s="75"/>
      <c r="F22" s="75" t="s">
        <v>285</v>
      </c>
      <c r="G22" s="75" t="s">
        <v>257</v>
      </c>
      <c r="H22" s="75" t="s">
        <v>286</v>
      </c>
      <c r="I22" s="75"/>
      <c r="J22" s="71"/>
      <c r="K22" s="1"/>
      <c r="L22" s="1"/>
      <c r="M22" s="1"/>
      <c r="N22" s="1"/>
      <c r="O22" s="1"/>
      <c r="P22" s="1"/>
      <c r="Q22" s="1"/>
      <c r="R22" s="1"/>
      <c r="S22" s="1"/>
      <c r="T22" s="1"/>
      <c r="U22" s="1"/>
      <c r="V22" s="1"/>
      <c r="W22" s="1"/>
      <c r="X22" s="1"/>
      <c r="Y22" s="1"/>
    </row>
    <row r="23" spans="1:25">
      <c r="A23" s="73"/>
      <c r="B23" s="74"/>
      <c r="C23" s="74"/>
      <c r="D23" s="74"/>
      <c r="E23" s="74" t="s">
        <v>287</v>
      </c>
      <c r="F23" s="74"/>
      <c r="G23" s="74" t="s">
        <v>257</v>
      </c>
      <c r="H23" s="74" t="s">
        <v>288</v>
      </c>
      <c r="I23" s="74"/>
      <c r="J23" s="73"/>
      <c r="K23" s="1"/>
      <c r="L23" s="1"/>
      <c r="M23" s="1"/>
      <c r="N23" s="1"/>
      <c r="O23" s="1"/>
      <c r="P23" s="1"/>
      <c r="Q23" s="1"/>
      <c r="R23" s="1"/>
      <c r="S23" s="1"/>
      <c r="T23" s="1"/>
      <c r="U23" s="1"/>
      <c r="V23" s="1"/>
      <c r="W23" s="1"/>
      <c r="X23" s="1"/>
      <c r="Y23" s="1"/>
    </row>
    <row r="24" spans="1:25" ht="25.5">
      <c r="A24" s="71"/>
      <c r="B24" s="75"/>
      <c r="C24" s="75"/>
      <c r="D24" s="75" t="s">
        <v>289</v>
      </c>
      <c r="E24" s="75" t="s">
        <v>290</v>
      </c>
      <c r="F24" s="75" t="s">
        <v>291</v>
      </c>
      <c r="G24" s="75" t="s">
        <v>257</v>
      </c>
      <c r="H24" s="75" t="s">
        <v>263</v>
      </c>
      <c r="I24" s="75"/>
      <c r="J24" s="71"/>
      <c r="K24" s="1"/>
      <c r="L24" s="1"/>
      <c r="M24" s="1"/>
      <c r="N24" s="1"/>
      <c r="O24" s="1"/>
      <c r="P24" s="1"/>
      <c r="Q24" s="1"/>
      <c r="R24" s="1"/>
      <c r="S24" s="1"/>
      <c r="T24" s="1"/>
      <c r="U24" s="1"/>
      <c r="V24" s="1"/>
      <c r="W24" s="1"/>
      <c r="X24" s="1"/>
      <c r="Y24" s="1"/>
    </row>
    <row r="25" spans="1:25">
      <c r="A25" s="73"/>
      <c r="B25" s="74"/>
      <c r="C25" s="74"/>
      <c r="D25" s="74"/>
      <c r="E25" s="74"/>
      <c r="F25" s="74" t="s">
        <v>292</v>
      </c>
      <c r="G25" s="74" t="s">
        <v>257</v>
      </c>
      <c r="H25" s="74" t="s">
        <v>293</v>
      </c>
      <c r="I25" s="74"/>
      <c r="J25" s="73"/>
      <c r="K25" s="1"/>
      <c r="L25" s="1"/>
      <c r="M25" s="1"/>
      <c r="N25" s="1"/>
      <c r="O25" s="1"/>
      <c r="P25" s="1"/>
      <c r="Q25" s="1"/>
      <c r="R25" s="1"/>
      <c r="S25" s="1"/>
      <c r="T25" s="1"/>
      <c r="U25" s="1"/>
      <c r="V25" s="1"/>
      <c r="W25" s="1"/>
      <c r="X25" s="1"/>
      <c r="Y25" s="1"/>
    </row>
    <row r="26" spans="1:25">
      <c r="A26" s="71"/>
      <c r="B26" s="75"/>
      <c r="C26" s="75"/>
      <c r="D26" s="75"/>
      <c r="E26" s="75"/>
      <c r="F26" s="75" t="s">
        <v>294</v>
      </c>
      <c r="G26" s="75" t="s">
        <v>257</v>
      </c>
      <c r="H26" s="75"/>
      <c r="I26" s="75"/>
      <c r="J26" s="71"/>
      <c r="K26" s="1"/>
      <c r="L26" s="1"/>
      <c r="M26" s="1"/>
      <c r="N26" s="1"/>
      <c r="O26" s="1"/>
      <c r="P26" s="1"/>
      <c r="Q26" s="1"/>
      <c r="R26" s="1"/>
      <c r="S26" s="1"/>
      <c r="T26" s="1"/>
      <c r="U26" s="1"/>
      <c r="V26" s="1"/>
      <c r="W26" s="1"/>
      <c r="X26" s="1"/>
      <c r="Y26" s="1"/>
    </row>
    <row r="27" spans="1:25">
      <c r="A27" s="73"/>
      <c r="B27" s="74"/>
      <c r="C27" s="74"/>
      <c r="D27" s="74"/>
      <c r="E27" s="74"/>
      <c r="F27" s="74" t="s">
        <v>295</v>
      </c>
      <c r="G27" s="74" t="s">
        <v>257</v>
      </c>
      <c r="H27" s="74"/>
      <c r="I27" s="74"/>
      <c r="J27" s="73"/>
      <c r="K27" s="1"/>
      <c r="L27" s="1"/>
      <c r="M27" s="1"/>
      <c r="N27" s="1"/>
      <c r="O27" s="1"/>
      <c r="P27" s="1"/>
      <c r="Q27" s="1"/>
      <c r="R27" s="1"/>
      <c r="S27" s="1"/>
      <c r="T27" s="1"/>
      <c r="U27" s="1"/>
      <c r="V27" s="1"/>
      <c r="W27" s="1"/>
      <c r="X27" s="1"/>
      <c r="Y27" s="1"/>
    </row>
    <row r="28" spans="1:25">
      <c r="A28" s="71"/>
      <c r="B28" s="75"/>
      <c r="C28" s="75"/>
      <c r="D28" s="75"/>
      <c r="E28" s="75" t="s">
        <v>296</v>
      </c>
      <c r="F28" s="75" t="s">
        <v>297</v>
      </c>
      <c r="G28" s="75" t="s">
        <v>257</v>
      </c>
      <c r="H28" s="75" t="s">
        <v>298</v>
      </c>
      <c r="I28" s="75"/>
      <c r="J28" s="71"/>
      <c r="K28" s="1"/>
      <c r="L28" s="1"/>
      <c r="M28" s="1"/>
      <c r="N28" s="1"/>
      <c r="O28" s="1"/>
      <c r="P28" s="1"/>
      <c r="Q28" s="1"/>
      <c r="R28" s="1"/>
      <c r="S28" s="1"/>
      <c r="T28" s="1"/>
      <c r="U28" s="1"/>
      <c r="V28" s="1"/>
      <c r="W28" s="1"/>
      <c r="X28" s="1"/>
      <c r="Y28" s="1"/>
    </row>
    <row r="29" spans="1:25" ht="25.5">
      <c r="A29" s="73"/>
      <c r="B29" s="74"/>
      <c r="C29" s="74"/>
      <c r="D29" s="74"/>
      <c r="E29" s="74"/>
      <c r="F29" s="74" t="s">
        <v>299</v>
      </c>
      <c r="G29" s="74" t="s">
        <v>257</v>
      </c>
      <c r="H29" s="74" t="s">
        <v>300</v>
      </c>
      <c r="I29" s="74"/>
      <c r="J29" s="73"/>
      <c r="K29" s="1"/>
      <c r="L29" s="1"/>
      <c r="M29" s="1"/>
      <c r="N29" s="1"/>
      <c r="O29" s="1"/>
      <c r="P29" s="1"/>
      <c r="Q29" s="1"/>
      <c r="R29" s="1"/>
      <c r="S29" s="1"/>
      <c r="T29" s="1"/>
      <c r="U29" s="1"/>
      <c r="V29" s="1"/>
      <c r="W29" s="1"/>
      <c r="X29" s="1"/>
      <c r="Y29" s="1"/>
    </row>
    <row r="30" spans="1:25">
      <c r="A30" s="71"/>
      <c r="B30" s="75"/>
      <c r="C30" s="75"/>
      <c r="D30" s="75"/>
      <c r="E30" s="75"/>
      <c r="F30" s="75" t="s">
        <v>301</v>
      </c>
      <c r="G30" s="75" t="s">
        <v>257</v>
      </c>
      <c r="H30" s="75" t="s">
        <v>302</v>
      </c>
      <c r="I30" s="75"/>
      <c r="J30" s="71"/>
      <c r="K30" s="1"/>
      <c r="L30" s="1"/>
      <c r="M30" s="1"/>
      <c r="N30" s="1"/>
      <c r="O30" s="1"/>
      <c r="P30" s="1"/>
      <c r="Q30" s="1"/>
      <c r="R30" s="1"/>
      <c r="S30" s="1"/>
      <c r="T30" s="1"/>
      <c r="U30" s="1"/>
      <c r="V30" s="1"/>
      <c r="W30" s="1"/>
      <c r="X30" s="1"/>
      <c r="Y30" s="1"/>
    </row>
    <row r="31" spans="1:25">
      <c r="A31" s="73"/>
      <c r="B31" s="74"/>
      <c r="C31" s="74"/>
      <c r="D31" s="74"/>
      <c r="E31" s="74" t="s">
        <v>303</v>
      </c>
      <c r="F31" s="74" t="s">
        <v>304</v>
      </c>
      <c r="G31" s="74" t="s">
        <v>257</v>
      </c>
      <c r="H31" s="74"/>
      <c r="I31" s="74"/>
      <c r="J31" s="73"/>
      <c r="K31" s="1"/>
      <c r="L31" s="1"/>
      <c r="M31" s="1"/>
      <c r="N31" s="1"/>
      <c r="O31" s="1"/>
      <c r="P31" s="1"/>
      <c r="Q31" s="1"/>
      <c r="R31" s="1"/>
      <c r="S31" s="1"/>
      <c r="T31" s="1"/>
      <c r="U31" s="1"/>
      <c r="V31" s="1"/>
      <c r="W31" s="1"/>
      <c r="X31" s="1"/>
      <c r="Y31" s="1"/>
    </row>
    <row r="32" spans="1:25">
      <c r="A32" s="71"/>
      <c r="B32" s="75"/>
      <c r="C32" s="75"/>
      <c r="D32" s="75"/>
      <c r="E32" s="75"/>
      <c r="F32" s="75" t="s">
        <v>93</v>
      </c>
      <c r="G32" s="75" t="s">
        <v>257</v>
      </c>
      <c r="H32" s="75" t="s">
        <v>305</v>
      </c>
      <c r="I32" s="75"/>
      <c r="J32" s="71"/>
      <c r="K32" s="1"/>
      <c r="L32" s="1"/>
      <c r="M32" s="1"/>
      <c r="N32" s="1"/>
      <c r="O32" s="1"/>
      <c r="P32" s="1"/>
      <c r="Q32" s="1"/>
      <c r="R32" s="1"/>
      <c r="S32" s="1"/>
      <c r="T32" s="1"/>
      <c r="U32" s="1"/>
      <c r="V32" s="1"/>
      <c r="W32" s="1"/>
      <c r="X32" s="1"/>
      <c r="Y32" s="1"/>
    </row>
    <row r="33" spans="1:25">
      <c r="A33" s="73"/>
      <c r="B33" s="74"/>
      <c r="C33" s="74"/>
      <c r="D33" s="74"/>
      <c r="E33" s="74" t="s">
        <v>306</v>
      </c>
      <c r="F33" s="74" t="s">
        <v>307</v>
      </c>
      <c r="G33" s="74" t="s">
        <v>257</v>
      </c>
      <c r="H33" s="74" t="s">
        <v>308</v>
      </c>
      <c r="I33" s="74"/>
      <c r="J33" s="73"/>
      <c r="K33" s="1"/>
      <c r="L33" s="1"/>
      <c r="M33" s="1"/>
      <c r="N33" s="1"/>
      <c r="O33" s="1"/>
      <c r="P33" s="1"/>
      <c r="Q33" s="1"/>
      <c r="R33" s="1"/>
      <c r="S33" s="1"/>
      <c r="T33" s="1"/>
      <c r="U33" s="1"/>
      <c r="V33" s="1"/>
      <c r="W33" s="1"/>
      <c r="X33" s="1"/>
      <c r="Y33" s="1"/>
    </row>
    <row r="34" spans="1:25">
      <c r="A34" s="71"/>
      <c r="B34" s="75"/>
      <c r="C34" s="75"/>
      <c r="D34" s="75"/>
      <c r="E34" s="75"/>
      <c r="F34" s="75" t="s">
        <v>309</v>
      </c>
      <c r="G34" s="75" t="s">
        <v>257</v>
      </c>
      <c r="H34" s="75"/>
      <c r="I34" s="75"/>
      <c r="J34" s="71"/>
      <c r="K34" s="1"/>
      <c r="L34" s="1"/>
      <c r="M34" s="1"/>
      <c r="N34" s="1"/>
      <c r="O34" s="1"/>
      <c r="P34" s="1"/>
      <c r="Q34" s="1"/>
      <c r="R34" s="1"/>
      <c r="S34" s="1"/>
      <c r="T34" s="1"/>
      <c r="U34" s="1"/>
      <c r="V34" s="1"/>
      <c r="W34" s="1"/>
      <c r="X34" s="1"/>
      <c r="Y34" s="1"/>
    </row>
    <row r="35" spans="1:25">
      <c r="A35" s="73"/>
      <c r="B35" s="74"/>
      <c r="C35" s="74"/>
      <c r="D35" s="74"/>
      <c r="E35" s="74"/>
      <c r="F35" s="74" t="s">
        <v>310</v>
      </c>
      <c r="G35" s="74" t="s">
        <v>257</v>
      </c>
      <c r="H35" s="74"/>
      <c r="I35" s="74"/>
      <c r="J35" s="73"/>
      <c r="K35" s="1"/>
      <c r="L35" s="1"/>
      <c r="M35" s="1"/>
      <c r="N35" s="1"/>
      <c r="O35" s="1"/>
      <c r="P35" s="1"/>
      <c r="Q35" s="1"/>
      <c r="R35" s="1"/>
      <c r="S35" s="1"/>
      <c r="T35" s="1"/>
      <c r="U35" s="1"/>
      <c r="V35" s="1"/>
      <c r="W35" s="1"/>
      <c r="X35" s="1"/>
      <c r="Y35" s="1"/>
    </row>
    <row r="36" spans="1:25">
      <c r="A36" s="71"/>
      <c r="B36" s="75"/>
      <c r="C36" s="75"/>
      <c r="D36" s="75"/>
      <c r="E36" s="75" t="s">
        <v>268</v>
      </c>
      <c r="F36" s="75"/>
      <c r="G36" s="75" t="s">
        <v>257</v>
      </c>
      <c r="H36" s="75"/>
      <c r="I36" s="75"/>
      <c r="J36" s="71"/>
      <c r="K36" s="1"/>
      <c r="L36" s="1"/>
      <c r="M36" s="1"/>
      <c r="N36" s="1"/>
      <c r="O36" s="1"/>
      <c r="P36" s="1"/>
      <c r="Q36" s="1"/>
      <c r="R36" s="1"/>
      <c r="S36" s="1"/>
      <c r="T36" s="1"/>
      <c r="U36" s="1"/>
      <c r="V36" s="1"/>
      <c r="W36" s="1"/>
      <c r="X36" s="1"/>
      <c r="Y36" s="1"/>
    </row>
    <row r="37" spans="1:25">
      <c r="A37" s="73"/>
      <c r="B37" s="74"/>
      <c r="C37" s="74"/>
      <c r="D37" s="74"/>
      <c r="E37" s="74" t="s">
        <v>311</v>
      </c>
      <c r="F37" s="74"/>
      <c r="G37" s="74" t="s">
        <v>257</v>
      </c>
      <c r="H37" s="74"/>
      <c r="I37" s="74"/>
      <c r="J37" s="73"/>
      <c r="K37" s="1"/>
      <c r="L37" s="1"/>
      <c r="M37" s="1"/>
      <c r="N37" s="1"/>
      <c r="O37" s="1"/>
      <c r="P37" s="1"/>
      <c r="Q37" s="1"/>
      <c r="R37" s="1"/>
      <c r="S37" s="1"/>
      <c r="T37" s="1"/>
      <c r="U37" s="1"/>
      <c r="V37" s="1"/>
      <c r="W37" s="1"/>
      <c r="X37" s="1"/>
      <c r="Y37" s="1"/>
    </row>
    <row r="38" spans="1:25">
      <c r="A38" s="71"/>
      <c r="B38" s="75"/>
      <c r="C38" s="75"/>
      <c r="D38" s="75" t="s">
        <v>312</v>
      </c>
      <c r="E38" s="75"/>
      <c r="F38" s="75"/>
      <c r="G38" s="75" t="s">
        <v>282</v>
      </c>
      <c r="H38" s="75"/>
      <c r="I38" s="75"/>
      <c r="J38" s="71"/>
      <c r="K38" s="1"/>
      <c r="L38" s="1"/>
      <c r="M38" s="1"/>
      <c r="N38" s="1"/>
      <c r="O38" s="1"/>
      <c r="P38" s="1"/>
      <c r="Q38" s="1"/>
      <c r="R38" s="1"/>
      <c r="S38" s="1"/>
      <c r="T38" s="1"/>
      <c r="U38" s="1"/>
      <c r="V38" s="1"/>
      <c r="W38" s="1"/>
      <c r="X38" s="1"/>
      <c r="Y38" s="1"/>
    </row>
    <row r="39" spans="1:25">
      <c r="A39" s="73"/>
      <c r="B39" s="74"/>
      <c r="C39" s="74"/>
      <c r="D39" s="74" t="s">
        <v>313</v>
      </c>
      <c r="E39" s="74" t="s">
        <v>314</v>
      </c>
      <c r="F39" s="74"/>
      <c r="G39" s="74" t="s">
        <v>257</v>
      </c>
      <c r="H39" s="74" t="s">
        <v>315</v>
      </c>
      <c r="I39" s="74"/>
      <c r="J39" s="73"/>
      <c r="K39" s="1"/>
      <c r="L39" s="1"/>
      <c r="M39" s="1"/>
      <c r="N39" s="1"/>
      <c r="O39" s="1"/>
      <c r="P39" s="1"/>
      <c r="Q39" s="1"/>
      <c r="R39" s="1"/>
      <c r="S39" s="1"/>
      <c r="T39" s="1"/>
      <c r="U39" s="1"/>
      <c r="V39" s="1"/>
      <c r="W39" s="1"/>
      <c r="X39" s="1"/>
      <c r="Y39" s="1"/>
    </row>
    <row r="40" spans="1:25" ht="51">
      <c r="A40" s="71"/>
      <c r="B40" s="75"/>
      <c r="C40" s="75"/>
      <c r="D40" s="75"/>
      <c r="E40" s="75" t="s">
        <v>276</v>
      </c>
      <c r="F40" s="75" t="s">
        <v>291</v>
      </c>
      <c r="G40" s="75" t="s">
        <v>257</v>
      </c>
      <c r="H40" s="75" t="s">
        <v>277</v>
      </c>
      <c r="I40" s="75"/>
      <c r="J40" s="71"/>
      <c r="K40" s="1"/>
      <c r="L40" s="1"/>
      <c r="M40" s="1"/>
      <c r="N40" s="1"/>
      <c r="O40" s="1"/>
      <c r="P40" s="1"/>
      <c r="Q40" s="1"/>
      <c r="R40" s="1"/>
      <c r="S40" s="1"/>
      <c r="T40" s="1"/>
      <c r="U40" s="1"/>
      <c r="V40" s="1"/>
      <c r="W40" s="1"/>
      <c r="X40" s="1"/>
      <c r="Y40" s="1"/>
    </row>
    <row r="41" spans="1:25" ht="38.25">
      <c r="A41" s="73"/>
      <c r="B41" s="74"/>
      <c r="C41" s="74"/>
      <c r="D41" s="74"/>
      <c r="E41" s="74"/>
      <c r="F41" s="74" t="s">
        <v>292</v>
      </c>
      <c r="G41" s="74" t="s">
        <v>257</v>
      </c>
      <c r="H41" s="74" t="s">
        <v>316</v>
      </c>
      <c r="I41" s="74"/>
      <c r="J41" s="73"/>
      <c r="K41" s="1"/>
      <c r="L41" s="1"/>
      <c r="M41" s="1"/>
      <c r="N41" s="1"/>
      <c r="O41" s="1"/>
      <c r="P41" s="1"/>
      <c r="Q41" s="1"/>
      <c r="R41" s="1"/>
      <c r="S41" s="1"/>
      <c r="T41" s="1"/>
      <c r="U41" s="1"/>
      <c r="V41" s="1"/>
      <c r="W41" s="1"/>
      <c r="X41" s="1"/>
      <c r="Y41" s="1"/>
    </row>
    <row r="42" spans="1:25">
      <c r="A42" s="71"/>
      <c r="B42" s="75"/>
      <c r="C42" s="75"/>
      <c r="D42" s="75"/>
      <c r="E42" s="75" t="s">
        <v>317</v>
      </c>
      <c r="F42" s="75" t="s">
        <v>297</v>
      </c>
      <c r="G42" s="75" t="s">
        <v>257</v>
      </c>
      <c r="H42" s="75" t="s">
        <v>318</v>
      </c>
      <c r="I42" s="75"/>
      <c r="J42" s="71"/>
      <c r="K42" s="1"/>
      <c r="L42" s="1"/>
      <c r="M42" s="1"/>
      <c r="N42" s="1"/>
      <c r="O42" s="1"/>
      <c r="P42" s="1"/>
      <c r="Q42" s="1"/>
      <c r="R42" s="1"/>
      <c r="S42" s="1"/>
      <c r="T42" s="1"/>
      <c r="U42" s="1"/>
      <c r="V42" s="1"/>
      <c r="W42" s="1"/>
      <c r="X42" s="1"/>
      <c r="Y42" s="1"/>
    </row>
    <row r="43" spans="1:25" ht="25.5">
      <c r="A43" s="73"/>
      <c r="B43" s="74"/>
      <c r="C43" s="74"/>
      <c r="D43" s="74"/>
      <c r="E43" s="74"/>
      <c r="F43" s="74" t="s">
        <v>299</v>
      </c>
      <c r="G43" s="74" t="s">
        <v>257</v>
      </c>
      <c r="H43" s="74" t="s">
        <v>319</v>
      </c>
      <c r="I43" s="74"/>
      <c r="J43" s="73"/>
      <c r="K43" s="1"/>
      <c r="L43" s="1"/>
      <c r="M43" s="1"/>
      <c r="N43" s="1"/>
      <c r="O43" s="1"/>
      <c r="P43" s="1"/>
      <c r="Q43" s="1"/>
      <c r="R43" s="1"/>
      <c r="S43" s="1"/>
      <c r="T43" s="1"/>
      <c r="U43" s="1"/>
      <c r="V43" s="1"/>
      <c r="W43" s="1"/>
      <c r="X43" s="1"/>
      <c r="Y43" s="1"/>
    </row>
    <row r="44" spans="1:25">
      <c r="A44" s="71"/>
      <c r="B44" s="75"/>
      <c r="C44" s="75"/>
      <c r="D44" s="75"/>
      <c r="E44" s="75"/>
      <c r="F44" s="75" t="s">
        <v>301</v>
      </c>
      <c r="G44" s="75" t="s">
        <v>257</v>
      </c>
      <c r="H44" s="75" t="s">
        <v>320</v>
      </c>
      <c r="I44" s="75"/>
      <c r="J44" s="71"/>
      <c r="K44" s="1"/>
      <c r="L44" s="1"/>
      <c r="M44" s="1"/>
      <c r="N44" s="1"/>
      <c r="O44" s="1"/>
      <c r="P44" s="1"/>
      <c r="Q44" s="1"/>
      <c r="R44" s="1"/>
      <c r="S44" s="1"/>
      <c r="T44" s="1"/>
      <c r="U44" s="1"/>
      <c r="V44" s="1"/>
      <c r="W44" s="1"/>
      <c r="X44" s="1"/>
      <c r="Y44" s="1"/>
    </row>
    <row r="45" spans="1:25">
      <c r="A45" s="73"/>
      <c r="B45" s="74"/>
      <c r="C45" s="74"/>
      <c r="D45" s="74" t="s">
        <v>149</v>
      </c>
      <c r="E45" s="74" t="s">
        <v>297</v>
      </c>
      <c r="F45" s="74"/>
      <c r="G45" s="74" t="s">
        <v>257</v>
      </c>
      <c r="H45" s="74" t="s">
        <v>321</v>
      </c>
      <c r="I45" s="74"/>
      <c r="J45" s="73"/>
      <c r="K45" s="1"/>
      <c r="L45" s="1"/>
      <c r="M45" s="1"/>
      <c r="N45" s="1"/>
      <c r="O45" s="1"/>
      <c r="P45" s="1"/>
      <c r="Q45" s="1"/>
      <c r="R45" s="1"/>
      <c r="S45" s="1"/>
      <c r="T45" s="1"/>
      <c r="U45" s="1"/>
      <c r="V45" s="1"/>
      <c r="W45" s="1"/>
      <c r="X45" s="1"/>
      <c r="Y45" s="1"/>
    </row>
    <row r="46" spans="1:25">
      <c r="A46" s="71"/>
      <c r="B46" s="75"/>
      <c r="C46" s="75"/>
      <c r="D46" s="75"/>
      <c r="E46" s="75" t="s">
        <v>299</v>
      </c>
      <c r="F46" s="75"/>
      <c r="G46" s="75" t="s">
        <v>257</v>
      </c>
      <c r="H46" s="75" t="s">
        <v>322</v>
      </c>
      <c r="I46" s="75"/>
      <c r="J46" s="71"/>
      <c r="K46" s="1"/>
      <c r="L46" s="1"/>
      <c r="M46" s="1"/>
      <c r="N46" s="1"/>
      <c r="O46" s="1"/>
      <c r="P46" s="1"/>
      <c r="Q46" s="1"/>
      <c r="R46" s="1"/>
      <c r="S46" s="1"/>
      <c r="T46" s="1"/>
      <c r="U46" s="1"/>
      <c r="V46" s="1"/>
      <c r="W46" s="1"/>
      <c r="X46" s="1"/>
      <c r="Y46" s="1"/>
    </row>
    <row r="47" spans="1:25">
      <c r="A47" s="73"/>
      <c r="B47" s="74"/>
      <c r="C47" s="74"/>
      <c r="D47" s="74" t="s">
        <v>151</v>
      </c>
      <c r="E47" s="74" t="s">
        <v>297</v>
      </c>
      <c r="F47" s="74"/>
      <c r="G47" s="74" t="s">
        <v>257</v>
      </c>
      <c r="H47" s="74" t="s">
        <v>323</v>
      </c>
      <c r="I47" s="74"/>
      <c r="J47" s="73"/>
      <c r="K47" s="1"/>
      <c r="L47" s="1"/>
      <c r="M47" s="1"/>
      <c r="N47" s="1"/>
      <c r="O47" s="1"/>
      <c r="P47" s="1"/>
      <c r="Q47" s="1"/>
      <c r="R47" s="1"/>
      <c r="S47" s="1"/>
      <c r="T47" s="1"/>
      <c r="U47" s="1"/>
      <c r="V47" s="1"/>
      <c r="W47" s="1"/>
      <c r="X47" s="1"/>
      <c r="Y47" s="1"/>
    </row>
    <row r="48" spans="1:25">
      <c r="A48" s="71"/>
      <c r="B48" s="75"/>
      <c r="C48" s="75"/>
      <c r="D48" s="75"/>
      <c r="E48" s="75" t="s">
        <v>324</v>
      </c>
      <c r="F48" s="75" t="s">
        <v>172</v>
      </c>
      <c r="G48" s="75" t="s">
        <v>257</v>
      </c>
      <c r="H48" s="75"/>
      <c r="I48" s="75"/>
      <c r="J48" s="71"/>
      <c r="K48" s="1"/>
      <c r="L48" s="1"/>
      <c r="M48" s="1"/>
      <c r="N48" s="1"/>
      <c r="O48" s="1"/>
      <c r="P48" s="1"/>
      <c r="Q48" s="1"/>
      <c r="R48" s="1"/>
      <c r="S48" s="1"/>
      <c r="T48" s="1"/>
      <c r="U48" s="1"/>
      <c r="V48" s="1"/>
      <c r="W48" s="1"/>
      <c r="X48" s="1"/>
      <c r="Y48" s="1"/>
    </row>
    <row r="49" spans="1:25">
      <c r="A49" s="73"/>
      <c r="B49" s="74"/>
      <c r="C49" s="74"/>
      <c r="D49" s="74"/>
      <c r="E49" s="74"/>
      <c r="F49" s="74" t="s">
        <v>325</v>
      </c>
      <c r="G49" s="74" t="s">
        <v>257</v>
      </c>
      <c r="H49" s="74"/>
      <c r="I49" s="74"/>
      <c r="J49" s="73"/>
      <c r="K49" s="1"/>
      <c r="L49" s="1"/>
      <c r="M49" s="1"/>
      <c r="N49" s="1"/>
      <c r="O49" s="1"/>
      <c r="P49" s="1"/>
      <c r="Q49" s="1"/>
      <c r="R49" s="1"/>
      <c r="S49" s="1"/>
      <c r="T49" s="1"/>
      <c r="U49" s="1"/>
      <c r="V49" s="1"/>
      <c r="W49" s="1"/>
      <c r="X49" s="1"/>
      <c r="Y49" s="1"/>
    </row>
    <row r="50" spans="1:25">
      <c r="A50" s="71"/>
      <c r="B50" s="75"/>
      <c r="C50" s="75"/>
      <c r="D50" s="75" t="s">
        <v>326</v>
      </c>
      <c r="E50" s="75" t="s">
        <v>327</v>
      </c>
      <c r="F50" s="75"/>
      <c r="G50" s="75" t="s">
        <v>257</v>
      </c>
      <c r="H50" s="75"/>
      <c r="I50" s="75"/>
      <c r="J50" s="71"/>
      <c r="K50" s="1"/>
      <c r="L50" s="1"/>
      <c r="M50" s="1"/>
      <c r="N50" s="1"/>
      <c r="O50" s="1"/>
      <c r="P50" s="1"/>
      <c r="Q50" s="1"/>
      <c r="R50" s="1"/>
      <c r="S50" s="1"/>
      <c r="T50" s="1"/>
      <c r="U50" s="1"/>
      <c r="V50" s="1"/>
      <c r="W50" s="1"/>
      <c r="X50" s="1"/>
      <c r="Y50" s="1"/>
    </row>
    <row r="51" spans="1:25">
      <c r="A51" s="73"/>
      <c r="B51" s="74"/>
      <c r="C51" s="74"/>
      <c r="D51" s="74"/>
      <c r="E51" s="74" t="s">
        <v>299</v>
      </c>
      <c r="F51" s="74"/>
      <c r="G51" s="74" t="s">
        <v>257</v>
      </c>
      <c r="H51" s="74" t="s">
        <v>328</v>
      </c>
      <c r="I51" s="74"/>
      <c r="J51" s="73"/>
      <c r="K51" s="1"/>
      <c r="L51" s="1"/>
      <c r="M51" s="1"/>
      <c r="N51" s="1"/>
      <c r="O51" s="1"/>
      <c r="P51" s="1"/>
      <c r="Q51" s="1"/>
      <c r="R51" s="1"/>
      <c r="S51" s="1"/>
      <c r="T51" s="1"/>
      <c r="U51" s="1"/>
      <c r="V51" s="1"/>
      <c r="W51" s="1"/>
      <c r="X51" s="1"/>
      <c r="Y51" s="1"/>
    </row>
    <row r="52" spans="1:25">
      <c r="A52" s="71"/>
      <c r="B52" s="75"/>
      <c r="C52" s="75"/>
      <c r="D52" s="75"/>
      <c r="E52" s="75" t="s">
        <v>301</v>
      </c>
      <c r="F52" s="75"/>
      <c r="G52" s="75" t="s">
        <v>257</v>
      </c>
      <c r="H52" s="75" t="s">
        <v>329</v>
      </c>
      <c r="I52" s="75"/>
      <c r="J52" s="71"/>
      <c r="K52" s="1"/>
      <c r="L52" s="1"/>
      <c r="M52" s="1"/>
      <c r="N52" s="1"/>
      <c r="O52" s="1"/>
      <c r="P52" s="1"/>
      <c r="Q52" s="1"/>
      <c r="R52" s="1"/>
      <c r="S52" s="1"/>
      <c r="T52" s="1"/>
      <c r="U52" s="1"/>
      <c r="V52" s="1"/>
      <c r="W52" s="1"/>
      <c r="X52" s="1"/>
      <c r="Y52" s="1"/>
    </row>
    <row r="53" spans="1:25">
      <c r="A53" s="73"/>
      <c r="B53" s="74"/>
      <c r="C53" s="74"/>
      <c r="D53" s="74" t="s">
        <v>264</v>
      </c>
      <c r="E53" s="74"/>
      <c r="F53" s="57"/>
      <c r="G53" s="74" t="s">
        <v>257</v>
      </c>
      <c r="H53" s="74" t="s">
        <v>330</v>
      </c>
      <c r="I53" s="74"/>
      <c r="J53" s="73"/>
      <c r="K53" s="1"/>
      <c r="L53" s="1"/>
      <c r="M53" s="1"/>
      <c r="N53" s="1"/>
      <c r="O53" s="1"/>
      <c r="P53" s="1"/>
      <c r="Q53" s="1"/>
      <c r="R53" s="1"/>
      <c r="S53" s="1"/>
      <c r="T53" s="1"/>
      <c r="U53" s="1"/>
      <c r="V53" s="1"/>
      <c r="W53" s="1"/>
      <c r="X53" s="1"/>
      <c r="Y53" s="1"/>
    </row>
    <row r="54" spans="1:25">
      <c r="A54" s="71"/>
      <c r="B54" s="75"/>
      <c r="C54" s="75"/>
      <c r="D54" s="75" t="s">
        <v>150</v>
      </c>
      <c r="E54" s="75"/>
      <c r="F54" s="75"/>
      <c r="G54" s="75" t="s">
        <v>257</v>
      </c>
      <c r="H54" s="75"/>
      <c r="I54" s="75"/>
      <c r="J54" s="71"/>
      <c r="K54" s="1"/>
      <c r="L54" s="1"/>
      <c r="M54" s="1"/>
      <c r="N54" s="1"/>
      <c r="O54" s="1"/>
      <c r="P54" s="1"/>
      <c r="Q54" s="1"/>
      <c r="R54" s="1"/>
      <c r="S54" s="1"/>
      <c r="T54" s="1"/>
      <c r="U54" s="1"/>
      <c r="V54" s="1"/>
      <c r="W54" s="1"/>
      <c r="X54" s="1"/>
      <c r="Y54" s="1"/>
    </row>
    <row r="55" spans="1:25">
      <c r="A55" s="73"/>
      <c r="B55" s="74"/>
      <c r="C55" s="74"/>
      <c r="D55" s="74" t="s">
        <v>245</v>
      </c>
      <c r="E55" s="74"/>
      <c r="F55" s="74"/>
      <c r="G55" s="74" t="s">
        <v>257</v>
      </c>
      <c r="H55" s="74"/>
      <c r="I55" s="74"/>
      <c r="J55" s="73"/>
      <c r="K55" s="1"/>
      <c r="L55" s="1"/>
      <c r="M55" s="1"/>
      <c r="N55" s="1"/>
      <c r="O55" s="1"/>
      <c r="P55" s="1"/>
      <c r="Q55" s="1"/>
      <c r="R55" s="1"/>
      <c r="S55" s="1"/>
      <c r="T55" s="1"/>
      <c r="U55" s="1"/>
      <c r="V55" s="1"/>
      <c r="W55" s="1"/>
      <c r="X55" s="1"/>
      <c r="Y55" s="1"/>
    </row>
    <row r="56" spans="1:25">
      <c r="A56" s="103"/>
      <c r="B56" s="104"/>
      <c r="C56" s="104" t="s">
        <v>331</v>
      </c>
      <c r="D56" s="104" t="s">
        <v>266</v>
      </c>
      <c r="E56" s="104" t="s">
        <v>267</v>
      </c>
      <c r="F56" s="104"/>
      <c r="G56" s="104" t="s">
        <v>257</v>
      </c>
      <c r="H56" s="104"/>
      <c r="I56" s="104"/>
      <c r="J56" s="103"/>
      <c r="K56" s="1"/>
      <c r="L56" s="1"/>
      <c r="M56" s="1"/>
      <c r="N56" s="1"/>
      <c r="O56" s="1"/>
      <c r="P56" s="1"/>
      <c r="Q56" s="1"/>
      <c r="R56" s="1"/>
      <c r="S56" s="1"/>
      <c r="T56" s="1"/>
      <c r="U56" s="1"/>
      <c r="V56" s="1"/>
      <c r="W56" s="1"/>
      <c r="X56" s="1"/>
      <c r="Y56" s="1"/>
    </row>
    <row r="57" spans="1:25">
      <c r="A57" s="73"/>
      <c r="B57" s="74"/>
      <c r="C57" s="74"/>
      <c r="D57" s="74"/>
      <c r="E57" s="74" t="s">
        <v>268</v>
      </c>
      <c r="F57" s="74"/>
      <c r="G57" s="74" t="s">
        <v>257</v>
      </c>
      <c r="H57" s="74"/>
      <c r="I57" s="74"/>
      <c r="J57" s="73"/>
      <c r="K57" s="1"/>
      <c r="L57" s="1"/>
      <c r="M57" s="1"/>
      <c r="N57" s="1"/>
      <c r="O57" s="1"/>
      <c r="P57" s="1"/>
      <c r="Q57" s="1"/>
      <c r="R57" s="1"/>
      <c r="S57" s="1"/>
      <c r="T57" s="1"/>
      <c r="U57" s="1"/>
      <c r="V57" s="1"/>
      <c r="W57" s="1"/>
      <c r="X57" s="1"/>
      <c r="Y57" s="1"/>
    </row>
    <row r="58" spans="1:25" ht="25.5">
      <c r="A58" s="71"/>
      <c r="B58" s="75"/>
      <c r="C58" s="75"/>
      <c r="D58" s="75" t="s">
        <v>332</v>
      </c>
      <c r="E58" s="75" t="s">
        <v>297</v>
      </c>
      <c r="F58" s="75"/>
      <c r="G58" s="75" t="s">
        <v>257</v>
      </c>
      <c r="H58" s="75" t="s">
        <v>333</v>
      </c>
      <c r="I58" s="75"/>
      <c r="J58" s="71"/>
      <c r="K58" s="1"/>
      <c r="L58" s="1"/>
      <c r="M58" s="1"/>
      <c r="N58" s="1"/>
      <c r="O58" s="1"/>
      <c r="P58" s="1"/>
      <c r="Q58" s="1"/>
      <c r="R58" s="1"/>
      <c r="S58" s="1"/>
      <c r="T58" s="1"/>
      <c r="U58" s="1"/>
      <c r="V58" s="1"/>
      <c r="W58" s="1"/>
      <c r="X58" s="1"/>
      <c r="Y58" s="1"/>
    </row>
    <row r="59" spans="1:25" ht="51">
      <c r="A59" s="73"/>
      <c r="B59" s="74"/>
      <c r="C59" s="74"/>
      <c r="D59" s="74"/>
      <c r="E59" s="74" t="s">
        <v>299</v>
      </c>
      <c r="F59" s="74"/>
      <c r="G59" s="74" t="s">
        <v>257</v>
      </c>
      <c r="H59" s="74" t="s">
        <v>334</v>
      </c>
      <c r="I59" s="74"/>
      <c r="J59" s="73"/>
      <c r="K59" s="1"/>
      <c r="L59" s="1"/>
      <c r="M59" s="1"/>
      <c r="N59" s="1"/>
      <c r="O59" s="1"/>
      <c r="P59" s="1"/>
      <c r="Q59" s="1"/>
      <c r="R59" s="1"/>
      <c r="S59" s="1"/>
      <c r="T59" s="1"/>
      <c r="U59" s="1"/>
      <c r="V59" s="1"/>
      <c r="W59" s="1"/>
      <c r="X59" s="1"/>
      <c r="Y59" s="1"/>
    </row>
    <row r="60" spans="1:25">
      <c r="A60" s="71"/>
      <c r="B60" s="75"/>
      <c r="C60" s="75"/>
      <c r="D60" s="75"/>
      <c r="E60" s="75" t="s">
        <v>301</v>
      </c>
      <c r="F60" s="75"/>
      <c r="G60" s="75" t="s">
        <v>257</v>
      </c>
      <c r="H60" s="75" t="s">
        <v>335</v>
      </c>
      <c r="I60" s="75"/>
      <c r="J60" s="71"/>
      <c r="K60" s="1"/>
      <c r="L60" s="1"/>
      <c r="M60" s="1"/>
      <c r="N60" s="1"/>
      <c r="O60" s="1"/>
      <c r="P60" s="1"/>
      <c r="Q60" s="1"/>
      <c r="R60" s="1"/>
      <c r="S60" s="1"/>
      <c r="T60" s="1"/>
      <c r="U60" s="1"/>
      <c r="V60" s="1"/>
      <c r="W60" s="1"/>
      <c r="X60" s="1"/>
      <c r="Y60" s="1"/>
    </row>
    <row r="61" spans="1:25" ht="25.5">
      <c r="A61" s="73"/>
      <c r="B61" s="74"/>
      <c r="C61" s="74"/>
      <c r="D61" s="74" t="s">
        <v>336</v>
      </c>
      <c r="E61" s="74" t="s">
        <v>297</v>
      </c>
      <c r="F61" s="74"/>
      <c r="G61" s="74" t="s">
        <v>257</v>
      </c>
      <c r="H61" s="74" t="s">
        <v>333</v>
      </c>
      <c r="I61" s="74"/>
      <c r="J61" s="73"/>
      <c r="K61" s="1"/>
      <c r="L61" s="1"/>
      <c r="M61" s="1"/>
      <c r="N61" s="1"/>
      <c r="O61" s="1"/>
      <c r="P61" s="1"/>
      <c r="Q61" s="1"/>
      <c r="R61" s="1"/>
      <c r="S61" s="1"/>
      <c r="T61" s="1"/>
      <c r="U61" s="1"/>
      <c r="V61" s="1"/>
      <c r="W61" s="1"/>
      <c r="X61" s="1"/>
      <c r="Y61" s="1"/>
    </row>
    <row r="62" spans="1:25" ht="63.75">
      <c r="A62" s="71"/>
      <c r="B62" s="75"/>
      <c r="C62" s="75"/>
      <c r="D62" s="75"/>
      <c r="E62" s="75" t="s">
        <v>299</v>
      </c>
      <c r="F62" s="75"/>
      <c r="G62" s="75" t="s">
        <v>257</v>
      </c>
      <c r="H62" s="75" t="s">
        <v>337</v>
      </c>
      <c r="I62" s="75"/>
      <c r="J62" s="71"/>
      <c r="K62" s="1"/>
      <c r="L62" s="1"/>
      <c r="M62" s="1"/>
      <c r="N62" s="1"/>
      <c r="O62" s="1"/>
      <c r="P62" s="1"/>
      <c r="Q62" s="1"/>
      <c r="R62" s="1"/>
      <c r="S62" s="1"/>
      <c r="T62" s="1"/>
      <c r="U62" s="1"/>
      <c r="V62" s="1"/>
      <c r="W62" s="1"/>
      <c r="X62" s="1"/>
      <c r="Y62" s="1"/>
    </row>
    <row r="63" spans="1:25">
      <c r="A63" s="73"/>
      <c r="B63" s="74"/>
      <c r="C63" s="74"/>
      <c r="D63" s="74"/>
      <c r="E63" s="74" t="s">
        <v>301</v>
      </c>
      <c r="F63" s="74"/>
      <c r="G63" s="74" t="s">
        <v>257</v>
      </c>
      <c r="H63" s="74" t="s">
        <v>338</v>
      </c>
      <c r="I63" s="74"/>
      <c r="J63" s="73"/>
      <c r="K63" s="1"/>
      <c r="L63" s="1"/>
      <c r="M63" s="1"/>
      <c r="N63" s="1"/>
      <c r="O63" s="1"/>
      <c r="P63" s="1"/>
      <c r="Q63" s="1"/>
      <c r="R63" s="1"/>
      <c r="S63" s="1"/>
      <c r="T63" s="1"/>
      <c r="U63" s="1"/>
      <c r="V63" s="1"/>
      <c r="W63" s="1"/>
      <c r="X63" s="1"/>
      <c r="Y63" s="1"/>
    </row>
    <row r="64" spans="1:25">
      <c r="A64" s="71"/>
      <c r="B64" s="75"/>
      <c r="C64" s="75"/>
      <c r="D64" s="75" t="s">
        <v>339</v>
      </c>
      <c r="E64" s="75" t="s">
        <v>297</v>
      </c>
      <c r="F64" s="75"/>
      <c r="G64" s="75" t="s">
        <v>257</v>
      </c>
      <c r="H64" s="75" t="s">
        <v>298</v>
      </c>
      <c r="I64" s="75"/>
      <c r="J64" s="71"/>
      <c r="K64" s="1"/>
      <c r="L64" s="1"/>
      <c r="M64" s="1"/>
      <c r="N64" s="1"/>
      <c r="O64" s="1"/>
      <c r="P64" s="1"/>
      <c r="Q64" s="1"/>
      <c r="R64" s="1"/>
      <c r="S64" s="1"/>
      <c r="T64" s="1"/>
      <c r="U64" s="1"/>
      <c r="V64" s="1"/>
      <c r="W64" s="1"/>
      <c r="X64" s="1"/>
      <c r="Y64" s="1"/>
    </row>
    <row r="65" spans="1:25" ht="38.25">
      <c r="A65" s="73"/>
      <c r="B65" s="74"/>
      <c r="C65" s="74"/>
      <c r="D65" s="74"/>
      <c r="E65" s="74" t="s">
        <v>296</v>
      </c>
      <c r="F65" s="74"/>
      <c r="G65" s="74" t="s">
        <v>257</v>
      </c>
      <c r="H65" s="74" t="s">
        <v>340</v>
      </c>
      <c r="I65" s="74"/>
      <c r="J65" s="73"/>
      <c r="K65" s="1"/>
      <c r="L65" s="1"/>
      <c r="M65" s="1"/>
      <c r="N65" s="1"/>
      <c r="O65" s="1"/>
      <c r="P65" s="1"/>
      <c r="Q65" s="1"/>
      <c r="R65" s="1"/>
      <c r="S65" s="1"/>
      <c r="T65" s="1"/>
      <c r="U65" s="1"/>
      <c r="V65" s="1"/>
      <c r="W65" s="1"/>
      <c r="X65" s="1"/>
      <c r="Y65" s="1"/>
    </row>
    <row r="66" spans="1:25" ht="25.5">
      <c r="A66" s="71"/>
      <c r="B66" s="75"/>
      <c r="C66" s="75"/>
      <c r="D66" s="75"/>
      <c r="E66" s="75" t="s">
        <v>301</v>
      </c>
      <c r="F66" s="75"/>
      <c r="G66" s="75" t="s">
        <v>257</v>
      </c>
      <c r="H66" s="75" t="s">
        <v>341</v>
      </c>
      <c r="I66" s="75"/>
      <c r="J66" s="71"/>
      <c r="K66" s="1"/>
      <c r="L66" s="1"/>
      <c r="M66" s="1"/>
      <c r="N66" s="1"/>
      <c r="O66" s="1"/>
      <c r="P66" s="1"/>
      <c r="Q66" s="1"/>
      <c r="R66" s="1"/>
      <c r="S66" s="1"/>
      <c r="T66" s="1"/>
      <c r="U66" s="1"/>
      <c r="V66" s="1"/>
      <c r="W66" s="1"/>
      <c r="X66" s="1"/>
      <c r="Y66" s="1"/>
    </row>
    <row r="67" spans="1:25" ht="25.5">
      <c r="A67" s="73"/>
      <c r="B67" s="74"/>
      <c r="C67" s="74"/>
      <c r="D67" s="74" t="s">
        <v>342</v>
      </c>
      <c r="E67" s="74" t="s">
        <v>297</v>
      </c>
      <c r="F67" s="74"/>
      <c r="G67" s="74" t="s">
        <v>257</v>
      </c>
      <c r="H67" s="74" t="s">
        <v>343</v>
      </c>
      <c r="I67" s="74"/>
      <c r="J67" s="73"/>
      <c r="K67" s="1"/>
      <c r="L67" s="1"/>
      <c r="M67" s="1"/>
      <c r="N67" s="1"/>
      <c r="O67" s="1"/>
      <c r="P67" s="1"/>
      <c r="Q67" s="1"/>
      <c r="R67" s="1"/>
      <c r="S67" s="1"/>
      <c r="T67" s="1"/>
      <c r="U67" s="1"/>
      <c r="V67" s="1"/>
      <c r="W67" s="1"/>
      <c r="X67" s="1"/>
      <c r="Y67" s="1"/>
    </row>
    <row r="68" spans="1:25" ht="25.5">
      <c r="A68" s="71"/>
      <c r="B68" s="75"/>
      <c r="C68" s="75"/>
      <c r="D68" s="75"/>
      <c r="E68" s="75" t="s">
        <v>317</v>
      </c>
      <c r="F68" s="75"/>
      <c r="G68" s="75" t="s">
        <v>257</v>
      </c>
      <c r="H68" s="75" t="s">
        <v>344</v>
      </c>
      <c r="I68" s="75"/>
      <c r="J68" s="71"/>
      <c r="K68" s="1"/>
      <c r="L68" s="1"/>
      <c r="M68" s="1"/>
      <c r="N68" s="1"/>
      <c r="O68" s="1"/>
      <c r="P68" s="1"/>
      <c r="Q68" s="1"/>
      <c r="R68" s="1"/>
      <c r="S68" s="1"/>
      <c r="T68" s="1"/>
      <c r="U68" s="1"/>
      <c r="V68" s="1"/>
      <c r="W68" s="1"/>
      <c r="X68" s="1"/>
      <c r="Y68" s="1"/>
    </row>
    <row r="69" spans="1:25">
      <c r="A69" s="73"/>
      <c r="B69" s="74"/>
      <c r="C69" s="74"/>
      <c r="D69" s="74"/>
      <c r="E69" s="74" t="s">
        <v>301</v>
      </c>
      <c r="F69" s="74"/>
      <c r="G69" s="74" t="s">
        <v>257</v>
      </c>
      <c r="H69" s="74" t="s">
        <v>345</v>
      </c>
      <c r="I69" s="74"/>
      <c r="J69" s="73"/>
      <c r="K69" s="1"/>
      <c r="L69" s="1"/>
      <c r="M69" s="1"/>
      <c r="N69" s="1"/>
      <c r="O69" s="1"/>
      <c r="P69" s="1"/>
      <c r="Q69" s="1"/>
      <c r="R69" s="1"/>
      <c r="S69" s="1"/>
      <c r="T69" s="1"/>
      <c r="U69" s="1"/>
      <c r="V69" s="1"/>
      <c r="W69" s="1"/>
      <c r="X69" s="1"/>
      <c r="Y69" s="1"/>
    </row>
    <row r="70" spans="1:25" ht="25.5">
      <c r="A70" s="71"/>
      <c r="B70" s="75"/>
      <c r="C70" s="75"/>
      <c r="D70" s="75" t="s">
        <v>346</v>
      </c>
      <c r="E70" s="75" t="s">
        <v>347</v>
      </c>
      <c r="F70" s="75"/>
      <c r="G70" s="75" t="s">
        <v>257</v>
      </c>
      <c r="H70" s="75" t="s">
        <v>348</v>
      </c>
      <c r="I70" s="75"/>
      <c r="J70" s="71"/>
      <c r="K70" s="1"/>
      <c r="L70" s="1"/>
      <c r="M70" s="1"/>
      <c r="N70" s="1"/>
      <c r="O70" s="1"/>
      <c r="P70" s="1"/>
      <c r="Q70" s="1"/>
      <c r="R70" s="1"/>
      <c r="S70" s="1"/>
      <c r="T70" s="1"/>
      <c r="U70" s="1"/>
      <c r="V70" s="1"/>
      <c r="W70" s="1"/>
      <c r="X70" s="1"/>
      <c r="Y70" s="1"/>
    </row>
    <row r="71" spans="1:25">
      <c r="A71" s="73"/>
      <c r="B71" s="74"/>
      <c r="C71" s="74"/>
      <c r="D71" s="74"/>
      <c r="E71" s="74" t="s">
        <v>349</v>
      </c>
      <c r="F71" s="74"/>
      <c r="G71" s="74" t="s">
        <v>257</v>
      </c>
      <c r="H71" s="74"/>
      <c r="I71" s="74"/>
      <c r="J71" s="73"/>
      <c r="K71" s="1"/>
      <c r="L71" s="1"/>
      <c r="M71" s="1"/>
      <c r="N71" s="1"/>
      <c r="O71" s="1"/>
      <c r="P71" s="1"/>
      <c r="Q71" s="1"/>
      <c r="R71" s="1"/>
      <c r="S71" s="1"/>
      <c r="T71" s="1"/>
      <c r="U71" s="1"/>
      <c r="V71" s="1"/>
      <c r="W71" s="1"/>
      <c r="X71" s="1"/>
      <c r="Y71" s="1"/>
    </row>
    <row r="72" spans="1:25">
      <c r="A72" s="71"/>
      <c r="B72" s="75"/>
      <c r="C72" s="75"/>
      <c r="D72" s="75" t="s">
        <v>147</v>
      </c>
      <c r="E72" s="75" t="s">
        <v>297</v>
      </c>
      <c r="F72" s="75"/>
      <c r="G72" s="75" t="s">
        <v>257</v>
      </c>
      <c r="H72" s="75" t="s">
        <v>7</v>
      </c>
      <c r="I72" s="75"/>
      <c r="J72" s="71"/>
      <c r="K72" s="1"/>
      <c r="L72" s="1"/>
      <c r="M72" s="1"/>
      <c r="N72" s="1"/>
      <c r="O72" s="1"/>
      <c r="P72" s="1"/>
      <c r="Q72" s="1"/>
      <c r="R72" s="1"/>
      <c r="S72" s="1"/>
      <c r="T72" s="1"/>
      <c r="U72" s="1"/>
      <c r="V72" s="1"/>
      <c r="W72" s="1"/>
      <c r="X72" s="1"/>
      <c r="Y72" s="1"/>
    </row>
    <row r="73" spans="1:25" ht="25.5">
      <c r="A73" s="73"/>
      <c r="B73" s="74"/>
      <c r="C73" s="74"/>
      <c r="D73" s="74"/>
      <c r="E73" s="74" t="s">
        <v>350</v>
      </c>
      <c r="F73" s="74"/>
      <c r="G73" s="74" t="s">
        <v>257</v>
      </c>
      <c r="H73" s="74" t="s">
        <v>351</v>
      </c>
      <c r="I73" s="74"/>
      <c r="J73" s="73"/>
      <c r="K73" s="1"/>
      <c r="L73" s="1"/>
      <c r="M73" s="1"/>
      <c r="N73" s="1"/>
      <c r="O73" s="1"/>
      <c r="P73" s="1"/>
      <c r="Q73" s="1"/>
      <c r="R73" s="1"/>
      <c r="S73" s="1"/>
      <c r="T73" s="1"/>
      <c r="U73" s="1"/>
      <c r="V73" s="1"/>
      <c r="W73" s="1"/>
      <c r="X73" s="1"/>
      <c r="Y73" s="1"/>
    </row>
    <row r="74" spans="1:25">
      <c r="A74" s="71"/>
      <c r="B74" s="75"/>
      <c r="C74" s="75"/>
      <c r="D74" s="75"/>
      <c r="E74" s="75" t="s">
        <v>301</v>
      </c>
      <c r="F74" s="75"/>
      <c r="G74" s="75" t="s">
        <v>257</v>
      </c>
      <c r="H74" s="75" t="s">
        <v>352</v>
      </c>
      <c r="I74" s="75"/>
      <c r="J74" s="71"/>
      <c r="K74" s="1"/>
      <c r="L74" s="1"/>
      <c r="M74" s="1"/>
      <c r="N74" s="1"/>
      <c r="O74" s="1"/>
      <c r="P74" s="1"/>
      <c r="Q74" s="1"/>
      <c r="R74" s="1"/>
      <c r="S74" s="1"/>
      <c r="T74" s="1"/>
      <c r="U74" s="1"/>
      <c r="V74" s="1"/>
      <c r="W74" s="1"/>
      <c r="X74" s="1"/>
      <c r="Y74" s="1"/>
    </row>
    <row r="75" spans="1:25">
      <c r="A75" s="73"/>
      <c r="B75" s="74"/>
      <c r="C75" s="74"/>
      <c r="D75" s="74"/>
      <c r="E75" s="74" t="s">
        <v>353</v>
      </c>
      <c r="F75" s="74"/>
      <c r="G75" s="74" t="s">
        <v>257</v>
      </c>
      <c r="H75" s="74"/>
      <c r="I75" s="74"/>
      <c r="J75" s="73"/>
      <c r="K75" s="1"/>
      <c r="L75" s="1"/>
      <c r="M75" s="1"/>
      <c r="N75" s="1"/>
      <c r="O75" s="1"/>
      <c r="P75" s="1"/>
      <c r="Q75" s="1"/>
      <c r="R75" s="1"/>
      <c r="S75" s="1"/>
      <c r="T75" s="1"/>
      <c r="U75" s="1"/>
      <c r="V75" s="1"/>
      <c r="W75" s="1"/>
      <c r="X75" s="1"/>
      <c r="Y75" s="1"/>
    </row>
    <row r="76" spans="1:25" ht="25.5">
      <c r="A76" s="71"/>
      <c r="B76" s="75"/>
      <c r="C76" s="75"/>
      <c r="D76" s="75" t="s">
        <v>354</v>
      </c>
      <c r="E76" s="75" t="s">
        <v>299</v>
      </c>
      <c r="F76" s="75"/>
      <c r="G76" s="75" t="s">
        <v>257</v>
      </c>
      <c r="H76" s="55"/>
      <c r="I76" s="75"/>
      <c r="J76" s="75" t="s">
        <v>355</v>
      </c>
      <c r="K76" s="1"/>
      <c r="L76" s="1"/>
      <c r="M76" s="1"/>
      <c r="N76" s="1"/>
      <c r="O76" s="1"/>
      <c r="P76" s="1"/>
      <c r="Q76" s="1"/>
      <c r="R76" s="1"/>
      <c r="S76" s="1"/>
      <c r="T76" s="1"/>
      <c r="U76" s="1"/>
      <c r="V76" s="1"/>
      <c r="W76" s="1"/>
      <c r="X76" s="1"/>
      <c r="Y76" s="1"/>
    </row>
    <row r="77" spans="1:25">
      <c r="A77" s="73"/>
      <c r="B77" s="74"/>
      <c r="C77" s="74"/>
      <c r="D77" s="74" t="s">
        <v>356</v>
      </c>
      <c r="E77" s="74" t="s">
        <v>297</v>
      </c>
      <c r="F77" s="74"/>
      <c r="G77" s="74" t="s">
        <v>257</v>
      </c>
      <c r="H77" s="74" t="s">
        <v>357</v>
      </c>
      <c r="I77" s="74"/>
      <c r="J77" s="73"/>
      <c r="K77" s="1"/>
      <c r="L77" s="1"/>
      <c r="M77" s="1"/>
      <c r="N77" s="1"/>
      <c r="O77" s="1"/>
      <c r="P77" s="1"/>
      <c r="Q77" s="1"/>
      <c r="R77" s="1"/>
      <c r="S77" s="1"/>
      <c r="T77" s="1"/>
      <c r="U77" s="1"/>
      <c r="V77" s="1"/>
      <c r="W77" s="1"/>
      <c r="X77" s="1"/>
      <c r="Y77" s="1"/>
    </row>
    <row r="78" spans="1:25" ht="25.5">
      <c r="A78" s="71"/>
      <c r="B78" s="75"/>
      <c r="C78" s="75"/>
      <c r="D78" s="75"/>
      <c r="E78" s="75" t="s">
        <v>299</v>
      </c>
      <c r="F78" s="75"/>
      <c r="G78" s="75" t="s">
        <v>257</v>
      </c>
      <c r="H78" s="75" t="s">
        <v>358</v>
      </c>
      <c r="I78" s="75"/>
      <c r="J78" s="71"/>
      <c r="K78" s="1"/>
      <c r="L78" s="1"/>
      <c r="M78" s="1"/>
      <c r="N78" s="1"/>
      <c r="O78" s="1"/>
      <c r="P78" s="1"/>
      <c r="Q78" s="1"/>
      <c r="R78" s="1"/>
      <c r="S78" s="1"/>
      <c r="T78" s="1"/>
      <c r="U78" s="1"/>
      <c r="V78" s="1"/>
      <c r="W78" s="1"/>
      <c r="X78" s="1"/>
      <c r="Y78" s="1"/>
    </row>
    <row r="79" spans="1:25">
      <c r="A79" s="73"/>
      <c r="B79" s="74"/>
      <c r="C79" s="74"/>
      <c r="D79" s="74"/>
      <c r="E79" s="74" t="s">
        <v>301</v>
      </c>
      <c r="F79" s="74"/>
      <c r="G79" s="74" t="s">
        <v>257</v>
      </c>
      <c r="H79" s="74"/>
      <c r="I79" s="74"/>
      <c r="J79" s="73"/>
      <c r="K79" s="1"/>
      <c r="L79" s="1"/>
      <c r="M79" s="1"/>
      <c r="N79" s="1"/>
      <c r="O79" s="1"/>
      <c r="P79" s="1"/>
      <c r="Q79" s="1"/>
      <c r="R79" s="1"/>
      <c r="S79" s="1"/>
      <c r="T79" s="1"/>
      <c r="U79" s="1"/>
      <c r="V79" s="1"/>
      <c r="W79" s="1"/>
      <c r="X79" s="1"/>
      <c r="Y79" s="1"/>
    </row>
    <row r="80" spans="1:25">
      <c r="A80" s="71"/>
      <c r="B80" s="75"/>
      <c r="C80" s="75"/>
      <c r="D80" s="75" t="s">
        <v>359</v>
      </c>
      <c r="E80" s="75" t="s">
        <v>297</v>
      </c>
      <c r="F80" s="75"/>
      <c r="G80" s="75" t="s">
        <v>257</v>
      </c>
      <c r="H80" s="75" t="s">
        <v>360</v>
      </c>
      <c r="I80" s="75"/>
      <c r="J80" s="71"/>
      <c r="K80" s="1"/>
      <c r="L80" s="1"/>
      <c r="M80" s="1"/>
      <c r="N80" s="1"/>
      <c r="O80" s="1"/>
      <c r="P80" s="1"/>
      <c r="Q80" s="1"/>
      <c r="R80" s="1"/>
      <c r="S80" s="1"/>
      <c r="T80" s="1"/>
      <c r="U80" s="1"/>
      <c r="V80" s="1"/>
      <c r="W80" s="1"/>
      <c r="X80" s="1"/>
      <c r="Y80" s="1"/>
    </row>
    <row r="81" spans="1:25">
      <c r="A81" s="73"/>
      <c r="B81" s="74"/>
      <c r="C81" s="74"/>
      <c r="D81" s="74"/>
      <c r="E81" s="74" t="s">
        <v>299</v>
      </c>
      <c r="F81" s="74"/>
      <c r="G81" s="74" t="s">
        <v>257</v>
      </c>
      <c r="H81" s="74" t="s">
        <v>361</v>
      </c>
      <c r="I81" s="74"/>
      <c r="J81" s="73"/>
      <c r="K81" s="1"/>
      <c r="L81" s="1"/>
      <c r="M81" s="1"/>
      <c r="N81" s="1"/>
      <c r="O81" s="1"/>
      <c r="P81" s="1"/>
      <c r="Q81" s="1"/>
      <c r="R81" s="1"/>
      <c r="S81" s="1"/>
      <c r="T81" s="1"/>
      <c r="U81" s="1"/>
      <c r="V81" s="1"/>
      <c r="W81" s="1"/>
      <c r="X81" s="1"/>
      <c r="Y81" s="1"/>
    </row>
    <row r="82" spans="1:25">
      <c r="A82" s="71"/>
      <c r="B82" s="75"/>
      <c r="C82" s="75"/>
      <c r="D82" s="75"/>
      <c r="E82" s="75" t="s">
        <v>301</v>
      </c>
      <c r="F82" s="75"/>
      <c r="G82" s="75" t="s">
        <v>257</v>
      </c>
      <c r="H82" s="75"/>
      <c r="I82" s="75"/>
      <c r="J82" s="71"/>
      <c r="K82" s="1"/>
      <c r="L82" s="1"/>
      <c r="M82" s="1"/>
      <c r="N82" s="1"/>
      <c r="O82" s="1"/>
      <c r="P82" s="1"/>
      <c r="Q82" s="1"/>
      <c r="R82" s="1"/>
      <c r="S82" s="1"/>
      <c r="T82" s="1"/>
      <c r="U82" s="1"/>
      <c r="V82" s="1"/>
      <c r="W82" s="1"/>
      <c r="X82" s="1"/>
      <c r="Y82" s="1"/>
    </row>
    <row r="83" spans="1:25" ht="25.5">
      <c r="A83" s="73"/>
      <c r="B83" s="74"/>
      <c r="C83" s="74"/>
      <c r="D83" s="74" t="s">
        <v>362</v>
      </c>
      <c r="E83" s="74" t="s">
        <v>297</v>
      </c>
      <c r="F83" s="74"/>
      <c r="G83" s="74" t="s">
        <v>257</v>
      </c>
      <c r="H83" s="74" t="s">
        <v>363</v>
      </c>
      <c r="I83" s="74"/>
      <c r="J83" s="73" t="s">
        <v>364</v>
      </c>
      <c r="K83" s="1"/>
      <c r="L83" s="1"/>
      <c r="M83" s="1"/>
      <c r="N83" s="1"/>
      <c r="O83" s="1"/>
      <c r="P83" s="1"/>
      <c r="Q83" s="1"/>
      <c r="R83" s="1"/>
      <c r="S83" s="1"/>
      <c r="T83" s="1"/>
      <c r="U83" s="1"/>
      <c r="V83" s="1"/>
      <c r="W83" s="1"/>
      <c r="X83" s="1"/>
      <c r="Y83" s="1"/>
    </row>
    <row r="84" spans="1:25">
      <c r="A84" s="71"/>
      <c r="B84" s="75"/>
      <c r="C84" s="75"/>
      <c r="D84" s="75"/>
      <c r="E84" s="75" t="s">
        <v>365</v>
      </c>
      <c r="F84" s="75"/>
      <c r="G84" s="75" t="s">
        <v>257</v>
      </c>
      <c r="H84" s="75" t="s">
        <v>366</v>
      </c>
      <c r="I84" s="75"/>
      <c r="J84" s="71"/>
      <c r="K84" s="1"/>
      <c r="L84" s="1"/>
      <c r="M84" s="1"/>
      <c r="N84" s="1"/>
      <c r="O84" s="1"/>
      <c r="P84" s="1"/>
      <c r="Q84" s="1"/>
      <c r="R84" s="1"/>
      <c r="S84" s="1"/>
      <c r="T84" s="1"/>
      <c r="U84" s="1"/>
      <c r="V84" s="1"/>
      <c r="W84" s="1"/>
      <c r="X84" s="1"/>
      <c r="Y84" s="1"/>
    </row>
    <row r="85" spans="1:25">
      <c r="A85" s="73"/>
      <c r="B85" s="74"/>
      <c r="C85" s="74"/>
      <c r="D85" s="74"/>
      <c r="E85" s="74" t="s">
        <v>301</v>
      </c>
      <c r="F85" s="74"/>
      <c r="G85" s="74" t="s">
        <v>257</v>
      </c>
      <c r="H85" s="74"/>
      <c r="I85" s="74"/>
      <c r="J85" s="73"/>
      <c r="K85" s="1"/>
      <c r="L85" s="1"/>
      <c r="M85" s="1"/>
      <c r="N85" s="1"/>
      <c r="O85" s="1"/>
      <c r="P85" s="1"/>
      <c r="Q85" s="1"/>
      <c r="R85" s="1"/>
      <c r="S85" s="1"/>
      <c r="T85" s="1"/>
      <c r="U85" s="1"/>
      <c r="V85" s="1"/>
      <c r="W85" s="1"/>
      <c r="X85" s="1"/>
      <c r="Y85" s="1"/>
    </row>
    <row r="86" spans="1:25">
      <c r="A86" s="71"/>
      <c r="B86" s="75"/>
      <c r="C86" s="75"/>
      <c r="D86" s="75" t="s">
        <v>367</v>
      </c>
      <c r="E86" s="75" t="s">
        <v>368</v>
      </c>
      <c r="F86" s="75" t="s">
        <v>297</v>
      </c>
      <c r="G86" s="75" t="s">
        <v>257</v>
      </c>
      <c r="H86" s="75"/>
      <c r="I86" s="75"/>
      <c r="J86" s="71"/>
      <c r="K86" s="1"/>
      <c r="L86" s="1"/>
      <c r="M86" s="1"/>
      <c r="N86" s="1"/>
      <c r="O86" s="1"/>
      <c r="P86" s="1"/>
      <c r="Q86" s="1"/>
      <c r="R86" s="1"/>
      <c r="S86" s="1"/>
      <c r="T86" s="1"/>
      <c r="U86" s="1"/>
      <c r="V86" s="1"/>
      <c r="W86" s="1"/>
      <c r="X86" s="1"/>
      <c r="Y86" s="1"/>
    </row>
    <row r="87" spans="1:25">
      <c r="A87" s="73"/>
      <c r="B87" s="74"/>
      <c r="C87" s="74"/>
      <c r="D87" s="74"/>
      <c r="E87" s="74"/>
      <c r="F87" s="74" t="s">
        <v>369</v>
      </c>
      <c r="G87" s="74" t="s">
        <v>257</v>
      </c>
      <c r="H87" s="74"/>
      <c r="I87" s="74"/>
      <c r="J87" s="73"/>
      <c r="K87" s="1"/>
      <c r="L87" s="1"/>
      <c r="M87" s="1"/>
      <c r="N87" s="1"/>
      <c r="O87" s="1"/>
      <c r="P87" s="1"/>
      <c r="Q87" s="1"/>
      <c r="R87" s="1"/>
      <c r="S87" s="1"/>
      <c r="T87" s="1"/>
      <c r="U87" s="1"/>
      <c r="V87" s="1"/>
      <c r="W87" s="1"/>
      <c r="X87" s="1"/>
      <c r="Y87" s="1"/>
    </row>
    <row r="88" spans="1:25">
      <c r="A88" s="71"/>
      <c r="B88" s="75"/>
      <c r="C88" s="75"/>
      <c r="D88" s="75"/>
      <c r="E88" s="75"/>
      <c r="F88" s="75" t="s">
        <v>370</v>
      </c>
      <c r="G88" s="75" t="s">
        <v>257</v>
      </c>
      <c r="H88" s="75"/>
      <c r="I88" s="75"/>
      <c r="J88" s="71"/>
      <c r="K88" s="1"/>
      <c r="L88" s="1"/>
      <c r="M88" s="1"/>
      <c r="N88" s="1"/>
      <c r="O88" s="1"/>
      <c r="P88" s="1"/>
      <c r="Q88" s="1"/>
      <c r="R88" s="1"/>
      <c r="S88" s="1"/>
      <c r="T88" s="1"/>
      <c r="U88" s="1"/>
      <c r="V88" s="1"/>
      <c r="W88" s="1"/>
      <c r="X88" s="1"/>
      <c r="Y88" s="1"/>
    </row>
    <row r="89" spans="1:25">
      <c r="A89" s="73"/>
      <c r="B89" s="74"/>
      <c r="C89" s="74"/>
      <c r="D89" s="74"/>
      <c r="E89" s="74" t="s">
        <v>371</v>
      </c>
      <c r="F89" s="74" t="s">
        <v>297</v>
      </c>
      <c r="G89" s="74" t="s">
        <v>257</v>
      </c>
      <c r="H89" s="74"/>
      <c r="I89" s="74"/>
      <c r="J89" s="73"/>
      <c r="K89" s="1"/>
      <c r="L89" s="1"/>
      <c r="M89" s="1"/>
      <c r="N89" s="1"/>
      <c r="O89" s="1"/>
      <c r="P89" s="1"/>
      <c r="Q89" s="1"/>
      <c r="R89" s="1"/>
      <c r="S89" s="1"/>
      <c r="T89" s="1"/>
      <c r="U89" s="1"/>
      <c r="V89" s="1"/>
      <c r="W89" s="1"/>
      <c r="X89" s="1"/>
      <c r="Y89" s="1"/>
    </row>
    <row r="90" spans="1:25">
      <c r="A90" s="71"/>
      <c r="B90" s="75"/>
      <c r="C90" s="75"/>
      <c r="D90" s="75"/>
      <c r="E90" s="75"/>
      <c r="F90" s="75" t="s">
        <v>369</v>
      </c>
      <c r="G90" s="75" t="s">
        <v>257</v>
      </c>
      <c r="H90" s="75"/>
      <c r="I90" s="75"/>
      <c r="J90" s="71"/>
      <c r="K90" s="1"/>
      <c r="L90" s="1"/>
      <c r="M90" s="1"/>
      <c r="N90" s="1"/>
      <c r="O90" s="1"/>
      <c r="P90" s="1"/>
      <c r="Q90" s="1"/>
      <c r="R90" s="1"/>
      <c r="S90" s="1"/>
      <c r="T90" s="1"/>
      <c r="U90" s="1"/>
      <c r="V90" s="1"/>
      <c r="W90" s="1"/>
      <c r="X90" s="1"/>
      <c r="Y90" s="1"/>
    </row>
    <row r="91" spans="1:25">
      <c r="A91" s="73"/>
      <c r="B91" s="74"/>
      <c r="C91" s="74"/>
      <c r="D91" s="74"/>
      <c r="E91" s="74"/>
      <c r="F91" s="74" t="s">
        <v>370</v>
      </c>
      <c r="G91" s="74" t="s">
        <v>257</v>
      </c>
      <c r="H91" s="74"/>
      <c r="I91" s="74"/>
      <c r="J91" s="73"/>
      <c r="K91" s="1"/>
      <c r="L91" s="1"/>
      <c r="M91" s="1"/>
      <c r="N91" s="1"/>
      <c r="O91" s="1"/>
      <c r="P91" s="1"/>
      <c r="Q91" s="1"/>
      <c r="R91" s="1"/>
      <c r="S91" s="1"/>
      <c r="T91" s="1"/>
      <c r="U91" s="1"/>
      <c r="V91" s="1"/>
      <c r="W91" s="1"/>
      <c r="X91" s="1"/>
      <c r="Y91" s="1"/>
    </row>
    <row r="92" spans="1:25">
      <c r="A92" s="71"/>
      <c r="B92" s="75"/>
      <c r="C92" s="75"/>
      <c r="D92" s="75"/>
      <c r="E92" s="75" t="s">
        <v>372</v>
      </c>
      <c r="F92" s="75" t="s">
        <v>297</v>
      </c>
      <c r="G92" s="75" t="s">
        <v>257</v>
      </c>
      <c r="H92" s="75" t="s">
        <v>323</v>
      </c>
      <c r="I92" s="75"/>
      <c r="J92" s="71"/>
      <c r="K92" s="1"/>
      <c r="L92" s="1"/>
      <c r="M92" s="1"/>
      <c r="N92" s="1"/>
      <c r="O92" s="1"/>
      <c r="P92" s="1"/>
      <c r="Q92" s="1"/>
      <c r="R92" s="1"/>
      <c r="S92" s="1"/>
      <c r="T92" s="1"/>
      <c r="U92" s="1"/>
      <c r="V92" s="1"/>
      <c r="W92" s="1"/>
      <c r="X92" s="1"/>
      <c r="Y92" s="1"/>
    </row>
    <row r="93" spans="1:25">
      <c r="A93" s="73"/>
      <c r="B93" s="74"/>
      <c r="C93" s="74"/>
      <c r="D93" s="74"/>
      <c r="E93" s="74"/>
      <c r="F93" s="74" t="s">
        <v>373</v>
      </c>
      <c r="G93" s="74" t="s">
        <v>257</v>
      </c>
      <c r="H93" s="74"/>
      <c r="I93" s="74"/>
      <c r="J93" s="73"/>
      <c r="K93" s="1"/>
      <c r="L93" s="1"/>
      <c r="M93" s="1"/>
      <c r="N93" s="1"/>
      <c r="O93" s="1"/>
      <c r="P93" s="1"/>
      <c r="Q93" s="1"/>
      <c r="R93" s="1"/>
      <c r="S93" s="1"/>
      <c r="T93" s="1"/>
      <c r="U93" s="1"/>
      <c r="V93" s="1"/>
      <c r="W93" s="1"/>
      <c r="X93" s="1"/>
      <c r="Y93" s="1"/>
    </row>
    <row r="94" spans="1:25">
      <c r="A94" s="71"/>
      <c r="B94" s="75"/>
      <c r="C94" s="75"/>
      <c r="D94" s="75"/>
      <c r="E94" s="75"/>
      <c r="F94" s="75" t="s">
        <v>374</v>
      </c>
      <c r="G94" s="75" t="s">
        <v>257</v>
      </c>
      <c r="H94" s="75"/>
      <c r="I94" s="75"/>
      <c r="J94" s="71"/>
      <c r="K94" s="1"/>
      <c r="L94" s="1"/>
      <c r="M94" s="1"/>
      <c r="N94" s="1"/>
      <c r="O94" s="1"/>
      <c r="P94" s="1"/>
      <c r="Q94" s="1"/>
      <c r="R94" s="1"/>
      <c r="S94" s="1"/>
      <c r="T94" s="1"/>
      <c r="U94" s="1"/>
      <c r="V94" s="1"/>
      <c r="W94" s="1"/>
      <c r="X94" s="1"/>
      <c r="Y94" s="1"/>
    </row>
    <row r="95" spans="1:25">
      <c r="A95" s="73"/>
      <c r="B95" s="74"/>
      <c r="C95" s="74"/>
      <c r="D95" s="74"/>
      <c r="E95" s="74" t="s">
        <v>375</v>
      </c>
      <c r="F95" s="74" t="s">
        <v>297</v>
      </c>
      <c r="G95" s="74" t="s">
        <v>257</v>
      </c>
      <c r="H95" s="74" t="s">
        <v>321</v>
      </c>
      <c r="I95" s="74"/>
      <c r="J95" s="73"/>
      <c r="K95" s="1"/>
      <c r="L95" s="1"/>
      <c r="M95" s="1"/>
      <c r="N95" s="1"/>
      <c r="O95" s="1"/>
      <c r="P95" s="1"/>
      <c r="Q95" s="1"/>
      <c r="R95" s="1"/>
      <c r="S95" s="1"/>
      <c r="T95" s="1"/>
      <c r="U95" s="1"/>
      <c r="V95" s="1"/>
      <c r="W95" s="1"/>
      <c r="X95" s="1"/>
      <c r="Y95" s="1"/>
    </row>
    <row r="96" spans="1:25">
      <c r="A96" s="71"/>
      <c r="B96" s="75"/>
      <c r="C96" s="75"/>
      <c r="D96" s="75"/>
      <c r="E96" s="75"/>
      <c r="F96" s="75" t="s">
        <v>376</v>
      </c>
      <c r="G96" s="75" t="s">
        <v>257</v>
      </c>
      <c r="H96" s="75" t="s">
        <v>322</v>
      </c>
      <c r="I96" s="75"/>
      <c r="J96" s="71"/>
      <c r="K96" s="1"/>
      <c r="L96" s="1"/>
      <c r="M96" s="1"/>
      <c r="N96" s="1"/>
      <c r="O96" s="1"/>
      <c r="P96" s="1"/>
      <c r="Q96" s="1"/>
      <c r="R96" s="1"/>
      <c r="S96" s="1"/>
      <c r="T96" s="1"/>
      <c r="U96" s="1"/>
      <c r="V96" s="1"/>
      <c r="W96" s="1"/>
      <c r="X96" s="1"/>
      <c r="Y96" s="1"/>
    </row>
    <row r="97" spans="1:25">
      <c r="A97" s="73"/>
      <c r="B97" s="74"/>
      <c r="C97" s="74"/>
      <c r="D97" s="74"/>
      <c r="E97" s="74"/>
      <c r="F97" s="74" t="s">
        <v>377</v>
      </c>
      <c r="G97" s="74" t="s">
        <v>257</v>
      </c>
      <c r="H97" s="74" t="s">
        <v>378</v>
      </c>
      <c r="I97" s="74"/>
      <c r="J97" s="73"/>
      <c r="K97" s="1"/>
      <c r="L97" s="1"/>
      <c r="M97" s="1"/>
      <c r="N97" s="1"/>
      <c r="O97" s="1"/>
      <c r="P97" s="1"/>
      <c r="Q97" s="1"/>
      <c r="R97" s="1"/>
      <c r="S97" s="1"/>
      <c r="T97" s="1"/>
      <c r="U97" s="1"/>
      <c r="V97" s="1"/>
      <c r="W97" s="1"/>
      <c r="X97" s="1"/>
      <c r="Y97" s="1"/>
    </row>
    <row r="98" spans="1:25">
      <c r="A98" s="71"/>
      <c r="B98" s="75"/>
      <c r="C98" s="75"/>
      <c r="D98" s="75"/>
      <c r="E98" s="75" t="s">
        <v>379</v>
      </c>
      <c r="F98" s="75" t="s">
        <v>297</v>
      </c>
      <c r="G98" s="75" t="s">
        <v>257</v>
      </c>
      <c r="H98" s="75" t="s">
        <v>380</v>
      </c>
      <c r="I98" s="75"/>
      <c r="J98" s="71"/>
      <c r="K98" s="1"/>
      <c r="L98" s="1"/>
      <c r="M98" s="1"/>
      <c r="N98" s="1"/>
      <c r="O98" s="1"/>
      <c r="P98" s="1"/>
      <c r="Q98" s="1"/>
      <c r="R98" s="1"/>
      <c r="S98" s="1"/>
      <c r="T98" s="1"/>
      <c r="U98" s="1"/>
      <c r="V98" s="1"/>
      <c r="W98" s="1"/>
      <c r="X98" s="1"/>
      <c r="Y98" s="1"/>
    </row>
    <row r="99" spans="1:25">
      <c r="A99" s="73"/>
      <c r="B99" s="74"/>
      <c r="C99" s="74"/>
      <c r="D99" s="74"/>
      <c r="E99" s="74"/>
      <c r="F99" s="74" t="s">
        <v>381</v>
      </c>
      <c r="G99" s="74" t="s">
        <v>257</v>
      </c>
      <c r="H99" s="74" t="s">
        <v>328</v>
      </c>
      <c r="I99" s="74"/>
      <c r="J99" s="73"/>
      <c r="K99" s="1"/>
      <c r="L99" s="1"/>
      <c r="M99" s="1"/>
      <c r="N99" s="1"/>
      <c r="O99" s="1"/>
      <c r="P99" s="1"/>
      <c r="Q99" s="1"/>
      <c r="R99" s="1"/>
      <c r="S99" s="1"/>
      <c r="T99" s="1"/>
      <c r="U99" s="1"/>
      <c r="V99" s="1"/>
      <c r="W99" s="1"/>
      <c r="X99" s="1"/>
      <c r="Y99" s="1"/>
    </row>
    <row r="100" spans="1:25">
      <c r="A100" s="71"/>
      <c r="B100" s="75"/>
      <c r="C100" s="75"/>
      <c r="D100" s="75"/>
      <c r="E100" s="75"/>
      <c r="F100" s="75" t="s">
        <v>382</v>
      </c>
      <c r="G100" s="75" t="s">
        <v>257</v>
      </c>
      <c r="H100" s="75" t="s">
        <v>383</v>
      </c>
      <c r="I100" s="75"/>
      <c r="J100" s="71"/>
      <c r="K100" s="1"/>
      <c r="L100" s="1"/>
      <c r="M100" s="1"/>
      <c r="N100" s="1"/>
      <c r="O100" s="1"/>
      <c r="P100" s="1"/>
      <c r="Q100" s="1"/>
      <c r="R100" s="1"/>
      <c r="S100" s="1"/>
      <c r="T100" s="1"/>
      <c r="U100" s="1"/>
      <c r="V100" s="1"/>
      <c r="W100" s="1"/>
      <c r="X100" s="1"/>
      <c r="Y100" s="1"/>
    </row>
    <row r="101" spans="1:25" ht="38.25">
      <c r="A101" s="73"/>
      <c r="B101" s="74"/>
      <c r="C101" s="74"/>
      <c r="D101" s="74"/>
      <c r="E101" s="74" t="s">
        <v>384</v>
      </c>
      <c r="F101" s="74" t="s">
        <v>297</v>
      </c>
      <c r="G101" s="74" t="s">
        <v>257</v>
      </c>
      <c r="H101" s="74" t="s">
        <v>385</v>
      </c>
      <c r="I101" s="74"/>
      <c r="J101" s="73" t="s">
        <v>386</v>
      </c>
      <c r="K101" s="1"/>
      <c r="L101" s="1"/>
      <c r="M101" s="1"/>
      <c r="N101" s="1"/>
      <c r="O101" s="1"/>
      <c r="P101" s="1"/>
      <c r="Q101" s="1"/>
      <c r="R101" s="1"/>
      <c r="S101" s="1"/>
      <c r="T101" s="1"/>
      <c r="U101" s="1"/>
      <c r="V101" s="1"/>
      <c r="W101" s="1"/>
      <c r="X101" s="1"/>
      <c r="Y101" s="1"/>
    </row>
    <row r="102" spans="1:25">
      <c r="A102" s="71"/>
      <c r="B102" s="75"/>
      <c r="C102" s="75"/>
      <c r="D102" s="75"/>
      <c r="E102" s="75"/>
      <c r="F102" s="75" t="s">
        <v>387</v>
      </c>
      <c r="G102" s="75" t="s">
        <v>257</v>
      </c>
      <c r="H102" s="75"/>
      <c r="I102" s="75"/>
      <c r="J102" s="71"/>
      <c r="K102" s="1"/>
      <c r="L102" s="1"/>
      <c r="M102" s="1"/>
      <c r="N102" s="1"/>
      <c r="O102" s="1"/>
      <c r="P102" s="1"/>
      <c r="Q102" s="1"/>
      <c r="R102" s="1"/>
      <c r="S102" s="1"/>
      <c r="T102" s="1"/>
      <c r="U102" s="1"/>
      <c r="V102" s="1"/>
      <c r="W102" s="1"/>
      <c r="X102" s="1"/>
      <c r="Y102" s="1"/>
    </row>
    <row r="103" spans="1:25">
      <c r="A103" s="73"/>
      <c r="B103" s="74"/>
      <c r="C103" s="74"/>
      <c r="D103" s="74"/>
      <c r="E103" s="74"/>
      <c r="F103" s="74" t="s">
        <v>388</v>
      </c>
      <c r="G103" s="74" t="s">
        <v>257</v>
      </c>
      <c r="H103" s="74" t="s">
        <v>389</v>
      </c>
      <c r="I103" s="74"/>
      <c r="J103" s="73"/>
      <c r="K103" s="1"/>
      <c r="L103" s="1"/>
      <c r="M103" s="1"/>
      <c r="N103" s="1"/>
      <c r="O103" s="1"/>
      <c r="P103" s="1"/>
      <c r="Q103" s="1"/>
      <c r="R103" s="1"/>
      <c r="S103" s="1"/>
      <c r="T103" s="1"/>
      <c r="U103" s="1"/>
      <c r="V103" s="1"/>
      <c r="W103" s="1"/>
      <c r="X103" s="1"/>
      <c r="Y103" s="1"/>
    </row>
    <row r="104" spans="1:25" ht="38.25">
      <c r="A104" s="71"/>
      <c r="B104" s="75"/>
      <c r="C104" s="75"/>
      <c r="D104" s="75" t="s">
        <v>390</v>
      </c>
      <c r="E104" s="75" t="s">
        <v>391</v>
      </c>
      <c r="F104" s="75" t="s">
        <v>392</v>
      </c>
      <c r="G104" s="75" t="s">
        <v>257</v>
      </c>
      <c r="H104" s="75"/>
      <c r="I104" s="75"/>
      <c r="J104" s="71" t="s">
        <v>393</v>
      </c>
      <c r="K104" s="1"/>
      <c r="L104" s="1"/>
      <c r="M104" s="1"/>
      <c r="N104" s="1"/>
      <c r="O104" s="1"/>
      <c r="P104" s="1"/>
      <c r="Q104" s="1"/>
      <c r="R104" s="1"/>
      <c r="S104" s="1"/>
      <c r="T104" s="1"/>
      <c r="U104" s="1"/>
      <c r="V104" s="1"/>
      <c r="W104" s="1"/>
      <c r="X104" s="1"/>
      <c r="Y104" s="1"/>
    </row>
    <row r="105" spans="1:25">
      <c r="A105" s="73"/>
      <c r="B105" s="74"/>
      <c r="C105" s="74"/>
      <c r="D105" s="74"/>
      <c r="E105" s="74" t="s">
        <v>394</v>
      </c>
      <c r="F105" s="74" t="s">
        <v>395</v>
      </c>
      <c r="G105" s="74" t="s">
        <v>257</v>
      </c>
      <c r="H105" s="74" t="s">
        <v>396</v>
      </c>
      <c r="I105" s="74"/>
      <c r="J105" s="73"/>
      <c r="K105" s="1"/>
      <c r="L105" s="1"/>
      <c r="M105" s="1"/>
      <c r="N105" s="1"/>
      <c r="O105" s="1"/>
      <c r="P105" s="1"/>
      <c r="Q105" s="1"/>
      <c r="R105" s="1"/>
      <c r="S105" s="1"/>
      <c r="T105" s="1"/>
      <c r="U105" s="1"/>
      <c r="V105" s="1"/>
      <c r="W105" s="1"/>
      <c r="X105" s="1"/>
      <c r="Y105" s="1"/>
    </row>
    <row r="106" spans="1:25" ht="38.25">
      <c r="A106" s="71"/>
      <c r="B106" s="75"/>
      <c r="C106" s="75"/>
      <c r="D106" s="75"/>
      <c r="E106" s="75" t="s">
        <v>397</v>
      </c>
      <c r="F106" s="75" t="s">
        <v>398</v>
      </c>
      <c r="G106" s="75" t="s">
        <v>257</v>
      </c>
      <c r="H106" s="75"/>
      <c r="I106" s="75"/>
      <c r="J106" s="71"/>
      <c r="K106" s="1"/>
      <c r="L106" s="1"/>
      <c r="M106" s="1"/>
      <c r="N106" s="1"/>
      <c r="O106" s="1"/>
      <c r="P106" s="1"/>
      <c r="Q106" s="1"/>
      <c r="R106" s="1"/>
      <c r="S106" s="1"/>
      <c r="T106" s="1"/>
      <c r="U106" s="1"/>
      <c r="V106" s="1"/>
      <c r="W106" s="1"/>
      <c r="X106" s="1"/>
      <c r="Y106" s="1"/>
    </row>
    <row r="107" spans="1:25" ht="25.5">
      <c r="A107" s="73"/>
      <c r="B107" s="74"/>
      <c r="C107" s="74"/>
      <c r="D107" s="74"/>
      <c r="E107" s="74" t="s">
        <v>399</v>
      </c>
      <c r="F107" s="74" t="s">
        <v>400</v>
      </c>
      <c r="G107" s="74" t="s">
        <v>257</v>
      </c>
      <c r="H107" s="74" t="s">
        <v>401</v>
      </c>
      <c r="I107" s="74"/>
      <c r="J107" s="73"/>
      <c r="K107" s="1"/>
      <c r="L107" s="1"/>
      <c r="M107" s="1"/>
      <c r="N107" s="1"/>
      <c r="O107" s="1"/>
      <c r="P107" s="1"/>
      <c r="Q107" s="1"/>
      <c r="R107" s="1"/>
      <c r="S107" s="1"/>
      <c r="T107" s="1"/>
      <c r="U107" s="1"/>
      <c r="V107" s="1"/>
      <c r="W107" s="1"/>
      <c r="X107" s="1"/>
      <c r="Y107" s="1"/>
    </row>
    <row r="108" spans="1:25">
      <c r="A108" s="71"/>
      <c r="B108" s="75"/>
      <c r="C108" s="75"/>
      <c r="D108" s="75"/>
      <c r="E108" s="75" t="s">
        <v>402</v>
      </c>
      <c r="F108" s="75"/>
      <c r="G108" s="75" t="s">
        <v>257</v>
      </c>
      <c r="H108" s="75"/>
      <c r="I108" s="75"/>
      <c r="J108" s="71"/>
      <c r="K108" s="1"/>
      <c r="L108" s="1"/>
      <c r="M108" s="1"/>
      <c r="N108" s="1"/>
      <c r="O108" s="1"/>
      <c r="P108" s="1"/>
      <c r="Q108" s="1"/>
      <c r="R108" s="1"/>
      <c r="S108" s="1"/>
      <c r="T108" s="1"/>
      <c r="U108" s="1"/>
      <c r="V108" s="1"/>
      <c r="W108" s="1"/>
      <c r="X108" s="1"/>
      <c r="Y108" s="1"/>
    </row>
    <row r="109" spans="1:25">
      <c r="A109" s="73"/>
      <c r="B109" s="74"/>
      <c r="C109" s="74"/>
      <c r="D109" s="74"/>
      <c r="E109" s="74" t="s">
        <v>403</v>
      </c>
      <c r="F109" s="74"/>
      <c r="G109" s="74" t="s">
        <v>257</v>
      </c>
      <c r="H109" s="74"/>
      <c r="I109" s="74"/>
      <c r="J109" s="73"/>
      <c r="K109" s="1"/>
      <c r="L109" s="1"/>
      <c r="M109" s="1"/>
      <c r="N109" s="1"/>
      <c r="O109" s="1"/>
      <c r="P109" s="1"/>
      <c r="Q109" s="1"/>
      <c r="R109" s="1"/>
      <c r="S109" s="1"/>
      <c r="T109" s="1"/>
      <c r="U109" s="1"/>
      <c r="V109" s="1"/>
      <c r="W109" s="1"/>
      <c r="X109" s="1"/>
      <c r="Y109" s="1"/>
    </row>
    <row r="110" spans="1:25" ht="38.25">
      <c r="A110" s="71"/>
      <c r="B110" s="75"/>
      <c r="C110" s="75"/>
      <c r="D110" s="75" t="s">
        <v>97</v>
      </c>
      <c r="E110" s="75"/>
      <c r="F110" s="75"/>
      <c r="G110" s="75" t="s">
        <v>282</v>
      </c>
      <c r="H110" s="75"/>
      <c r="I110" s="75"/>
      <c r="J110" s="71" t="s">
        <v>404</v>
      </c>
      <c r="K110" s="1"/>
      <c r="L110" s="1"/>
      <c r="M110" s="1"/>
      <c r="N110" s="1"/>
      <c r="O110" s="1"/>
      <c r="P110" s="1"/>
      <c r="Q110" s="1"/>
      <c r="R110" s="1"/>
      <c r="S110" s="1"/>
      <c r="T110" s="1"/>
      <c r="U110" s="1"/>
      <c r="V110" s="1"/>
      <c r="W110" s="1"/>
      <c r="X110" s="1"/>
      <c r="Y110" s="1"/>
    </row>
    <row r="111" spans="1:25">
      <c r="A111" s="73"/>
      <c r="B111" s="74"/>
      <c r="C111" s="74"/>
      <c r="D111" s="74" t="s">
        <v>405</v>
      </c>
      <c r="E111" s="74"/>
      <c r="F111" s="74"/>
      <c r="G111" s="74" t="s">
        <v>257</v>
      </c>
      <c r="H111" s="74" t="s">
        <v>406</v>
      </c>
      <c r="I111" s="74"/>
      <c r="J111" s="73"/>
      <c r="K111" s="1"/>
      <c r="L111" s="1"/>
      <c r="M111" s="1"/>
      <c r="N111" s="1"/>
      <c r="O111" s="1"/>
      <c r="P111" s="1"/>
      <c r="Q111" s="1"/>
      <c r="R111" s="1"/>
      <c r="S111" s="1"/>
      <c r="T111" s="1"/>
      <c r="U111" s="1"/>
      <c r="V111" s="1"/>
      <c r="W111" s="1"/>
      <c r="X111" s="1"/>
      <c r="Y111" s="1"/>
    </row>
    <row r="112" spans="1:25">
      <c r="A112" s="71"/>
      <c r="B112" s="75"/>
      <c r="C112" s="75" t="s">
        <v>407</v>
      </c>
      <c r="D112" s="75" t="s">
        <v>408</v>
      </c>
      <c r="E112" s="75"/>
      <c r="F112" s="75"/>
      <c r="G112" s="75" t="s">
        <v>257</v>
      </c>
      <c r="H112" s="75" t="s">
        <v>409</v>
      </c>
      <c r="I112" s="75"/>
      <c r="J112" s="71"/>
      <c r="K112" s="1"/>
      <c r="L112" s="1"/>
      <c r="M112" s="1"/>
      <c r="N112" s="1"/>
      <c r="O112" s="1"/>
      <c r="P112" s="1"/>
      <c r="Q112" s="1"/>
      <c r="R112" s="1"/>
      <c r="S112" s="1"/>
      <c r="T112" s="1"/>
      <c r="U112" s="1"/>
      <c r="V112" s="1"/>
      <c r="W112" s="1"/>
      <c r="X112" s="1"/>
      <c r="Y112" s="1"/>
    </row>
    <row r="113" spans="1:25">
      <c r="A113" s="73"/>
      <c r="B113" s="74"/>
      <c r="C113" s="74"/>
      <c r="D113" s="74" t="s">
        <v>410</v>
      </c>
      <c r="E113" s="74"/>
      <c r="F113" s="74"/>
      <c r="G113" s="74" t="s">
        <v>257</v>
      </c>
      <c r="H113" s="74"/>
      <c r="I113" s="74"/>
      <c r="J113" s="73"/>
      <c r="K113" s="1"/>
      <c r="L113" s="1"/>
      <c r="M113" s="1"/>
      <c r="N113" s="1"/>
      <c r="O113" s="1"/>
      <c r="P113" s="1"/>
      <c r="Q113" s="1"/>
      <c r="R113" s="1"/>
      <c r="S113" s="1"/>
      <c r="T113" s="1"/>
      <c r="U113" s="1"/>
      <c r="V113" s="1"/>
      <c r="W113" s="1"/>
      <c r="X113" s="1"/>
      <c r="Y113" s="1"/>
    </row>
    <row r="114" spans="1:25">
      <c r="A114" s="71"/>
      <c r="B114" s="75"/>
      <c r="C114" s="75"/>
      <c r="D114" s="75" t="s">
        <v>411</v>
      </c>
      <c r="E114" s="75"/>
      <c r="F114" s="75"/>
      <c r="G114" s="75" t="s">
        <v>257</v>
      </c>
      <c r="H114" s="75"/>
      <c r="I114" s="75"/>
      <c r="J114" s="71"/>
      <c r="K114" s="1"/>
      <c r="L114" s="1"/>
      <c r="M114" s="1"/>
      <c r="N114" s="1"/>
      <c r="O114" s="1"/>
      <c r="P114" s="1"/>
      <c r="Q114" s="1"/>
      <c r="R114" s="1"/>
      <c r="S114" s="1"/>
      <c r="T114" s="1"/>
      <c r="U114" s="1"/>
      <c r="V114" s="1"/>
      <c r="W114" s="1"/>
      <c r="X114" s="1"/>
      <c r="Y114" s="1"/>
    </row>
    <row r="115" spans="1:25">
      <c r="A115" s="73"/>
      <c r="B115" s="74"/>
      <c r="C115" s="74"/>
      <c r="D115" s="76" t="s">
        <v>412</v>
      </c>
      <c r="E115" s="74"/>
      <c r="F115" s="74"/>
      <c r="G115" s="74" t="s">
        <v>257</v>
      </c>
      <c r="H115" s="74"/>
      <c r="I115" s="74"/>
      <c r="J115" s="73"/>
      <c r="K115" s="1"/>
      <c r="L115" s="1"/>
      <c r="M115" s="1"/>
      <c r="N115" s="1"/>
      <c r="O115" s="1"/>
      <c r="P115" s="1"/>
      <c r="Q115" s="1"/>
      <c r="R115" s="1"/>
      <c r="S115" s="1"/>
      <c r="T115" s="1"/>
      <c r="U115" s="1"/>
      <c r="V115" s="1"/>
      <c r="W115" s="1"/>
      <c r="X115" s="1"/>
      <c r="Y115" s="1"/>
    </row>
    <row r="116" spans="1:25">
      <c r="A116" s="71"/>
      <c r="B116" s="75"/>
      <c r="C116" s="75"/>
      <c r="D116" s="75" t="s">
        <v>154</v>
      </c>
      <c r="E116" s="75"/>
      <c r="F116" s="75"/>
      <c r="G116" s="75" t="s">
        <v>257</v>
      </c>
      <c r="H116" s="75"/>
      <c r="I116" s="75"/>
      <c r="J116" s="71"/>
      <c r="K116" s="1"/>
      <c r="L116" s="1"/>
      <c r="M116" s="1"/>
      <c r="N116" s="1"/>
      <c r="O116" s="1"/>
      <c r="P116" s="1"/>
      <c r="Q116" s="1"/>
      <c r="R116" s="1"/>
      <c r="S116" s="1"/>
      <c r="T116" s="1"/>
      <c r="U116" s="1"/>
      <c r="V116" s="1"/>
      <c r="W116" s="1"/>
      <c r="X116" s="1"/>
      <c r="Y116" s="1"/>
    </row>
    <row r="117" spans="1:25">
      <c r="A117" s="73"/>
      <c r="B117" s="73"/>
      <c r="C117" s="73"/>
      <c r="D117" s="73"/>
      <c r="E117" s="73"/>
      <c r="F117" s="73"/>
      <c r="G117" s="73"/>
      <c r="H117" s="73"/>
      <c r="I117" s="73"/>
      <c r="J117" s="73"/>
      <c r="K117" s="1"/>
      <c r="L117" s="1"/>
      <c r="M117" s="1"/>
      <c r="N117" s="1"/>
      <c r="O117" s="1"/>
      <c r="P117" s="1"/>
      <c r="Q117" s="1"/>
      <c r="R117" s="1"/>
      <c r="S117" s="1"/>
      <c r="T117" s="1"/>
      <c r="U117" s="1"/>
      <c r="V117" s="1"/>
      <c r="W117" s="1"/>
      <c r="X117" s="1"/>
      <c r="Y117" s="1"/>
    </row>
    <row r="118" spans="1:25">
      <c r="A118" s="71"/>
      <c r="B118" s="71"/>
      <c r="C118" s="71"/>
      <c r="D118" s="71"/>
      <c r="E118" s="71"/>
      <c r="F118" s="71"/>
      <c r="G118" s="71"/>
      <c r="H118" s="71"/>
      <c r="I118" s="71"/>
      <c r="J118" s="71"/>
      <c r="K118" s="1"/>
      <c r="L118" s="1"/>
      <c r="M118" s="1"/>
      <c r="N118" s="1"/>
      <c r="O118" s="1"/>
      <c r="P118" s="1"/>
      <c r="Q118" s="1"/>
      <c r="R118" s="1"/>
      <c r="S118" s="1"/>
      <c r="T118" s="1"/>
      <c r="U118" s="1"/>
      <c r="V118" s="1"/>
      <c r="W118" s="1"/>
      <c r="X118" s="1"/>
      <c r="Y118" s="1"/>
    </row>
    <row r="119" spans="1:25">
      <c r="A119" s="73"/>
      <c r="B119" s="73"/>
      <c r="C119" s="73"/>
      <c r="D119" s="73"/>
      <c r="E119" s="73"/>
      <c r="F119" s="73"/>
      <c r="G119" s="73"/>
      <c r="H119" s="73"/>
      <c r="I119" s="73"/>
      <c r="J119" s="73"/>
      <c r="K119" s="1"/>
      <c r="L119" s="1"/>
      <c r="M119" s="1"/>
      <c r="N119" s="1"/>
      <c r="O119" s="1"/>
      <c r="P119" s="1"/>
      <c r="Q119" s="1"/>
      <c r="R119" s="1"/>
      <c r="S119" s="1"/>
      <c r="T119" s="1"/>
      <c r="U119" s="1"/>
      <c r="V119" s="1"/>
      <c r="W119" s="1"/>
      <c r="X119" s="1"/>
      <c r="Y119" s="1"/>
    </row>
    <row r="120" spans="1:25">
      <c r="A120" s="71"/>
      <c r="B120" s="71"/>
      <c r="C120" s="71"/>
      <c r="D120" s="71"/>
      <c r="E120" s="71"/>
      <c r="F120" s="71"/>
      <c r="G120" s="71"/>
      <c r="H120" s="71"/>
      <c r="I120" s="71"/>
      <c r="J120" s="71"/>
      <c r="K120" s="1"/>
      <c r="L120" s="1"/>
      <c r="M120" s="1"/>
      <c r="N120" s="1"/>
      <c r="O120" s="1"/>
      <c r="P120" s="1"/>
      <c r="Q120" s="1"/>
      <c r="R120" s="1"/>
      <c r="S120" s="1"/>
      <c r="T120" s="1"/>
      <c r="U120" s="1"/>
      <c r="V120" s="1"/>
      <c r="W120" s="1"/>
      <c r="X120" s="1"/>
      <c r="Y120" s="1"/>
    </row>
    <row r="121" spans="1:25">
      <c r="A121" s="1"/>
      <c r="B121" s="1"/>
      <c r="C121" s="1"/>
      <c r="D121" s="1"/>
      <c r="E121" s="1"/>
      <c r="F121" s="1"/>
      <c r="G121" s="1"/>
      <c r="H121" s="3"/>
      <c r="I121" s="1"/>
      <c r="J121" s="1"/>
      <c r="K121" s="1"/>
      <c r="L121" s="1"/>
      <c r="M121" s="1"/>
      <c r="N121" s="1"/>
      <c r="O121" s="1"/>
      <c r="P121" s="1"/>
      <c r="Q121" s="1"/>
      <c r="R121" s="1"/>
      <c r="S121" s="1"/>
      <c r="T121" s="1"/>
      <c r="U121" s="1"/>
      <c r="V121" s="1"/>
      <c r="W121" s="1"/>
      <c r="X121" s="1"/>
      <c r="Y121" s="1"/>
    </row>
    <row r="122" spans="1:25">
      <c r="A122" s="1"/>
      <c r="B122" s="1"/>
      <c r="C122" s="1"/>
      <c r="D122" s="1"/>
      <c r="E122" s="1"/>
      <c r="F122" s="1"/>
      <c r="G122" s="1"/>
      <c r="H122" s="3"/>
      <c r="I122" s="1"/>
      <c r="J122" s="1"/>
      <c r="K122" s="1"/>
      <c r="L122" s="1"/>
      <c r="M122" s="1"/>
      <c r="N122" s="1"/>
      <c r="O122" s="1"/>
      <c r="P122" s="1"/>
      <c r="Q122" s="1"/>
      <c r="R122" s="1"/>
      <c r="S122" s="1"/>
      <c r="T122" s="1"/>
      <c r="U122" s="1"/>
      <c r="V122" s="1"/>
      <c r="W122" s="1"/>
      <c r="X122" s="1"/>
      <c r="Y122" s="1"/>
    </row>
    <row r="123" spans="1:25">
      <c r="A123" s="1"/>
      <c r="B123" s="1"/>
      <c r="C123" s="1"/>
      <c r="D123" s="1"/>
      <c r="E123" s="1"/>
      <c r="F123" s="1"/>
      <c r="G123" s="1"/>
      <c r="H123" s="3"/>
      <c r="I123" s="1"/>
      <c r="J123" s="1"/>
      <c r="K123" s="1"/>
      <c r="L123" s="1"/>
      <c r="M123" s="1"/>
      <c r="N123" s="1"/>
      <c r="O123" s="1"/>
      <c r="P123" s="1"/>
      <c r="Q123" s="1"/>
      <c r="R123" s="1"/>
      <c r="S123" s="1"/>
      <c r="T123" s="1"/>
      <c r="U123" s="1"/>
      <c r="V123" s="1"/>
      <c r="W123" s="1"/>
      <c r="X123" s="1"/>
      <c r="Y123" s="1"/>
    </row>
    <row r="124" spans="1:25">
      <c r="A124" s="1"/>
      <c r="B124" s="1"/>
      <c r="C124" s="1"/>
      <c r="D124" s="1"/>
      <c r="E124" s="1"/>
      <c r="F124" s="1"/>
      <c r="G124" s="1"/>
      <c r="H124" s="3"/>
      <c r="I124" s="1"/>
      <c r="J124" s="1"/>
      <c r="K124" s="1"/>
      <c r="L124" s="1"/>
      <c r="M124" s="1"/>
      <c r="N124" s="1"/>
      <c r="O124" s="1"/>
      <c r="P124" s="1"/>
      <c r="Q124" s="1"/>
      <c r="R124" s="1"/>
      <c r="S124" s="1"/>
      <c r="T124" s="1"/>
      <c r="U124" s="1"/>
      <c r="V124" s="1"/>
      <c r="W124" s="1"/>
      <c r="X124" s="1"/>
      <c r="Y124" s="1"/>
    </row>
    <row r="125" spans="1:25">
      <c r="A125" s="1"/>
      <c r="B125" s="1"/>
      <c r="C125" s="1"/>
      <c r="D125" s="1"/>
      <c r="E125" s="1"/>
      <c r="F125" s="1"/>
      <c r="G125" s="1"/>
      <c r="H125" s="3"/>
      <c r="I125" s="1"/>
      <c r="J125" s="1"/>
      <c r="K125" s="1"/>
      <c r="L125" s="1"/>
      <c r="M125" s="1"/>
      <c r="N125" s="1"/>
      <c r="O125" s="1"/>
      <c r="P125" s="1"/>
      <c r="Q125" s="1"/>
      <c r="R125" s="1"/>
      <c r="S125" s="1"/>
      <c r="T125" s="1"/>
      <c r="U125" s="1"/>
      <c r="V125" s="1"/>
      <c r="W125" s="1"/>
      <c r="X125" s="1"/>
      <c r="Y125" s="1"/>
    </row>
    <row r="126" spans="1:25">
      <c r="A126" s="1"/>
      <c r="B126" s="1"/>
      <c r="C126" s="1"/>
      <c r="D126" s="1"/>
      <c r="E126" s="1"/>
      <c r="F126" s="1"/>
      <c r="G126" s="1"/>
      <c r="H126" s="3"/>
      <c r="I126" s="1"/>
      <c r="J126" s="1"/>
      <c r="K126" s="1"/>
      <c r="L126" s="1"/>
      <c r="M126" s="1"/>
      <c r="N126" s="1"/>
      <c r="O126" s="1"/>
      <c r="P126" s="1"/>
      <c r="Q126" s="1"/>
      <c r="R126" s="1"/>
      <c r="S126" s="1"/>
      <c r="T126" s="1"/>
      <c r="U126" s="1"/>
      <c r="V126" s="1"/>
      <c r="W126" s="1"/>
      <c r="X126" s="1"/>
      <c r="Y126" s="1"/>
    </row>
    <row r="127" spans="1:25">
      <c r="A127" s="1"/>
      <c r="B127" s="1"/>
      <c r="C127" s="1"/>
      <c r="D127" s="1"/>
      <c r="E127" s="1"/>
      <c r="F127" s="1"/>
      <c r="G127" s="1"/>
      <c r="H127" s="3"/>
      <c r="I127" s="1"/>
      <c r="J127" s="1"/>
      <c r="K127" s="1"/>
      <c r="L127" s="1"/>
      <c r="M127" s="1"/>
      <c r="N127" s="1"/>
      <c r="O127" s="1"/>
      <c r="P127" s="1"/>
      <c r="Q127" s="1"/>
      <c r="R127" s="1"/>
      <c r="S127" s="1"/>
      <c r="T127" s="1"/>
      <c r="U127" s="1"/>
      <c r="V127" s="1"/>
      <c r="W127" s="1"/>
      <c r="X127" s="1"/>
      <c r="Y127" s="1"/>
    </row>
    <row r="128" spans="1:25">
      <c r="A128" s="1"/>
      <c r="B128" s="1"/>
      <c r="C128" s="1"/>
      <c r="D128" s="1"/>
      <c r="E128" s="1"/>
      <c r="F128" s="1"/>
      <c r="G128" s="1"/>
      <c r="H128" s="3"/>
      <c r="I128" s="1"/>
      <c r="J128" s="1"/>
      <c r="K128" s="1"/>
      <c r="L128" s="1"/>
      <c r="M128" s="1"/>
      <c r="N128" s="1"/>
      <c r="O128" s="1"/>
      <c r="P128" s="1"/>
      <c r="Q128" s="1"/>
      <c r="R128" s="1"/>
      <c r="S128" s="1"/>
      <c r="T128" s="1"/>
      <c r="U128" s="1"/>
      <c r="V128" s="1"/>
      <c r="W128" s="1"/>
      <c r="X128" s="1"/>
      <c r="Y128" s="1"/>
    </row>
    <row r="129" spans="1:25">
      <c r="A129" s="1"/>
      <c r="B129" s="1"/>
      <c r="C129" s="1"/>
      <c r="D129" s="1"/>
      <c r="E129" s="1"/>
      <c r="F129" s="1"/>
      <c r="G129" s="1"/>
      <c r="H129" s="3"/>
      <c r="I129" s="1"/>
      <c r="J129" s="1"/>
      <c r="K129" s="1"/>
      <c r="L129" s="1"/>
      <c r="M129" s="1"/>
      <c r="N129" s="1"/>
      <c r="O129" s="1"/>
      <c r="P129" s="1"/>
      <c r="Q129" s="1"/>
      <c r="R129" s="1"/>
      <c r="S129" s="1"/>
      <c r="T129" s="1"/>
      <c r="U129" s="1"/>
      <c r="V129" s="1"/>
      <c r="W129" s="1"/>
      <c r="X129" s="1"/>
      <c r="Y129" s="1"/>
    </row>
    <row r="130" spans="1:25">
      <c r="A130" s="1"/>
      <c r="B130" s="1"/>
      <c r="C130" s="1"/>
      <c r="D130" s="1"/>
      <c r="E130" s="1"/>
      <c r="F130" s="1"/>
      <c r="G130" s="1"/>
      <c r="H130" s="3"/>
      <c r="I130" s="1"/>
      <c r="J130" s="1"/>
      <c r="K130" s="1"/>
      <c r="L130" s="1"/>
      <c r="M130" s="1"/>
      <c r="N130" s="1"/>
      <c r="O130" s="1"/>
      <c r="P130" s="1"/>
      <c r="Q130" s="1"/>
      <c r="R130" s="1"/>
      <c r="S130" s="1"/>
      <c r="T130" s="1"/>
      <c r="U130" s="1"/>
      <c r="V130" s="1"/>
      <c r="W130" s="1"/>
      <c r="X130" s="1"/>
      <c r="Y130" s="1"/>
    </row>
    <row r="131" spans="1:25">
      <c r="A131" s="1"/>
      <c r="B131" s="1"/>
      <c r="C131" s="1"/>
      <c r="D131" s="1"/>
      <c r="E131" s="1"/>
      <c r="F131" s="1"/>
      <c r="G131" s="1"/>
      <c r="H131" s="3"/>
      <c r="I131" s="1"/>
      <c r="J131" s="1"/>
      <c r="K131" s="1"/>
      <c r="L131" s="1"/>
      <c r="M131" s="1"/>
      <c r="N131" s="1"/>
      <c r="O131" s="1"/>
      <c r="P131" s="1"/>
      <c r="Q131" s="1"/>
      <c r="R131" s="1"/>
      <c r="S131" s="1"/>
      <c r="T131" s="1"/>
      <c r="U131" s="1"/>
      <c r="V131" s="1"/>
      <c r="W131" s="1"/>
      <c r="X131" s="1"/>
      <c r="Y131" s="1"/>
    </row>
    <row r="132" spans="1:25">
      <c r="A132" s="1"/>
      <c r="B132" s="1"/>
      <c r="C132" s="1"/>
      <c r="D132" s="1"/>
      <c r="E132" s="1"/>
      <c r="F132" s="1"/>
      <c r="G132" s="1"/>
      <c r="H132" s="3"/>
      <c r="I132" s="1"/>
      <c r="J132" s="1"/>
      <c r="K132" s="1"/>
      <c r="L132" s="1"/>
      <c r="M132" s="1"/>
      <c r="N132" s="1"/>
      <c r="O132" s="1"/>
      <c r="P132" s="1"/>
      <c r="Q132" s="1"/>
      <c r="R132" s="1"/>
      <c r="S132" s="1"/>
      <c r="T132" s="1"/>
      <c r="U132" s="1"/>
      <c r="V132" s="1"/>
      <c r="W132" s="1"/>
      <c r="X132" s="1"/>
      <c r="Y132" s="1"/>
    </row>
    <row r="133" spans="1:25">
      <c r="A133" s="1"/>
      <c r="B133" s="1"/>
      <c r="C133" s="1"/>
      <c r="D133" s="1"/>
      <c r="E133" s="1"/>
      <c r="F133" s="1"/>
      <c r="G133" s="1"/>
      <c r="H133" s="3"/>
      <c r="I133" s="1"/>
      <c r="J133" s="1"/>
      <c r="K133" s="1"/>
      <c r="L133" s="1"/>
      <c r="M133" s="1"/>
      <c r="N133" s="1"/>
      <c r="O133" s="1"/>
      <c r="P133" s="1"/>
      <c r="Q133" s="1"/>
      <c r="R133" s="1"/>
      <c r="S133" s="1"/>
      <c r="T133" s="1"/>
      <c r="U133" s="1"/>
      <c r="V133" s="1"/>
      <c r="W133" s="1"/>
      <c r="X133" s="1"/>
      <c r="Y133" s="1"/>
    </row>
    <row r="134" spans="1:25">
      <c r="A134" s="1"/>
      <c r="B134" s="1"/>
      <c r="C134" s="1"/>
      <c r="D134" s="1"/>
      <c r="E134" s="1"/>
      <c r="F134" s="1"/>
      <c r="G134" s="1"/>
      <c r="H134" s="3"/>
      <c r="I134" s="1"/>
      <c r="J134" s="1"/>
      <c r="K134" s="1"/>
      <c r="L134" s="1"/>
      <c r="M134" s="1"/>
      <c r="N134" s="1"/>
      <c r="O134" s="1"/>
      <c r="P134" s="1"/>
      <c r="Q134" s="1"/>
      <c r="R134" s="1"/>
      <c r="S134" s="1"/>
      <c r="T134" s="1"/>
      <c r="U134" s="1"/>
      <c r="V134" s="1"/>
      <c r="W134" s="1"/>
      <c r="X134" s="1"/>
      <c r="Y134" s="1"/>
    </row>
    <row r="135" spans="1:25">
      <c r="A135" s="1"/>
      <c r="B135" s="1"/>
      <c r="C135" s="1"/>
      <c r="D135" s="1"/>
      <c r="E135" s="1"/>
      <c r="F135" s="1"/>
      <c r="G135" s="1"/>
      <c r="H135" s="3"/>
      <c r="I135" s="1"/>
      <c r="J135" s="1"/>
      <c r="K135" s="1"/>
      <c r="L135" s="1"/>
      <c r="M135" s="1"/>
      <c r="N135" s="1"/>
      <c r="O135" s="1"/>
      <c r="P135" s="1"/>
      <c r="Q135" s="1"/>
      <c r="R135" s="1"/>
      <c r="S135" s="1"/>
      <c r="T135" s="1"/>
      <c r="U135" s="1"/>
      <c r="V135" s="1"/>
      <c r="W135" s="1"/>
      <c r="X135" s="1"/>
      <c r="Y135" s="1"/>
    </row>
    <row r="136" spans="1:25">
      <c r="A136" s="1"/>
      <c r="B136" s="1"/>
      <c r="C136" s="1"/>
      <c r="D136" s="1"/>
      <c r="E136" s="1"/>
      <c r="F136" s="1"/>
      <c r="G136" s="1"/>
      <c r="H136" s="3"/>
      <c r="I136" s="1"/>
      <c r="J136" s="1"/>
      <c r="K136" s="1"/>
      <c r="L136" s="1"/>
      <c r="M136" s="1"/>
      <c r="N136" s="1"/>
      <c r="O136" s="1"/>
      <c r="P136" s="1"/>
      <c r="Q136" s="1"/>
      <c r="R136" s="1"/>
      <c r="S136" s="1"/>
      <c r="T136" s="1"/>
      <c r="U136" s="1"/>
      <c r="V136" s="1"/>
      <c r="W136" s="1"/>
      <c r="X136" s="1"/>
      <c r="Y136" s="1"/>
    </row>
    <row r="137" spans="1:25">
      <c r="A137" s="1"/>
      <c r="B137" s="1"/>
      <c r="C137" s="1"/>
      <c r="D137" s="1"/>
      <c r="E137" s="1"/>
      <c r="F137" s="1"/>
      <c r="G137" s="1"/>
      <c r="H137" s="3"/>
      <c r="I137" s="1"/>
      <c r="J137" s="1"/>
      <c r="K137" s="1"/>
      <c r="L137" s="1"/>
      <c r="M137" s="1"/>
      <c r="N137" s="1"/>
      <c r="O137" s="1"/>
      <c r="P137" s="1"/>
      <c r="Q137" s="1"/>
      <c r="R137" s="1"/>
      <c r="S137" s="1"/>
      <c r="T137" s="1"/>
      <c r="U137" s="1"/>
      <c r="V137" s="1"/>
      <c r="W137" s="1"/>
      <c r="X137" s="1"/>
      <c r="Y137" s="1"/>
    </row>
    <row r="138" spans="1:25">
      <c r="A138" s="1"/>
      <c r="B138" s="1"/>
      <c r="C138" s="1"/>
      <c r="D138" s="1"/>
      <c r="E138" s="1"/>
      <c r="F138" s="1"/>
      <c r="G138" s="1"/>
      <c r="H138" s="3"/>
      <c r="I138" s="1"/>
      <c r="J138" s="1"/>
      <c r="K138" s="1"/>
      <c r="L138" s="1"/>
      <c r="M138" s="1"/>
      <c r="N138" s="1"/>
      <c r="O138" s="1"/>
      <c r="P138" s="1"/>
      <c r="Q138" s="1"/>
      <c r="R138" s="1"/>
      <c r="S138" s="1"/>
      <c r="T138" s="1"/>
      <c r="U138" s="1"/>
      <c r="V138" s="1"/>
      <c r="W138" s="1"/>
      <c r="X138" s="1"/>
      <c r="Y138" s="1"/>
    </row>
    <row r="139" spans="1:25">
      <c r="A139" s="1"/>
      <c r="B139" s="1"/>
      <c r="C139" s="1"/>
      <c r="D139" s="1"/>
      <c r="E139" s="1"/>
      <c r="F139" s="1"/>
      <c r="G139" s="1"/>
      <c r="H139" s="3"/>
      <c r="I139" s="1"/>
      <c r="J139" s="1"/>
      <c r="K139" s="1"/>
      <c r="L139" s="1"/>
      <c r="M139" s="1"/>
      <c r="N139" s="1"/>
      <c r="O139" s="1"/>
      <c r="P139" s="1"/>
      <c r="Q139" s="1"/>
      <c r="R139" s="1"/>
      <c r="S139" s="1"/>
      <c r="T139" s="1"/>
      <c r="U139" s="1"/>
      <c r="V139" s="1"/>
      <c r="W139" s="1"/>
      <c r="X139" s="1"/>
      <c r="Y139" s="1"/>
    </row>
    <row r="140" spans="1:25">
      <c r="A140" s="1"/>
      <c r="B140" s="1"/>
      <c r="C140" s="1"/>
      <c r="D140" s="1"/>
      <c r="E140" s="1"/>
      <c r="F140" s="1"/>
      <c r="G140" s="1"/>
      <c r="H140" s="3"/>
      <c r="I140" s="1"/>
      <c r="J140" s="1"/>
      <c r="K140" s="1"/>
      <c r="L140" s="1"/>
      <c r="M140" s="1"/>
      <c r="N140" s="1"/>
      <c r="O140" s="1"/>
      <c r="P140" s="1"/>
      <c r="Q140" s="1"/>
      <c r="R140" s="1"/>
      <c r="S140" s="1"/>
      <c r="T140" s="1"/>
      <c r="U140" s="1"/>
      <c r="V140" s="1"/>
      <c r="W140" s="1"/>
      <c r="X140" s="1"/>
      <c r="Y140" s="1"/>
    </row>
    <row r="141" spans="1:25">
      <c r="A141" s="1"/>
      <c r="B141" s="1"/>
      <c r="C141" s="1"/>
      <c r="D141" s="1"/>
      <c r="E141" s="1"/>
      <c r="F141" s="1"/>
      <c r="G141" s="1"/>
      <c r="H141" s="3"/>
      <c r="I141" s="1"/>
      <c r="J141" s="1"/>
      <c r="K141" s="1"/>
      <c r="L141" s="1"/>
      <c r="M141" s="1"/>
      <c r="N141" s="1"/>
      <c r="O141" s="1"/>
      <c r="P141" s="1"/>
      <c r="Q141" s="1"/>
      <c r="R141" s="1"/>
      <c r="S141" s="1"/>
      <c r="T141" s="1"/>
      <c r="U141" s="1"/>
      <c r="V141" s="1"/>
      <c r="W141" s="1"/>
      <c r="X141" s="1"/>
      <c r="Y141" s="1"/>
    </row>
    <row r="142" spans="1:25">
      <c r="A142" s="1"/>
      <c r="B142" s="1"/>
      <c r="C142" s="1"/>
      <c r="D142" s="1"/>
      <c r="E142" s="1"/>
      <c r="F142" s="1"/>
      <c r="G142" s="1"/>
      <c r="H142" s="3"/>
      <c r="I142" s="1"/>
      <c r="J142" s="1"/>
      <c r="K142" s="1"/>
      <c r="L142" s="1"/>
      <c r="M142" s="1"/>
      <c r="N142" s="1"/>
      <c r="O142" s="1"/>
      <c r="P142" s="1"/>
      <c r="Q142" s="1"/>
      <c r="R142" s="1"/>
      <c r="S142" s="1"/>
      <c r="T142" s="1"/>
      <c r="U142" s="1"/>
      <c r="V142" s="1"/>
      <c r="W142" s="1"/>
      <c r="X142" s="1"/>
      <c r="Y142" s="1"/>
    </row>
    <row r="143" spans="1:25">
      <c r="A143" s="1"/>
      <c r="B143" s="1"/>
      <c r="C143" s="1"/>
      <c r="D143" s="1"/>
      <c r="E143" s="1"/>
      <c r="F143" s="1"/>
      <c r="G143" s="1"/>
      <c r="H143" s="3"/>
      <c r="I143" s="1"/>
      <c r="J143" s="1"/>
      <c r="K143" s="1"/>
      <c r="L143" s="1"/>
      <c r="M143" s="1"/>
      <c r="N143" s="1"/>
      <c r="O143" s="1"/>
      <c r="P143" s="1"/>
      <c r="Q143" s="1"/>
      <c r="R143" s="1"/>
      <c r="S143" s="1"/>
      <c r="T143" s="1"/>
      <c r="U143" s="1"/>
      <c r="V143" s="1"/>
      <c r="W143" s="1"/>
      <c r="X143" s="1"/>
      <c r="Y143" s="1"/>
    </row>
    <row r="144" spans="1:25">
      <c r="A144" s="1"/>
      <c r="B144" s="1"/>
      <c r="C144" s="1"/>
      <c r="D144" s="1"/>
      <c r="E144" s="1"/>
      <c r="F144" s="1"/>
      <c r="G144" s="1"/>
      <c r="H144" s="3"/>
      <c r="I144" s="1"/>
      <c r="J144" s="1"/>
      <c r="K144" s="1"/>
      <c r="L144" s="1"/>
      <c r="M144" s="1"/>
      <c r="N144" s="1"/>
      <c r="O144" s="1"/>
      <c r="P144" s="1"/>
      <c r="Q144" s="1"/>
      <c r="R144" s="1"/>
      <c r="S144" s="1"/>
      <c r="T144" s="1"/>
      <c r="U144" s="1"/>
      <c r="V144" s="1"/>
      <c r="W144" s="1"/>
      <c r="X144" s="1"/>
      <c r="Y144" s="1"/>
    </row>
    <row r="145" spans="1:25">
      <c r="A145" s="1"/>
      <c r="B145" s="1"/>
      <c r="C145" s="1"/>
      <c r="D145" s="1"/>
      <c r="E145" s="1"/>
      <c r="F145" s="1"/>
      <c r="G145" s="1"/>
      <c r="H145" s="3"/>
      <c r="I145" s="1"/>
      <c r="J145" s="1"/>
      <c r="K145" s="1"/>
      <c r="L145" s="1"/>
      <c r="M145" s="1"/>
      <c r="N145" s="1"/>
      <c r="O145" s="1"/>
      <c r="P145" s="1"/>
      <c r="Q145" s="1"/>
      <c r="R145" s="1"/>
      <c r="S145" s="1"/>
      <c r="T145" s="1"/>
      <c r="U145" s="1"/>
      <c r="V145" s="1"/>
      <c r="W145" s="1"/>
      <c r="X145" s="1"/>
      <c r="Y145" s="1"/>
    </row>
    <row r="146" spans="1:25">
      <c r="A146" s="1"/>
      <c r="B146" s="1"/>
      <c r="C146" s="1"/>
      <c r="D146" s="1"/>
      <c r="E146" s="1"/>
      <c r="F146" s="1"/>
      <c r="G146" s="1"/>
      <c r="H146" s="3"/>
      <c r="I146" s="1"/>
      <c r="J146" s="1"/>
      <c r="K146" s="1"/>
      <c r="L146" s="1"/>
      <c r="M146" s="1"/>
      <c r="N146" s="1"/>
      <c r="O146" s="1"/>
      <c r="P146" s="1"/>
      <c r="Q146" s="1"/>
      <c r="R146" s="1"/>
      <c r="S146" s="1"/>
      <c r="T146" s="1"/>
      <c r="U146" s="1"/>
      <c r="V146" s="1"/>
      <c r="W146" s="1"/>
      <c r="X146" s="1"/>
      <c r="Y146" s="1"/>
    </row>
    <row r="147" spans="1:25">
      <c r="A147" s="1"/>
      <c r="B147" s="1"/>
      <c r="C147" s="1"/>
      <c r="D147" s="1"/>
      <c r="E147" s="1"/>
      <c r="F147" s="1"/>
      <c r="G147" s="1"/>
      <c r="H147" s="3"/>
      <c r="I147" s="1"/>
      <c r="J147" s="1"/>
      <c r="K147" s="1"/>
      <c r="L147" s="1"/>
      <c r="M147" s="1"/>
      <c r="N147" s="1"/>
      <c r="O147" s="1"/>
      <c r="P147" s="1"/>
      <c r="Q147" s="1"/>
      <c r="R147" s="1"/>
      <c r="S147" s="1"/>
      <c r="T147" s="1"/>
      <c r="U147" s="1"/>
      <c r="V147" s="1"/>
      <c r="W147" s="1"/>
      <c r="X147" s="1"/>
      <c r="Y147" s="1"/>
    </row>
    <row r="148" spans="1:25">
      <c r="A148" s="1"/>
      <c r="B148" s="1"/>
      <c r="C148" s="1"/>
      <c r="D148" s="1"/>
      <c r="E148" s="1"/>
      <c r="F148" s="1"/>
      <c r="G148" s="1"/>
      <c r="H148" s="3"/>
      <c r="I148" s="1"/>
      <c r="J148" s="1"/>
      <c r="K148" s="1"/>
      <c r="L148" s="1"/>
      <c r="M148" s="1"/>
      <c r="N148" s="1"/>
      <c r="O148" s="1"/>
      <c r="P148" s="1"/>
      <c r="Q148" s="1"/>
      <c r="R148" s="1"/>
      <c r="S148" s="1"/>
      <c r="T148" s="1"/>
      <c r="U148" s="1"/>
      <c r="V148" s="1"/>
      <c r="W148" s="1"/>
      <c r="X148" s="1"/>
      <c r="Y148" s="1"/>
    </row>
    <row r="149" spans="1:25">
      <c r="A149" s="1"/>
      <c r="B149" s="1"/>
      <c r="C149" s="1"/>
      <c r="D149" s="1"/>
      <c r="E149" s="1"/>
      <c r="F149" s="1"/>
      <c r="G149" s="1"/>
      <c r="H149" s="3"/>
      <c r="I149" s="1"/>
      <c r="J149" s="1"/>
      <c r="K149" s="1"/>
      <c r="L149" s="1"/>
      <c r="M149" s="1"/>
      <c r="N149" s="1"/>
      <c r="O149" s="1"/>
      <c r="P149" s="1"/>
      <c r="Q149" s="1"/>
      <c r="R149" s="1"/>
      <c r="S149" s="1"/>
      <c r="T149" s="1"/>
      <c r="U149" s="1"/>
      <c r="V149" s="1"/>
      <c r="W149" s="1"/>
      <c r="X149" s="1"/>
      <c r="Y149" s="1"/>
    </row>
    <row r="150" spans="1:25">
      <c r="A150" s="1"/>
      <c r="B150" s="1"/>
      <c r="C150" s="1"/>
      <c r="D150" s="1"/>
      <c r="E150" s="1"/>
      <c r="F150" s="1"/>
      <c r="G150" s="1"/>
      <c r="H150" s="3"/>
      <c r="I150" s="1"/>
      <c r="J150" s="1"/>
      <c r="K150" s="1"/>
      <c r="L150" s="1"/>
      <c r="M150" s="1"/>
      <c r="N150" s="1"/>
      <c r="O150" s="1"/>
      <c r="P150" s="1"/>
      <c r="Q150" s="1"/>
      <c r="R150" s="1"/>
      <c r="S150" s="1"/>
      <c r="T150" s="1"/>
      <c r="U150" s="1"/>
      <c r="V150" s="1"/>
      <c r="W150" s="1"/>
      <c r="X150" s="1"/>
      <c r="Y150" s="1"/>
    </row>
    <row r="151" spans="1:25">
      <c r="A151" s="1"/>
      <c r="B151" s="1"/>
      <c r="C151" s="1"/>
      <c r="D151" s="1"/>
      <c r="E151" s="1"/>
      <c r="F151" s="1"/>
      <c r="G151" s="1"/>
      <c r="H151" s="3"/>
      <c r="I151" s="1"/>
      <c r="J151" s="1"/>
      <c r="K151" s="1"/>
      <c r="L151" s="1"/>
      <c r="M151" s="1"/>
      <c r="N151" s="1"/>
      <c r="O151" s="1"/>
      <c r="P151" s="1"/>
      <c r="Q151" s="1"/>
      <c r="R151" s="1"/>
      <c r="S151" s="1"/>
      <c r="T151" s="1"/>
      <c r="U151" s="1"/>
      <c r="V151" s="1"/>
      <c r="W151" s="1"/>
      <c r="X151" s="1"/>
      <c r="Y151" s="1"/>
    </row>
    <row r="152" spans="1:25">
      <c r="A152" s="1"/>
      <c r="B152" s="1"/>
      <c r="C152" s="1"/>
      <c r="D152" s="1"/>
      <c r="E152" s="1"/>
      <c r="F152" s="1"/>
      <c r="G152" s="1"/>
      <c r="H152" s="3"/>
      <c r="I152" s="1"/>
      <c r="J152" s="1"/>
      <c r="K152" s="1"/>
      <c r="L152" s="1"/>
      <c r="M152" s="1"/>
      <c r="N152" s="1"/>
      <c r="O152" s="1"/>
      <c r="P152" s="1"/>
      <c r="Q152" s="1"/>
      <c r="R152" s="1"/>
      <c r="S152" s="1"/>
      <c r="T152" s="1"/>
      <c r="U152" s="1"/>
      <c r="V152" s="1"/>
      <c r="W152" s="1"/>
      <c r="X152" s="1"/>
      <c r="Y152" s="1"/>
    </row>
    <row r="153" spans="1:25">
      <c r="A153" s="1"/>
      <c r="B153" s="1"/>
      <c r="C153" s="1"/>
      <c r="D153" s="1"/>
      <c r="E153" s="1"/>
      <c r="F153" s="1"/>
      <c r="G153" s="1"/>
      <c r="H153" s="3"/>
      <c r="I153" s="1"/>
      <c r="J153" s="1"/>
      <c r="K153" s="1"/>
      <c r="L153" s="1"/>
      <c r="M153" s="1"/>
      <c r="N153" s="1"/>
      <c r="O153" s="1"/>
      <c r="P153" s="1"/>
      <c r="Q153" s="1"/>
      <c r="R153" s="1"/>
      <c r="S153" s="1"/>
      <c r="T153" s="1"/>
      <c r="U153" s="1"/>
      <c r="V153" s="1"/>
      <c r="W153" s="1"/>
      <c r="X153" s="1"/>
      <c r="Y153" s="1"/>
    </row>
    <row r="154" spans="1:25">
      <c r="A154" s="1"/>
      <c r="B154" s="1"/>
      <c r="C154" s="1"/>
      <c r="D154" s="1"/>
      <c r="E154" s="1"/>
      <c r="F154" s="1"/>
      <c r="G154" s="1"/>
      <c r="H154" s="3"/>
      <c r="I154" s="1"/>
      <c r="J154" s="1"/>
      <c r="K154" s="1"/>
      <c r="L154" s="1"/>
      <c r="M154" s="1"/>
      <c r="N154" s="1"/>
      <c r="O154" s="1"/>
      <c r="P154" s="1"/>
      <c r="Q154" s="1"/>
      <c r="R154" s="1"/>
      <c r="S154" s="1"/>
      <c r="T154" s="1"/>
      <c r="U154" s="1"/>
      <c r="V154" s="1"/>
      <c r="W154" s="1"/>
      <c r="X154" s="1"/>
      <c r="Y154" s="1"/>
    </row>
    <row r="155" spans="1:25">
      <c r="A155" s="1"/>
      <c r="B155" s="1"/>
      <c r="C155" s="1"/>
      <c r="D155" s="1"/>
      <c r="E155" s="1"/>
      <c r="F155" s="1"/>
      <c r="G155" s="1"/>
      <c r="H155" s="3"/>
      <c r="I155" s="1"/>
      <c r="J155" s="1"/>
      <c r="K155" s="1"/>
      <c r="L155" s="1"/>
      <c r="M155" s="1"/>
      <c r="N155" s="1"/>
      <c r="O155" s="1"/>
      <c r="P155" s="1"/>
      <c r="Q155" s="1"/>
      <c r="R155" s="1"/>
      <c r="S155" s="1"/>
      <c r="T155" s="1"/>
      <c r="U155" s="1"/>
      <c r="V155" s="1"/>
      <c r="W155" s="1"/>
      <c r="X155" s="1"/>
      <c r="Y155" s="1"/>
    </row>
    <row r="156" spans="1:25">
      <c r="A156" s="1"/>
      <c r="B156" s="1"/>
      <c r="C156" s="1"/>
      <c r="D156" s="1"/>
      <c r="E156" s="1"/>
      <c r="F156" s="1"/>
      <c r="G156" s="1"/>
      <c r="H156" s="3"/>
      <c r="I156" s="1"/>
      <c r="J156" s="1"/>
      <c r="K156" s="1"/>
      <c r="L156" s="1"/>
      <c r="M156" s="1"/>
      <c r="N156" s="1"/>
      <c r="O156" s="1"/>
      <c r="P156" s="1"/>
      <c r="Q156" s="1"/>
      <c r="R156" s="1"/>
      <c r="S156" s="1"/>
      <c r="T156" s="1"/>
      <c r="U156" s="1"/>
      <c r="V156" s="1"/>
      <c r="W156" s="1"/>
      <c r="X156" s="1"/>
      <c r="Y156" s="1"/>
    </row>
    <row r="157" spans="1:25">
      <c r="A157" s="1"/>
      <c r="B157" s="1"/>
      <c r="C157" s="1"/>
      <c r="D157" s="1"/>
      <c r="E157" s="1"/>
      <c r="F157" s="1"/>
      <c r="G157" s="1"/>
      <c r="H157" s="3"/>
      <c r="I157" s="1"/>
      <c r="J157" s="1"/>
      <c r="K157" s="1"/>
      <c r="L157" s="1"/>
      <c r="M157" s="1"/>
      <c r="N157" s="1"/>
      <c r="O157" s="1"/>
      <c r="P157" s="1"/>
      <c r="Q157" s="1"/>
      <c r="R157" s="1"/>
      <c r="S157" s="1"/>
      <c r="T157" s="1"/>
      <c r="U157" s="1"/>
      <c r="V157" s="1"/>
      <c r="W157" s="1"/>
      <c r="X157" s="1"/>
      <c r="Y157" s="1"/>
    </row>
    <row r="158" spans="1:25">
      <c r="A158" s="1"/>
      <c r="B158" s="1"/>
      <c r="C158" s="1"/>
      <c r="D158" s="1"/>
      <c r="E158" s="1"/>
      <c r="F158" s="1"/>
      <c r="G158" s="1"/>
      <c r="H158" s="3"/>
      <c r="I158" s="1"/>
      <c r="J158" s="1"/>
      <c r="K158" s="1"/>
      <c r="L158" s="1"/>
      <c r="M158" s="1"/>
      <c r="N158" s="1"/>
      <c r="O158" s="1"/>
      <c r="P158" s="1"/>
      <c r="Q158" s="1"/>
      <c r="R158" s="1"/>
      <c r="S158" s="1"/>
      <c r="T158" s="1"/>
      <c r="U158" s="1"/>
      <c r="V158" s="1"/>
      <c r="W158" s="1"/>
      <c r="X158" s="1"/>
      <c r="Y158" s="1"/>
    </row>
    <row r="159" spans="1:25">
      <c r="A159" s="1"/>
      <c r="B159" s="1"/>
      <c r="C159" s="1"/>
      <c r="D159" s="1"/>
      <c r="E159" s="1"/>
      <c r="F159" s="1"/>
      <c r="G159" s="1"/>
      <c r="H159" s="3"/>
      <c r="I159" s="1"/>
      <c r="J159" s="1"/>
      <c r="K159" s="1"/>
      <c r="L159" s="1"/>
      <c r="M159" s="1"/>
      <c r="N159" s="1"/>
      <c r="O159" s="1"/>
      <c r="P159" s="1"/>
      <c r="Q159" s="1"/>
      <c r="R159" s="1"/>
      <c r="S159" s="1"/>
      <c r="T159" s="1"/>
      <c r="U159" s="1"/>
      <c r="V159" s="1"/>
      <c r="W159" s="1"/>
      <c r="X159" s="1"/>
      <c r="Y159" s="1"/>
    </row>
    <row r="160" spans="1:25">
      <c r="A160" s="1"/>
      <c r="B160" s="1"/>
      <c r="C160" s="1"/>
      <c r="D160" s="1"/>
      <c r="E160" s="1"/>
      <c r="F160" s="1"/>
      <c r="G160" s="1"/>
      <c r="H160" s="3"/>
      <c r="I160" s="1"/>
      <c r="J160" s="1"/>
      <c r="K160" s="1"/>
      <c r="L160" s="1"/>
      <c r="M160" s="1"/>
      <c r="N160" s="1"/>
      <c r="O160" s="1"/>
      <c r="P160" s="1"/>
      <c r="Q160" s="1"/>
      <c r="R160" s="1"/>
      <c r="S160" s="1"/>
      <c r="T160" s="1"/>
      <c r="U160" s="1"/>
      <c r="V160" s="1"/>
      <c r="W160" s="1"/>
      <c r="X160" s="1"/>
      <c r="Y160" s="1"/>
    </row>
    <row r="161" spans="1:25">
      <c r="A161" s="1"/>
      <c r="B161" s="1"/>
      <c r="C161" s="1"/>
      <c r="D161" s="1"/>
      <c r="E161" s="1"/>
      <c r="F161" s="1"/>
      <c r="G161" s="1"/>
      <c r="H161" s="3"/>
      <c r="I161" s="1"/>
      <c r="J161" s="1"/>
      <c r="K161" s="1"/>
      <c r="L161" s="1"/>
      <c r="M161" s="1"/>
      <c r="N161" s="1"/>
      <c r="O161" s="1"/>
      <c r="P161" s="1"/>
      <c r="Q161" s="1"/>
      <c r="R161" s="1"/>
      <c r="S161" s="1"/>
      <c r="T161" s="1"/>
      <c r="U161" s="1"/>
      <c r="V161" s="1"/>
      <c r="W161" s="1"/>
      <c r="X161" s="1"/>
      <c r="Y161" s="1"/>
    </row>
    <row r="162" spans="1:25">
      <c r="A162" s="1"/>
      <c r="B162" s="1"/>
      <c r="C162" s="1"/>
      <c r="D162" s="1"/>
      <c r="E162" s="1"/>
      <c r="F162" s="1"/>
      <c r="G162" s="1"/>
      <c r="H162" s="3"/>
      <c r="I162" s="1"/>
      <c r="J162" s="1"/>
      <c r="K162" s="1"/>
      <c r="L162" s="1"/>
      <c r="M162" s="1"/>
      <c r="N162" s="1"/>
      <c r="O162" s="1"/>
      <c r="P162" s="1"/>
      <c r="Q162" s="1"/>
      <c r="R162" s="1"/>
      <c r="S162" s="1"/>
      <c r="T162" s="1"/>
      <c r="U162" s="1"/>
      <c r="V162" s="1"/>
      <c r="W162" s="1"/>
      <c r="X162" s="1"/>
      <c r="Y162" s="1"/>
    </row>
    <row r="163" spans="1:25">
      <c r="A163" s="1"/>
      <c r="B163" s="1"/>
      <c r="C163" s="1"/>
      <c r="D163" s="1"/>
      <c r="E163" s="1"/>
      <c r="F163" s="1"/>
      <c r="G163" s="1"/>
      <c r="H163" s="3"/>
      <c r="I163" s="1"/>
      <c r="J163" s="1"/>
      <c r="K163" s="1"/>
      <c r="L163" s="1"/>
      <c r="M163" s="1"/>
      <c r="N163" s="1"/>
      <c r="O163" s="1"/>
      <c r="P163" s="1"/>
      <c r="Q163" s="1"/>
      <c r="R163" s="1"/>
      <c r="S163" s="1"/>
      <c r="T163" s="1"/>
      <c r="U163" s="1"/>
      <c r="V163" s="1"/>
      <c r="W163" s="1"/>
      <c r="X163" s="1"/>
      <c r="Y163" s="1"/>
    </row>
    <row r="164" spans="1:25">
      <c r="A164" s="1"/>
      <c r="B164" s="1"/>
      <c r="C164" s="1"/>
      <c r="D164" s="1"/>
      <c r="E164" s="1"/>
      <c r="F164" s="1"/>
      <c r="G164" s="1"/>
      <c r="H164" s="3"/>
      <c r="I164" s="1"/>
      <c r="J164" s="1"/>
      <c r="K164" s="1"/>
      <c r="L164" s="1"/>
      <c r="M164" s="1"/>
      <c r="N164" s="1"/>
      <c r="O164" s="1"/>
      <c r="P164" s="1"/>
      <c r="Q164" s="1"/>
      <c r="R164" s="1"/>
      <c r="S164" s="1"/>
      <c r="T164" s="1"/>
      <c r="U164" s="1"/>
      <c r="V164" s="1"/>
      <c r="W164" s="1"/>
      <c r="X164" s="1"/>
      <c r="Y164" s="1"/>
    </row>
    <row r="165" spans="1:25">
      <c r="A165" s="1"/>
      <c r="B165" s="1"/>
      <c r="C165" s="1"/>
      <c r="D165" s="1"/>
      <c r="E165" s="1"/>
      <c r="F165" s="1"/>
      <c r="G165" s="1"/>
      <c r="H165" s="3"/>
      <c r="I165" s="1"/>
      <c r="J165" s="1"/>
      <c r="K165" s="1"/>
      <c r="L165" s="1"/>
      <c r="M165" s="1"/>
      <c r="N165" s="1"/>
      <c r="O165" s="1"/>
      <c r="P165" s="1"/>
      <c r="Q165" s="1"/>
      <c r="R165" s="1"/>
      <c r="S165" s="1"/>
      <c r="T165" s="1"/>
      <c r="U165" s="1"/>
      <c r="V165" s="1"/>
      <c r="W165" s="1"/>
      <c r="X165" s="1"/>
      <c r="Y165" s="1"/>
    </row>
    <row r="166" spans="1:25">
      <c r="A166" s="1"/>
      <c r="B166" s="1"/>
      <c r="C166" s="1"/>
      <c r="D166" s="1"/>
      <c r="E166" s="1"/>
      <c r="F166" s="1"/>
      <c r="G166" s="1"/>
      <c r="H166" s="3"/>
      <c r="I166" s="1"/>
      <c r="J166" s="1"/>
      <c r="K166" s="1"/>
      <c r="L166" s="1"/>
      <c r="M166" s="1"/>
      <c r="N166" s="1"/>
      <c r="O166" s="1"/>
      <c r="P166" s="1"/>
      <c r="Q166" s="1"/>
      <c r="R166" s="1"/>
      <c r="S166" s="1"/>
      <c r="T166" s="1"/>
      <c r="U166" s="1"/>
      <c r="V166" s="1"/>
      <c r="W166" s="1"/>
      <c r="X166" s="1"/>
      <c r="Y166" s="1"/>
    </row>
    <row r="167" spans="1:25">
      <c r="A167" s="1"/>
      <c r="B167" s="1"/>
      <c r="C167" s="1"/>
      <c r="D167" s="1"/>
      <c r="E167" s="1"/>
      <c r="F167" s="1"/>
      <c r="G167" s="1"/>
      <c r="H167" s="3"/>
      <c r="I167" s="1"/>
      <c r="J167" s="1"/>
      <c r="K167" s="1"/>
      <c r="L167" s="1"/>
      <c r="M167" s="1"/>
      <c r="N167" s="1"/>
      <c r="O167" s="1"/>
      <c r="P167" s="1"/>
      <c r="Q167" s="1"/>
      <c r="R167" s="1"/>
      <c r="S167" s="1"/>
      <c r="T167" s="1"/>
      <c r="U167" s="1"/>
      <c r="V167" s="1"/>
      <c r="W167" s="1"/>
      <c r="X167" s="1"/>
      <c r="Y167" s="1"/>
    </row>
    <row r="168" spans="1:25">
      <c r="A168" s="1"/>
      <c r="B168" s="1"/>
      <c r="C168" s="1"/>
      <c r="D168" s="1"/>
      <c r="E168" s="1"/>
      <c r="F168" s="1"/>
      <c r="G168" s="1"/>
      <c r="H168" s="3"/>
      <c r="I168" s="1"/>
      <c r="J168" s="1"/>
      <c r="K168" s="1"/>
      <c r="L168" s="1"/>
      <c r="M168" s="1"/>
      <c r="N168" s="1"/>
      <c r="O168" s="1"/>
      <c r="P168" s="1"/>
      <c r="Q168" s="1"/>
      <c r="R168" s="1"/>
      <c r="S168" s="1"/>
      <c r="T168" s="1"/>
      <c r="U168" s="1"/>
      <c r="V168" s="1"/>
      <c r="W168" s="1"/>
      <c r="X168" s="1"/>
      <c r="Y168" s="1"/>
    </row>
    <row r="169" spans="1:25">
      <c r="A169" s="1"/>
      <c r="B169" s="1"/>
      <c r="C169" s="1"/>
      <c r="D169" s="1"/>
      <c r="E169" s="1"/>
      <c r="F169" s="1"/>
      <c r="G169" s="1"/>
      <c r="H169" s="3"/>
      <c r="I169" s="1"/>
      <c r="J169" s="1"/>
      <c r="K169" s="1"/>
      <c r="L169" s="1"/>
      <c r="M169" s="1"/>
      <c r="N169" s="1"/>
      <c r="O169" s="1"/>
      <c r="P169" s="1"/>
      <c r="Q169" s="1"/>
      <c r="R169" s="1"/>
      <c r="S169" s="1"/>
      <c r="T169" s="1"/>
      <c r="U169" s="1"/>
      <c r="V169" s="1"/>
      <c r="W169" s="1"/>
      <c r="X169" s="1"/>
      <c r="Y169" s="1"/>
    </row>
    <row r="170" spans="1:25">
      <c r="A170" s="1"/>
      <c r="B170" s="1"/>
      <c r="C170" s="1"/>
      <c r="D170" s="1"/>
      <c r="E170" s="1"/>
      <c r="F170" s="1"/>
      <c r="G170" s="1"/>
      <c r="H170" s="3"/>
      <c r="I170" s="1"/>
      <c r="J170" s="1"/>
      <c r="K170" s="1"/>
      <c r="L170" s="1"/>
      <c r="M170" s="1"/>
      <c r="N170" s="1"/>
      <c r="O170" s="1"/>
      <c r="P170" s="1"/>
      <c r="Q170" s="1"/>
      <c r="R170" s="1"/>
      <c r="S170" s="1"/>
      <c r="T170" s="1"/>
      <c r="U170" s="1"/>
      <c r="V170" s="1"/>
      <c r="W170" s="1"/>
      <c r="X170" s="1"/>
      <c r="Y170" s="1"/>
    </row>
    <row r="171" spans="1:25">
      <c r="A171" s="1"/>
      <c r="B171" s="1"/>
      <c r="C171" s="1"/>
      <c r="D171" s="1"/>
      <c r="E171" s="1"/>
      <c r="F171" s="1"/>
      <c r="G171" s="1"/>
      <c r="H171" s="3"/>
      <c r="I171" s="1"/>
      <c r="J171" s="1"/>
      <c r="K171" s="1"/>
      <c r="L171" s="1"/>
      <c r="M171" s="1"/>
      <c r="N171" s="1"/>
      <c r="O171" s="1"/>
      <c r="P171" s="1"/>
      <c r="Q171" s="1"/>
      <c r="R171" s="1"/>
      <c r="S171" s="1"/>
      <c r="T171" s="1"/>
      <c r="U171" s="1"/>
      <c r="V171" s="1"/>
      <c r="W171" s="1"/>
      <c r="X171" s="1"/>
      <c r="Y171" s="1"/>
    </row>
    <row r="172" spans="1:25">
      <c r="A172" s="1"/>
      <c r="B172" s="1"/>
      <c r="C172" s="1"/>
      <c r="D172" s="1"/>
      <c r="E172" s="1"/>
      <c r="F172" s="1"/>
      <c r="G172" s="1"/>
      <c r="H172" s="3"/>
      <c r="I172" s="1"/>
      <c r="J172" s="1"/>
      <c r="K172" s="1"/>
      <c r="L172" s="1"/>
      <c r="M172" s="1"/>
      <c r="N172" s="1"/>
      <c r="O172" s="1"/>
      <c r="P172" s="1"/>
      <c r="Q172" s="1"/>
      <c r="R172" s="1"/>
      <c r="S172" s="1"/>
      <c r="T172" s="1"/>
      <c r="U172" s="1"/>
      <c r="V172" s="1"/>
      <c r="W172" s="1"/>
      <c r="X172" s="1"/>
      <c r="Y172" s="1"/>
    </row>
    <row r="173" spans="1:25">
      <c r="A173" s="1"/>
      <c r="B173" s="1"/>
      <c r="C173" s="1"/>
      <c r="D173" s="1"/>
      <c r="E173" s="1"/>
      <c r="F173" s="1"/>
      <c r="G173" s="1"/>
      <c r="H173" s="3"/>
      <c r="I173" s="1"/>
      <c r="J173" s="1"/>
      <c r="K173" s="1"/>
      <c r="L173" s="1"/>
      <c r="M173" s="1"/>
      <c r="N173" s="1"/>
      <c r="O173" s="1"/>
      <c r="P173" s="1"/>
      <c r="Q173" s="1"/>
      <c r="R173" s="1"/>
      <c r="S173" s="1"/>
      <c r="T173" s="1"/>
      <c r="U173" s="1"/>
      <c r="V173" s="1"/>
      <c r="W173" s="1"/>
      <c r="X173" s="1"/>
      <c r="Y173" s="1"/>
    </row>
    <row r="174" spans="1:25">
      <c r="A174" s="1"/>
      <c r="B174" s="1"/>
      <c r="C174" s="1"/>
      <c r="D174" s="1"/>
      <c r="E174" s="1"/>
      <c r="F174" s="1"/>
      <c r="G174" s="1"/>
      <c r="H174" s="3"/>
      <c r="I174" s="1"/>
      <c r="J174" s="1"/>
      <c r="K174" s="1"/>
      <c r="L174" s="1"/>
      <c r="M174" s="1"/>
      <c r="N174" s="1"/>
      <c r="O174" s="1"/>
      <c r="P174" s="1"/>
      <c r="Q174" s="1"/>
      <c r="R174" s="1"/>
      <c r="S174" s="1"/>
      <c r="T174" s="1"/>
      <c r="U174" s="1"/>
      <c r="V174" s="1"/>
      <c r="W174" s="1"/>
      <c r="X174" s="1"/>
      <c r="Y174" s="1"/>
    </row>
    <row r="175" spans="1:25">
      <c r="A175" s="1"/>
      <c r="B175" s="1"/>
      <c r="C175" s="1"/>
      <c r="D175" s="1"/>
      <c r="E175" s="1"/>
      <c r="F175" s="1"/>
      <c r="G175" s="1"/>
      <c r="H175" s="3"/>
      <c r="I175" s="1"/>
      <c r="J175" s="1"/>
      <c r="K175" s="1"/>
      <c r="L175" s="1"/>
      <c r="M175" s="1"/>
      <c r="N175" s="1"/>
      <c r="O175" s="1"/>
      <c r="P175" s="1"/>
      <c r="Q175" s="1"/>
      <c r="R175" s="1"/>
      <c r="S175" s="1"/>
      <c r="T175" s="1"/>
      <c r="U175" s="1"/>
      <c r="V175" s="1"/>
      <c r="W175" s="1"/>
      <c r="X175" s="1"/>
      <c r="Y175" s="1"/>
    </row>
    <row r="176" spans="1:25">
      <c r="A176" s="1"/>
      <c r="B176" s="1"/>
      <c r="C176" s="1"/>
      <c r="D176" s="1"/>
      <c r="E176" s="1"/>
      <c r="F176" s="1"/>
      <c r="G176" s="1"/>
      <c r="H176" s="3"/>
      <c r="I176" s="1"/>
      <c r="J176" s="1"/>
      <c r="K176" s="1"/>
      <c r="L176" s="1"/>
      <c r="M176" s="1"/>
      <c r="N176" s="1"/>
      <c r="O176" s="1"/>
      <c r="P176" s="1"/>
      <c r="Q176" s="1"/>
      <c r="R176" s="1"/>
      <c r="S176" s="1"/>
      <c r="T176" s="1"/>
      <c r="U176" s="1"/>
      <c r="V176" s="1"/>
      <c r="W176" s="1"/>
      <c r="X176" s="1"/>
      <c r="Y176" s="1"/>
    </row>
    <row r="177" spans="1:25">
      <c r="A177" s="1"/>
      <c r="B177" s="1"/>
      <c r="C177" s="1"/>
      <c r="D177" s="1"/>
      <c r="E177" s="1"/>
      <c r="F177" s="1"/>
      <c r="G177" s="1"/>
      <c r="H177" s="3"/>
      <c r="I177" s="1"/>
      <c r="J177" s="1"/>
      <c r="K177" s="1"/>
      <c r="L177" s="1"/>
      <c r="M177" s="1"/>
      <c r="N177" s="1"/>
      <c r="O177" s="1"/>
      <c r="P177" s="1"/>
      <c r="Q177" s="1"/>
      <c r="R177" s="1"/>
      <c r="S177" s="1"/>
      <c r="T177" s="1"/>
      <c r="U177" s="1"/>
      <c r="V177" s="1"/>
      <c r="W177" s="1"/>
      <c r="X177" s="1"/>
      <c r="Y177" s="1"/>
    </row>
    <row r="178" spans="1:25">
      <c r="A178" s="1"/>
      <c r="B178" s="1"/>
      <c r="C178" s="1"/>
      <c r="D178" s="1"/>
      <c r="E178" s="1"/>
      <c r="F178" s="1"/>
      <c r="G178" s="1"/>
      <c r="H178" s="3"/>
      <c r="I178" s="1"/>
      <c r="J178" s="1"/>
      <c r="K178" s="1"/>
      <c r="L178" s="1"/>
      <c r="M178" s="1"/>
      <c r="N178" s="1"/>
      <c r="O178" s="1"/>
      <c r="P178" s="1"/>
      <c r="Q178" s="1"/>
      <c r="R178" s="1"/>
      <c r="S178" s="1"/>
      <c r="T178" s="1"/>
      <c r="U178" s="1"/>
      <c r="V178" s="1"/>
      <c r="W178" s="1"/>
      <c r="X178" s="1"/>
      <c r="Y178" s="1"/>
    </row>
    <row r="179" spans="1:25">
      <c r="A179" s="1"/>
      <c r="B179" s="1"/>
      <c r="C179" s="1"/>
      <c r="D179" s="1"/>
      <c r="E179" s="1"/>
      <c r="F179" s="1"/>
      <c r="G179" s="1"/>
      <c r="H179" s="3"/>
      <c r="I179" s="1"/>
      <c r="J179" s="1"/>
      <c r="K179" s="1"/>
      <c r="L179" s="1"/>
      <c r="M179" s="1"/>
      <c r="N179" s="1"/>
      <c r="O179" s="1"/>
      <c r="P179" s="1"/>
      <c r="Q179" s="1"/>
      <c r="R179" s="1"/>
      <c r="S179" s="1"/>
      <c r="T179" s="1"/>
      <c r="U179" s="1"/>
      <c r="V179" s="1"/>
      <c r="W179" s="1"/>
      <c r="X179" s="1"/>
      <c r="Y179" s="1"/>
    </row>
    <row r="180" spans="1:25">
      <c r="A180" s="1"/>
      <c r="B180" s="1"/>
      <c r="C180" s="1"/>
      <c r="D180" s="1"/>
      <c r="E180" s="1"/>
      <c r="F180" s="1"/>
      <c r="G180" s="1"/>
      <c r="H180" s="3"/>
      <c r="I180" s="1"/>
      <c r="J180" s="1"/>
      <c r="K180" s="1"/>
      <c r="L180" s="1"/>
      <c r="M180" s="1"/>
      <c r="N180" s="1"/>
      <c r="O180" s="1"/>
      <c r="P180" s="1"/>
      <c r="Q180" s="1"/>
      <c r="R180" s="1"/>
      <c r="S180" s="1"/>
      <c r="T180" s="1"/>
      <c r="U180" s="1"/>
      <c r="V180" s="1"/>
      <c r="W180" s="1"/>
      <c r="X180" s="1"/>
      <c r="Y180" s="1"/>
    </row>
    <row r="181" spans="1:25">
      <c r="A181" s="1"/>
      <c r="B181" s="1"/>
      <c r="C181" s="1"/>
      <c r="D181" s="1"/>
      <c r="E181" s="1"/>
      <c r="F181" s="1"/>
      <c r="G181" s="1"/>
      <c r="H181" s="3"/>
      <c r="I181" s="1"/>
      <c r="J181" s="1"/>
      <c r="K181" s="1"/>
      <c r="L181" s="1"/>
      <c r="M181" s="1"/>
      <c r="N181" s="1"/>
      <c r="O181" s="1"/>
      <c r="P181" s="1"/>
      <c r="Q181" s="1"/>
      <c r="R181" s="1"/>
      <c r="S181" s="1"/>
      <c r="T181" s="1"/>
      <c r="U181" s="1"/>
      <c r="V181" s="1"/>
      <c r="W181" s="1"/>
      <c r="X181" s="1"/>
      <c r="Y181" s="1"/>
    </row>
    <row r="182" spans="1:25">
      <c r="A182" s="1"/>
      <c r="B182" s="1"/>
      <c r="C182" s="1"/>
      <c r="D182" s="1"/>
      <c r="E182" s="1"/>
      <c r="F182" s="1"/>
      <c r="G182" s="1"/>
      <c r="H182" s="3"/>
      <c r="I182" s="1"/>
      <c r="J182" s="1"/>
      <c r="K182" s="1"/>
      <c r="L182" s="1"/>
      <c r="M182" s="1"/>
      <c r="N182" s="1"/>
      <c r="O182" s="1"/>
      <c r="P182" s="1"/>
      <c r="Q182" s="1"/>
      <c r="R182" s="1"/>
      <c r="S182" s="1"/>
      <c r="T182" s="1"/>
      <c r="U182" s="1"/>
      <c r="V182" s="1"/>
      <c r="W182" s="1"/>
      <c r="X182" s="1"/>
      <c r="Y182" s="1"/>
    </row>
    <row r="183" spans="1:25">
      <c r="A183" s="1"/>
      <c r="B183" s="1"/>
      <c r="C183" s="1"/>
      <c r="D183" s="1"/>
      <c r="E183" s="1"/>
      <c r="F183" s="1"/>
      <c r="G183" s="1"/>
      <c r="H183" s="3"/>
      <c r="I183" s="1"/>
      <c r="J183" s="1"/>
      <c r="K183" s="1"/>
      <c r="L183" s="1"/>
      <c r="M183" s="1"/>
      <c r="N183" s="1"/>
      <c r="O183" s="1"/>
      <c r="P183" s="1"/>
      <c r="Q183" s="1"/>
      <c r="R183" s="1"/>
      <c r="S183" s="1"/>
      <c r="T183" s="1"/>
      <c r="U183" s="1"/>
      <c r="V183" s="1"/>
      <c r="W183" s="1"/>
      <c r="X183" s="1"/>
      <c r="Y183" s="1"/>
    </row>
    <row r="184" spans="1:25">
      <c r="A184" s="1"/>
      <c r="B184" s="1"/>
      <c r="C184" s="1"/>
      <c r="D184" s="1"/>
      <c r="E184" s="1"/>
      <c r="F184" s="1"/>
      <c r="G184" s="1"/>
      <c r="H184" s="3"/>
      <c r="I184" s="1"/>
      <c r="J184" s="1"/>
      <c r="K184" s="1"/>
      <c r="L184" s="1"/>
      <c r="M184" s="1"/>
      <c r="N184" s="1"/>
      <c r="O184" s="1"/>
      <c r="P184" s="1"/>
      <c r="Q184" s="1"/>
      <c r="R184" s="1"/>
      <c r="S184" s="1"/>
      <c r="T184" s="1"/>
      <c r="U184" s="1"/>
      <c r="V184" s="1"/>
      <c r="W184" s="1"/>
      <c r="X184" s="1"/>
      <c r="Y184" s="1"/>
    </row>
    <row r="185" spans="1:25">
      <c r="A185" s="1"/>
      <c r="B185" s="1"/>
      <c r="C185" s="1"/>
      <c r="D185" s="1"/>
      <c r="E185" s="1"/>
      <c r="F185" s="1"/>
      <c r="G185" s="1"/>
      <c r="H185" s="3"/>
      <c r="I185" s="1"/>
      <c r="J185" s="1"/>
      <c r="K185" s="1"/>
      <c r="L185" s="1"/>
      <c r="M185" s="1"/>
      <c r="N185" s="1"/>
      <c r="O185" s="1"/>
      <c r="P185" s="1"/>
      <c r="Q185" s="1"/>
      <c r="R185" s="1"/>
      <c r="S185" s="1"/>
      <c r="T185" s="1"/>
      <c r="U185" s="1"/>
      <c r="V185" s="1"/>
      <c r="W185" s="1"/>
      <c r="X185" s="1"/>
      <c r="Y185" s="1"/>
    </row>
    <row r="186" spans="1:25">
      <c r="A186" s="1"/>
      <c r="B186" s="1"/>
      <c r="C186" s="1"/>
      <c r="D186" s="1"/>
      <c r="E186" s="1"/>
      <c r="F186" s="1"/>
      <c r="G186" s="1"/>
      <c r="H186" s="3"/>
      <c r="I186" s="1"/>
      <c r="J186" s="1"/>
      <c r="K186" s="1"/>
      <c r="L186" s="1"/>
      <c r="M186" s="1"/>
      <c r="N186" s="1"/>
      <c r="O186" s="1"/>
      <c r="P186" s="1"/>
      <c r="Q186" s="1"/>
      <c r="R186" s="1"/>
      <c r="S186" s="1"/>
      <c r="T186" s="1"/>
      <c r="U186" s="1"/>
      <c r="V186" s="1"/>
      <c r="W186" s="1"/>
      <c r="X186" s="1"/>
      <c r="Y186" s="1"/>
    </row>
    <row r="187" spans="1:25">
      <c r="A187" s="1"/>
      <c r="B187" s="1"/>
      <c r="C187" s="1"/>
      <c r="D187" s="1"/>
      <c r="E187" s="1"/>
      <c r="F187" s="1"/>
      <c r="G187" s="1"/>
      <c r="H187" s="3"/>
      <c r="I187" s="1"/>
      <c r="J187" s="1"/>
      <c r="K187" s="1"/>
      <c r="L187" s="1"/>
      <c r="M187" s="1"/>
      <c r="N187" s="1"/>
      <c r="O187" s="1"/>
      <c r="P187" s="1"/>
      <c r="Q187" s="1"/>
      <c r="R187" s="1"/>
      <c r="S187" s="1"/>
      <c r="T187" s="1"/>
      <c r="U187" s="1"/>
      <c r="V187" s="1"/>
      <c r="W187" s="1"/>
      <c r="X187" s="1"/>
      <c r="Y187" s="1"/>
    </row>
    <row r="188" spans="1:25">
      <c r="A188" s="1"/>
      <c r="B188" s="1"/>
      <c r="C188" s="1"/>
      <c r="D188" s="1"/>
      <c r="E188" s="1"/>
      <c r="F188" s="1"/>
      <c r="G188" s="1"/>
      <c r="H188" s="3"/>
      <c r="I188" s="1"/>
      <c r="J188" s="1"/>
      <c r="K188" s="1"/>
      <c r="L188" s="1"/>
      <c r="M188" s="1"/>
      <c r="N188" s="1"/>
      <c r="O188" s="1"/>
      <c r="P188" s="1"/>
      <c r="Q188" s="1"/>
      <c r="R188" s="1"/>
      <c r="S188" s="1"/>
      <c r="T188" s="1"/>
      <c r="U188" s="1"/>
      <c r="V188" s="1"/>
      <c r="W188" s="1"/>
      <c r="X188" s="1"/>
      <c r="Y188" s="1"/>
    </row>
    <row r="189" spans="1:25">
      <c r="A189" s="1"/>
      <c r="B189" s="1"/>
      <c r="C189" s="1"/>
      <c r="D189" s="1"/>
      <c r="E189" s="1"/>
      <c r="F189" s="1"/>
      <c r="G189" s="1"/>
      <c r="H189" s="3"/>
      <c r="I189" s="1"/>
      <c r="J189" s="1"/>
      <c r="K189" s="1"/>
      <c r="L189" s="1"/>
      <c r="M189" s="1"/>
      <c r="N189" s="1"/>
      <c r="O189" s="1"/>
      <c r="P189" s="1"/>
      <c r="Q189" s="1"/>
      <c r="R189" s="1"/>
      <c r="S189" s="1"/>
      <c r="T189" s="1"/>
      <c r="U189" s="1"/>
      <c r="V189" s="1"/>
      <c r="W189" s="1"/>
      <c r="X189" s="1"/>
      <c r="Y189" s="1"/>
    </row>
    <row r="190" spans="1:25">
      <c r="A190" s="1"/>
      <c r="B190" s="1"/>
      <c r="C190" s="1"/>
      <c r="D190" s="1"/>
      <c r="E190" s="1"/>
      <c r="F190" s="1"/>
      <c r="G190" s="1"/>
      <c r="H190" s="3"/>
      <c r="I190" s="1"/>
      <c r="J190" s="1"/>
      <c r="K190" s="1"/>
      <c r="L190" s="1"/>
      <c r="M190" s="1"/>
      <c r="N190" s="1"/>
      <c r="O190" s="1"/>
      <c r="P190" s="1"/>
      <c r="Q190" s="1"/>
      <c r="R190" s="1"/>
      <c r="S190" s="1"/>
      <c r="T190" s="1"/>
      <c r="U190" s="1"/>
      <c r="V190" s="1"/>
      <c r="W190" s="1"/>
      <c r="X190" s="1"/>
      <c r="Y190" s="1"/>
    </row>
    <row r="191" spans="1:25">
      <c r="A191" s="1"/>
      <c r="B191" s="1"/>
      <c r="C191" s="1"/>
      <c r="D191" s="1"/>
      <c r="E191" s="1"/>
      <c r="F191" s="1"/>
      <c r="G191" s="1"/>
      <c r="H191" s="3"/>
      <c r="I191" s="1"/>
      <c r="J191" s="1"/>
      <c r="K191" s="1"/>
      <c r="L191" s="1"/>
      <c r="M191" s="1"/>
      <c r="N191" s="1"/>
      <c r="O191" s="1"/>
      <c r="P191" s="1"/>
      <c r="Q191" s="1"/>
      <c r="R191" s="1"/>
      <c r="S191" s="1"/>
      <c r="T191" s="1"/>
      <c r="U191" s="1"/>
      <c r="V191" s="1"/>
      <c r="W191" s="1"/>
      <c r="X191" s="1"/>
      <c r="Y191" s="1"/>
    </row>
    <row r="192" spans="1:25">
      <c r="A192" s="1"/>
      <c r="B192" s="1"/>
      <c r="C192" s="1"/>
      <c r="D192" s="1"/>
      <c r="E192" s="1"/>
      <c r="F192" s="1"/>
      <c r="G192" s="1"/>
      <c r="H192" s="3"/>
      <c r="I192" s="1"/>
      <c r="J192" s="1"/>
      <c r="K192" s="1"/>
      <c r="L192" s="1"/>
      <c r="M192" s="1"/>
      <c r="N192" s="1"/>
      <c r="O192" s="1"/>
      <c r="P192" s="1"/>
      <c r="Q192" s="1"/>
      <c r="R192" s="1"/>
      <c r="S192" s="1"/>
      <c r="T192" s="1"/>
      <c r="U192" s="1"/>
      <c r="V192" s="1"/>
      <c r="W192" s="1"/>
      <c r="X192" s="1"/>
      <c r="Y192" s="1"/>
    </row>
    <row r="193" spans="1:25">
      <c r="A193" s="1"/>
      <c r="B193" s="1"/>
      <c r="C193" s="1"/>
      <c r="D193" s="1"/>
      <c r="E193" s="1"/>
      <c r="F193" s="1"/>
      <c r="G193" s="1"/>
      <c r="H193" s="3"/>
      <c r="I193" s="1"/>
      <c r="J193" s="1"/>
      <c r="K193" s="1"/>
      <c r="L193" s="1"/>
      <c r="M193" s="1"/>
      <c r="N193" s="1"/>
      <c r="O193" s="1"/>
      <c r="P193" s="1"/>
      <c r="Q193" s="1"/>
      <c r="R193" s="1"/>
      <c r="S193" s="1"/>
      <c r="T193" s="1"/>
      <c r="U193" s="1"/>
      <c r="V193" s="1"/>
      <c r="W193" s="1"/>
      <c r="X193" s="1"/>
      <c r="Y193" s="1"/>
    </row>
    <row r="194" spans="1:25">
      <c r="A194" s="1"/>
      <c r="B194" s="1"/>
      <c r="C194" s="1"/>
      <c r="D194" s="1"/>
      <c r="E194" s="1"/>
      <c r="F194" s="1"/>
      <c r="G194" s="1"/>
      <c r="H194" s="3"/>
      <c r="I194" s="1"/>
      <c r="J194" s="1"/>
      <c r="K194" s="1"/>
      <c r="L194" s="1"/>
      <c r="M194" s="1"/>
      <c r="N194" s="1"/>
      <c r="O194" s="1"/>
      <c r="P194" s="1"/>
      <c r="Q194" s="1"/>
      <c r="R194" s="1"/>
      <c r="S194" s="1"/>
      <c r="T194" s="1"/>
      <c r="U194" s="1"/>
      <c r="V194" s="1"/>
      <c r="W194" s="1"/>
      <c r="X194" s="1"/>
      <c r="Y194" s="1"/>
    </row>
    <row r="195" spans="1:25">
      <c r="A195" s="1"/>
      <c r="B195" s="1"/>
      <c r="C195" s="1"/>
      <c r="D195" s="1"/>
      <c r="E195" s="1"/>
      <c r="F195" s="1"/>
      <c r="G195" s="1"/>
      <c r="H195" s="3"/>
      <c r="I195" s="1"/>
      <c r="J195" s="1"/>
      <c r="K195" s="1"/>
      <c r="L195" s="1"/>
      <c r="M195" s="1"/>
      <c r="N195" s="1"/>
      <c r="O195" s="1"/>
      <c r="P195" s="1"/>
      <c r="Q195" s="1"/>
      <c r="R195" s="1"/>
      <c r="S195" s="1"/>
      <c r="T195" s="1"/>
      <c r="U195" s="1"/>
      <c r="V195" s="1"/>
      <c r="W195" s="1"/>
      <c r="X195" s="1"/>
      <c r="Y195" s="1"/>
    </row>
    <row r="196" spans="1:25">
      <c r="A196" s="1"/>
      <c r="B196" s="1"/>
      <c r="C196" s="1"/>
      <c r="D196" s="1"/>
      <c r="E196" s="1"/>
      <c r="F196" s="1"/>
      <c r="G196" s="1"/>
      <c r="H196" s="3"/>
      <c r="I196" s="1"/>
      <c r="J196" s="1"/>
      <c r="K196" s="1"/>
      <c r="L196" s="1"/>
      <c r="M196" s="1"/>
      <c r="N196" s="1"/>
      <c r="O196" s="1"/>
      <c r="P196" s="1"/>
      <c r="Q196" s="1"/>
      <c r="R196" s="1"/>
      <c r="S196" s="1"/>
      <c r="T196" s="1"/>
      <c r="U196" s="1"/>
      <c r="V196" s="1"/>
      <c r="W196" s="1"/>
      <c r="X196" s="1"/>
      <c r="Y196" s="1"/>
    </row>
    <row r="197" spans="1:25">
      <c r="A197" s="1"/>
      <c r="B197" s="1"/>
      <c r="C197" s="1"/>
      <c r="D197" s="1"/>
      <c r="E197" s="1"/>
      <c r="F197" s="1"/>
      <c r="G197" s="1"/>
      <c r="H197" s="3"/>
      <c r="I197" s="1"/>
      <c r="J197" s="1"/>
      <c r="K197" s="1"/>
      <c r="L197" s="1"/>
      <c r="M197" s="1"/>
      <c r="N197" s="1"/>
      <c r="O197" s="1"/>
      <c r="P197" s="1"/>
      <c r="Q197" s="1"/>
      <c r="R197" s="1"/>
      <c r="S197" s="1"/>
      <c r="T197" s="1"/>
      <c r="U197" s="1"/>
      <c r="V197" s="1"/>
      <c r="W197" s="1"/>
      <c r="X197" s="1"/>
      <c r="Y197" s="1"/>
    </row>
    <row r="198" spans="1:25">
      <c r="A198" s="1"/>
      <c r="B198" s="1"/>
      <c r="C198" s="1"/>
      <c r="D198" s="1"/>
      <c r="E198" s="1"/>
      <c r="F198" s="1"/>
      <c r="G198" s="1"/>
      <c r="H198" s="3"/>
      <c r="I198" s="1"/>
      <c r="J198" s="1"/>
      <c r="K198" s="1"/>
      <c r="L198" s="1"/>
      <c r="M198" s="1"/>
      <c r="N198" s="1"/>
      <c r="O198" s="1"/>
      <c r="P198" s="1"/>
      <c r="Q198" s="1"/>
      <c r="R198" s="1"/>
      <c r="S198" s="1"/>
      <c r="T198" s="1"/>
      <c r="U198" s="1"/>
      <c r="V198" s="1"/>
      <c r="W198" s="1"/>
      <c r="X198" s="1"/>
      <c r="Y198" s="1"/>
    </row>
    <row r="199" spans="1:25">
      <c r="A199" s="1"/>
      <c r="B199" s="1"/>
      <c r="C199" s="1"/>
      <c r="D199" s="1"/>
      <c r="E199" s="1"/>
      <c r="F199" s="1"/>
      <c r="G199" s="1"/>
      <c r="H199" s="3"/>
      <c r="I199" s="1"/>
      <c r="J199" s="1"/>
      <c r="K199" s="1"/>
      <c r="L199" s="1"/>
      <c r="M199" s="1"/>
      <c r="N199" s="1"/>
      <c r="O199" s="1"/>
      <c r="P199" s="1"/>
      <c r="Q199" s="1"/>
      <c r="R199" s="1"/>
      <c r="S199" s="1"/>
      <c r="T199" s="1"/>
      <c r="U199" s="1"/>
      <c r="V199" s="1"/>
      <c r="W199" s="1"/>
      <c r="X199" s="1"/>
      <c r="Y199" s="1"/>
    </row>
    <row r="200" spans="1:25">
      <c r="A200" s="1"/>
      <c r="B200" s="1"/>
      <c r="C200" s="1"/>
      <c r="D200" s="1"/>
      <c r="E200" s="1"/>
      <c r="F200" s="1"/>
      <c r="G200" s="1"/>
      <c r="H200" s="3"/>
      <c r="I200" s="1"/>
      <c r="J200" s="1"/>
      <c r="K200" s="1"/>
      <c r="L200" s="1"/>
      <c r="M200" s="1"/>
      <c r="N200" s="1"/>
      <c r="O200" s="1"/>
      <c r="P200" s="1"/>
      <c r="Q200" s="1"/>
      <c r="R200" s="1"/>
      <c r="S200" s="1"/>
      <c r="T200" s="1"/>
      <c r="U200" s="1"/>
      <c r="V200" s="1"/>
      <c r="W200" s="1"/>
      <c r="X200" s="1"/>
      <c r="Y200" s="1"/>
    </row>
    <row r="201" spans="1:25">
      <c r="A201" s="1"/>
      <c r="B201" s="1"/>
      <c r="C201" s="1"/>
      <c r="D201" s="1"/>
      <c r="E201" s="1"/>
      <c r="F201" s="1"/>
      <c r="G201" s="1"/>
      <c r="H201" s="3"/>
      <c r="I201" s="1"/>
      <c r="J201" s="1"/>
      <c r="K201" s="1"/>
      <c r="L201" s="1"/>
      <c r="M201" s="1"/>
      <c r="N201" s="1"/>
      <c r="O201" s="1"/>
      <c r="P201" s="1"/>
      <c r="Q201" s="1"/>
      <c r="R201" s="1"/>
      <c r="S201" s="1"/>
      <c r="T201" s="1"/>
      <c r="U201" s="1"/>
      <c r="V201" s="1"/>
      <c r="W201" s="1"/>
      <c r="X201" s="1"/>
      <c r="Y201" s="1"/>
    </row>
    <row r="202" spans="1:25">
      <c r="A202" s="1"/>
      <c r="B202" s="1"/>
      <c r="C202" s="1"/>
      <c r="D202" s="1"/>
      <c r="E202" s="1"/>
      <c r="F202" s="1"/>
      <c r="G202" s="1"/>
      <c r="H202" s="3"/>
      <c r="I202" s="1"/>
      <c r="J202" s="1"/>
      <c r="K202" s="1"/>
      <c r="L202" s="1"/>
      <c r="M202" s="1"/>
      <c r="N202" s="1"/>
      <c r="O202" s="1"/>
      <c r="P202" s="1"/>
      <c r="Q202" s="1"/>
      <c r="R202" s="1"/>
      <c r="S202" s="1"/>
      <c r="T202" s="1"/>
      <c r="U202" s="1"/>
      <c r="V202" s="1"/>
      <c r="W202" s="1"/>
      <c r="X202" s="1"/>
      <c r="Y202" s="1"/>
    </row>
    <row r="203" spans="1:25">
      <c r="A203" s="1"/>
      <c r="B203" s="1"/>
      <c r="C203" s="1"/>
      <c r="D203" s="1"/>
      <c r="E203" s="1"/>
      <c r="F203" s="1"/>
      <c r="G203" s="1"/>
      <c r="H203" s="3"/>
      <c r="I203" s="1"/>
      <c r="J203" s="1"/>
      <c r="K203" s="1"/>
      <c r="L203" s="1"/>
      <c r="M203" s="1"/>
      <c r="N203" s="1"/>
      <c r="O203" s="1"/>
      <c r="P203" s="1"/>
      <c r="Q203" s="1"/>
      <c r="R203" s="1"/>
      <c r="S203" s="1"/>
      <c r="T203" s="1"/>
      <c r="U203" s="1"/>
      <c r="V203" s="1"/>
      <c r="W203" s="1"/>
      <c r="X203" s="1"/>
      <c r="Y203" s="1"/>
    </row>
    <row r="204" spans="1:25">
      <c r="A204" s="1"/>
      <c r="B204" s="1"/>
      <c r="C204" s="1"/>
      <c r="D204" s="1"/>
      <c r="E204" s="1"/>
      <c r="F204" s="1"/>
      <c r="G204" s="1"/>
      <c r="H204" s="3"/>
      <c r="I204" s="1"/>
      <c r="J204" s="1"/>
      <c r="K204" s="1"/>
      <c r="L204" s="1"/>
      <c r="M204" s="1"/>
      <c r="N204" s="1"/>
      <c r="O204" s="1"/>
      <c r="P204" s="1"/>
      <c r="Q204" s="1"/>
      <c r="R204" s="1"/>
      <c r="S204" s="1"/>
      <c r="T204" s="1"/>
      <c r="U204" s="1"/>
      <c r="V204" s="1"/>
      <c r="W204" s="1"/>
      <c r="X204" s="1"/>
      <c r="Y204" s="1"/>
    </row>
    <row r="205" spans="1:25">
      <c r="A205" s="1"/>
      <c r="B205" s="1"/>
      <c r="C205" s="1"/>
      <c r="D205" s="1"/>
      <c r="E205" s="1"/>
      <c r="F205" s="1"/>
      <c r="G205" s="1"/>
      <c r="H205" s="3"/>
      <c r="I205" s="1"/>
      <c r="J205" s="1"/>
      <c r="K205" s="1"/>
      <c r="L205" s="1"/>
      <c r="M205" s="1"/>
      <c r="N205" s="1"/>
      <c r="O205" s="1"/>
      <c r="P205" s="1"/>
      <c r="Q205" s="1"/>
      <c r="R205" s="1"/>
      <c r="S205" s="1"/>
      <c r="T205" s="1"/>
      <c r="U205" s="1"/>
      <c r="V205" s="1"/>
      <c r="W205" s="1"/>
      <c r="X205" s="1"/>
      <c r="Y205" s="1"/>
    </row>
    <row r="206" spans="1:25">
      <c r="A206" s="1"/>
      <c r="B206" s="1"/>
      <c r="C206" s="1"/>
      <c r="D206" s="1"/>
      <c r="E206" s="1"/>
      <c r="F206" s="1"/>
      <c r="G206" s="1"/>
      <c r="H206" s="3"/>
      <c r="I206" s="1"/>
      <c r="J206" s="1"/>
      <c r="K206" s="1"/>
      <c r="L206" s="1"/>
      <c r="M206" s="1"/>
      <c r="N206" s="1"/>
      <c r="O206" s="1"/>
      <c r="P206" s="1"/>
      <c r="Q206" s="1"/>
      <c r="R206" s="1"/>
      <c r="S206" s="1"/>
      <c r="T206" s="1"/>
      <c r="U206" s="1"/>
      <c r="V206" s="1"/>
      <c r="W206" s="1"/>
      <c r="X206" s="1"/>
      <c r="Y206" s="1"/>
    </row>
    <row r="207" spans="1:25">
      <c r="A207" s="1"/>
      <c r="B207" s="1"/>
      <c r="C207" s="1"/>
      <c r="D207" s="1"/>
      <c r="E207" s="1"/>
      <c r="F207" s="1"/>
      <c r="G207" s="1"/>
      <c r="H207" s="3"/>
      <c r="I207" s="1"/>
      <c r="J207" s="1"/>
      <c r="K207" s="1"/>
      <c r="L207" s="1"/>
      <c r="M207" s="1"/>
      <c r="N207" s="1"/>
      <c r="O207" s="1"/>
      <c r="P207" s="1"/>
      <c r="Q207" s="1"/>
      <c r="R207" s="1"/>
      <c r="S207" s="1"/>
      <c r="T207" s="1"/>
      <c r="U207" s="1"/>
      <c r="V207" s="1"/>
      <c r="W207" s="1"/>
      <c r="X207" s="1"/>
      <c r="Y207" s="1"/>
    </row>
    <row r="208" spans="1:25">
      <c r="A208" s="1"/>
      <c r="B208" s="1"/>
      <c r="C208" s="1"/>
      <c r="D208" s="1"/>
      <c r="E208" s="1"/>
      <c r="F208" s="1"/>
      <c r="G208" s="1"/>
      <c r="H208" s="3"/>
      <c r="I208" s="1"/>
      <c r="J208" s="1"/>
      <c r="K208" s="1"/>
      <c r="L208" s="1"/>
      <c r="M208" s="1"/>
      <c r="N208" s="1"/>
      <c r="O208" s="1"/>
      <c r="P208" s="1"/>
      <c r="Q208" s="1"/>
      <c r="R208" s="1"/>
      <c r="S208" s="1"/>
      <c r="T208" s="1"/>
      <c r="U208" s="1"/>
      <c r="V208" s="1"/>
      <c r="W208" s="1"/>
      <c r="X208" s="1"/>
      <c r="Y208" s="1"/>
    </row>
    <row r="209" spans="1:25">
      <c r="A209" s="1"/>
      <c r="B209" s="1"/>
      <c r="C209" s="1"/>
      <c r="D209" s="1"/>
      <c r="E209" s="1"/>
      <c r="F209" s="1"/>
      <c r="G209" s="1"/>
      <c r="H209" s="3"/>
      <c r="I209" s="1"/>
      <c r="J209" s="1"/>
      <c r="K209" s="1"/>
      <c r="L209" s="1"/>
      <c r="M209" s="1"/>
      <c r="N209" s="1"/>
      <c r="O209" s="1"/>
      <c r="P209" s="1"/>
      <c r="Q209" s="1"/>
      <c r="R209" s="1"/>
      <c r="S209" s="1"/>
      <c r="T209" s="1"/>
      <c r="U209" s="1"/>
      <c r="V209" s="1"/>
      <c r="W209" s="1"/>
      <c r="X209" s="1"/>
      <c r="Y209" s="1"/>
    </row>
    <row r="210" spans="1:25">
      <c r="A210" s="1"/>
      <c r="B210" s="1"/>
      <c r="C210" s="1"/>
      <c r="D210" s="1"/>
      <c r="E210" s="1"/>
      <c r="F210" s="1"/>
      <c r="G210" s="1"/>
      <c r="H210" s="3"/>
      <c r="I210" s="1"/>
      <c r="J210" s="1"/>
      <c r="K210" s="1"/>
      <c r="L210" s="1"/>
      <c r="M210" s="1"/>
      <c r="N210" s="1"/>
      <c r="O210" s="1"/>
      <c r="P210" s="1"/>
      <c r="Q210" s="1"/>
      <c r="R210" s="1"/>
      <c r="S210" s="1"/>
      <c r="T210" s="1"/>
      <c r="U210" s="1"/>
      <c r="V210" s="1"/>
      <c r="W210" s="1"/>
      <c r="X210" s="1"/>
      <c r="Y210" s="1"/>
    </row>
    <row r="211" spans="1:25">
      <c r="A211" s="1"/>
      <c r="B211" s="1"/>
      <c r="C211" s="1"/>
      <c r="D211" s="1"/>
      <c r="E211" s="1"/>
      <c r="F211" s="1"/>
      <c r="G211" s="1"/>
      <c r="H211" s="3"/>
      <c r="I211" s="1"/>
      <c r="J211" s="1"/>
      <c r="K211" s="1"/>
      <c r="L211" s="1"/>
      <c r="M211" s="1"/>
      <c r="N211" s="1"/>
      <c r="O211" s="1"/>
      <c r="P211" s="1"/>
      <c r="Q211" s="1"/>
      <c r="R211" s="1"/>
      <c r="S211" s="1"/>
      <c r="T211" s="1"/>
      <c r="U211" s="1"/>
      <c r="V211" s="1"/>
      <c r="W211" s="1"/>
      <c r="X211" s="1"/>
      <c r="Y211" s="1"/>
    </row>
    <row r="212" spans="1:25">
      <c r="A212" s="1"/>
      <c r="B212" s="1"/>
      <c r="C212" s="1"/>
      <c r="D212" s="1"/>
      <c r="E212" s="1"/>
      <c r="F212" s="1"/>
      <c r="G212" s="1"/>
      <c r="H212" s="3"/>
      <c r="I212" s="1"/>
      <c r="J212" s="1"/>
      <c r="K212" s="1"/>
      <c r="L212" s="1"/>
      <c r="M212" s="1"/>
      <c r="N212" s="1"/>
      <c r="O212" s="1"/>
      <c r="P212" s="1"/>
      <c r="Q212" s="1"/>
      <c r="R212" s="1"/>
      <c r="S212" s="1"/>
      <c r="T212" s="1"/>
      <c r="U212" s="1"/>
      <c r="V212" s="1"/>
      <c r="W212" s="1"/>
      <c r="X212" s="1"/>
      <c r="Y212" s="1"/>
    </row>
    <row r="213" spans="1:25">
      <c r="A213" s="1"/>
      <c r="B213" s="1"/>
      <c r="C213" s="1"/>
      <c r="D213" s="1"/>
      <c r="E213" s="1"/>
      <c r="F213" s="1"/>
      <c r="G213" s="1"/>
      <c r="H213" s="3"/>
      <c r="I213" s="1"/>
      <c r="J213" s="1"/>
      <c r="K213" s="1"/>
      <c r="L213" s="1"/>
      <c r="M213" s="1"/>
      <c r="N213" s="1"/>
      <c r="O213" s="1"/>
      <c r="P213" s="1"/>
      <c r="Q213" s="1"/>
      <c r="R213" s="1"/>
      <c r="S213" s="1"/>
      <c r="T213" s="1"/>
      <c r="U213" s="1"/>
      <c r="V213" s="1"/>
      <c r="W213" s="1"/>
      <c r="X213" s="1"/>
      <c r="Y213" s="1"/>
    </row>
    <row r="214" spans="1:25">
      <c r="A214" s="1"/>
      <c r="B214" s="1"/>
      <c r="C214" s="1"/>
      <c r="D214" s="1"/>
      <c r="E214" s="1"/>
      <c r="F214" s="1"/>
      <c r="G214" s="1"/>
      <c r="H214" s="3"/>
      <c r="I214" s="1"/>
      <c r="J214" s="1"/>
      <c r="K214" s="1"/>
      <c r="L214" s="1"/>
      <c r="M214" s="1"/>
      <c r="N214" s="1"/>
      <c r="O214" s="1"/>
      <c r="P214" s="1"/>
      <c r="Q214" s="1"/>
      <c r="R214" s="1"/>
      <c r="S214" s="1"/>
      <c r="T214" s="1"/>
      <c r="U214" s="1"/>
      <c r="V214" s="1"/>
      <c r="W214" s="1"/>
      <c r="X214" s="1"/>
      <c r="Y214" s="1"/>
    </row>
    <row r="215" spans="1:25">
      <c r="A215" s="1"/>
      <c r="B215" s="1"/>
      <c r="C215" s="1"/>
      <c r="D215" s="1"/>
      <c r="E215" s="1"/>
      <c r="F215" s="1"/>
      <c r="G215" s="1"/>
      <c r="H215" s="3"/>
      <c r="I215" s="1"/>
      <c r="J215" s="1"/>
      <c r="K215" s="1"/>
      <c r="L215" s="1"/>
      <c r="M215" s="1"/>
      <c r="N215" s="1"/>
      <c r="O215" s="1"/>
      <c r="P215" s="1"/>
      <c r="Q215" s="1"/>
      <c r="R215" s="1"/>
      <c r="S215" s="1"/>
      <c r="T215" s="1"/>
      <c r="U215" s="1"/>
      <c r="V215" s="1"/>
      <c r="W215" s="1"/>
      <c r="X215" s="1"/>
      <c r="Y215" s="1"/>
    </row>
    <row r="216" spans="1:25">
      <c r="A216" s="1"/>
      <c r="B216" s="1"/>
      <c r="C216" s="1"/>
      <c r="D216" s="1"/>
      <c r="E216" s="1"/>
      <c r="F216" s="1"/>
      <c r="G216" s="1"/>
      <c r="H216" s="3"/>
      <c r="I216" s="1"/>
      <c r="J216" s="1"/>
      <c r="K216" s="1"/>
      <c r="L216" s="1"/>
      <c r="M216" s="1"/>
      <c r="N216" s="1"/>
      <c r="O216" s="1"/>
      <c r="P216" s="1"/>
      <c r="Q216" s="1"/>
      <c r="R216" s="1"/>
      <c r="S216" s="1"/>
      <c r="T216" s="1"/>
      <c r="U216" s="1"/>
      <c r="V216" s="1"/>
      <c r="W216" s="1"/>
      <c r="X216" s="1"/>
      <c r="Y216" s="1"/>
    </row>
    <row r="217" spans="1:25">
      <c r="A217" s="1"/>
      <c r="B217" s="1"/>
      <c r="C217" s="1"/>
      <c r="D217" s="1"/>
      <c r="E217" s="1"/>
      <c r="F217" s="1"/>
      <c r="G217" s="1"/>
      <c r="H217" s="3"/>
      <c r="I217" s="1"/>
      <c r="J217" s="1"/>
      <c r="K217" s="1"/>
      <c r="L217" s="1"/>
      <c r="M217" s="1"/>
      <c r="N217" s="1"/>
      <c r="O217" s="1"/>
      <c r="P217" s="1"/>
      <c r="Q217" s="1"/>
      <c r="R217" s="1"/>
      <c r="S217" s="1"/>
      <c r="T217" s="1"/>
      <c r="U217" s="1"/>
      <c r="V217" s="1"/>
      <c r="W217" s="1"/>
      <c r="X217" s="1"/>
      <c r="Y217" s="1"/>
    </row>
    <row r="218" spans="1:25">
      <c r="A218" s="1"/>
      <c r="B218" s="1"/>
      <c r="C218" s="1"/>
      <c r="D218" s="1"/>
      <c r="E218" s="1"/>
      <c r="F218" s="1"/>
      <c r="G218" s="1"/>
      <c r="H218" s="3"/>
      <c r="I218" s="1"/>
      <c r="J218" s="1"/>
      <c r="K218" s="1"/>
      <c r="L218" s="1"/>
      <c r="M218" s="1"/>
      <c r="N218" s="1"/>
      <c r="O218" s="1"/>
      <c r="P218" s="1"/>
      <c r="Q218" s="1"/>
      <c r="R218" s="1"/>
      <c r="S218" s="1"/>
      <c r="T218" s="1"/>
      <c r="U218" s="1"/>
      <c r="V218" s="1"/>
      <c r="W218" s="1"/>
      <c r="X218" s="1"/>
      <c r="Y218" s="1"/>
    </row>
    <row r="219" spans="1:25">
      <c r="A219" s="1"/>
      <c r="B219" s="1"/>
      <c r="C219" s="1"/>
      <c r="D219" s="1"/>
      <c r="E219" s="1"/>
      <c r="F219" s="1"/>
      <c r="G219" s="1"/>
      <c r="H219" s="3"/>
      <c r="I219" s="1"/>
      <c r="J219" s="1"/>
      <c r="K219" s="1"/>
      <c r="L219" s="1"/>
      <c r="M219" s="1"/>
      <c r="N219" s="1"/>
      <c r="O219" s="1"/>
      <c r="P219" s="1"/>
      <c r="Q219" s="1"/>
      <c r="R219" s="1"/>
      <c r="S219" s="1"/>
      <c r="T219" s="1"/>
      <c r="U219" s="1"/>
      <c r="V219" s="1"/>
      <c r="W219" s="1"/>
      <c r="X219" s="1"/>
      <c r="Y219" s="1"/>
    </row>
    <row r="220" spans="1:25">
      <c r="A220" s="1"/>
      <c r="B220" s="1"/>
      <c r="C220" s="1"/>
      <c r="D220" s="1"/>
      <c r="E220" s="1"/>
      <c r="F220" s="1"/>
      <c r="G220" s="1"/>
      <c r="H220" s="3"/>
      <c r="I220" s="1"/>
      <c r="J220" s="1"/>
      <c r="K220" s="1"/>
      <c r="L220" s="1"/>
      <c r="M220" s="1"/>
      <c r="N220" s="1"/>
      <c r="O220" s="1"/>
      <c r="P220" s="1"/>
      <c r="Q220" s="1"/>
      <c r="R220" s="1"/>
      <c r="S220" s="1"/>
      <c r="T220" s="1"/>
      <c r="U220" s="1"/>
      <c r="V220" s="1"/>
      <c r="W220" s="1"/>
      <c r="X220" s="1"/>
      <c r="Y220" s="1"/>
    </row>
    <row r="221" spans="1:25">
      <c r="A221" s="1"/>
      <c r="B221" s="1"/>
      <c r="C221" s="1"/>
      <c r="D221" s="1"/>
      <c r="E221" s="1"/>
      <c r="F221" s="1"/>
      <c r="G221" s="1"/>
      <c r="H221" s="3"/>
      <c r="I221" s="1"/>
      <c r="J221" s="1"/>
      <c r="K221" s="1"/>
      <c r="L221" s="1"/>
      <c r="M221" s="1"/>
      <c r="N221" s="1"/>
      <c r="O221" s="1"/>
      <c r="P221" s="1"/>
      <c r="Q221" s="1"/>
      <c r="R221" s="1"/>
      <c r="S221" s="1"/>
      <c r="T221" s="1"/>
      <c r="U221" s="1"/>
      <c r="V221" s="1"/>
      <c r="W221" s="1"/>
      <c r="X221" s="1"/>
      <c r="Y221" s="1"/>
    </row>
    <row r="222" spans="1:25">
      <c r="A222" s="1"/>
      <c r="B222" s="1"/>
      <c r="C222" s="1"/>
      <c r="D222" s="1"/>
      <c r="E222" s="1"/>
      <c r="F222" s="1"/>
      <c r="G222" s="1"/>
      <c r="H222" s="3"/>
      <c r="I222" s="1"/>
      <c r="J222" s="1"/>
      <c r="K222" s="1"/>
      <c r="L222" s="1"/>
      <c r="M222" s="1"/>
      <c r="N222" s="1"/>
      <c r="O222" s="1"/>
      <c r="P222" s="1"/>
      <c r="Q222" s="1"/>
      <c r="R222" s="1"/>
      <c r="S222" s="1"/>
      <c r="T222" s="1"/>
      <c r="U222" s="1"/>
      <c r="V222" s="1"/>
      <c r="W222" s="1"/>
      <c r="X222" s="1"/>
      <c r="Y222" s="1"/>
    </row>
    <row r="223" spans="1:25">
      <c r="A223" s="1"/>
      <c r="B223" s="1"/>
      <c r="C223" s="1"/>
      <c r="D223" s="1"/>
      <c r="E223" s="1"/>
      <c r="F223" s="1"/>
      <c r="G223" s="1"/>
      <c r="H223" s="3"/>
      <c r="I223" s="1"/>
      <c r="J223" s="1"/>
      <c r="K223" s="1"/>
      <c r="L223" s="1"/>
      <c r="M223" s="1"/>
      <c r="N223" s="1"/>
      <c r="O223" s="1"/>
      <c r="P223" s="1"/>
      <c r="Q223" s="1"/>
      <c r="R223" s="1"/>
      <c r="S223" s="1"/>
      <c r="T223" s="1"/>
      <c r="U223" s="1"/>
      <c r="V223" s="1"/>
      <c r="W223" s="1"/>
      <c r="X223" s="1"/>
      <c r="Y223" s="1"/>
    </row>
    <row r="224" spans="1:25">
      <c r="A224" s="1"/>
      <c r="B224" s="1"/>
      <c r="C224" s="1"/>
      <c r="D224" s="1"/>
      <c r="E224" s="1"/>
      <c r="F224" s="1"/>
      <c r="G224" s="1"/>
      <c r="H224" s="3"/>
      <c r="I224" s="1"/>
      <c r="J224" s="1"/>
      <c r="K224" s="1"/>
      <c r="L224" s="1"/>
      <c r="M224" s="1"/>
      <c r="N224" s="1"/>
      <c r="O224" s="1"/>
      <c r="P224" s="1"/>
      <c r="Q224" s="1"/>
      <c r="R224" s="1"/>
      <c r="S224" s="1"/>
      <c r="T224" s="1"/>
      <c r="U224" s="1"/>
      <c r="V224" s="1"/>
      <c r="W224" s="1"/>
      <c r="X224" s="1"/>
      <c r="Y224" s="1"/>
    </row>
    <row r="225" spans="1:25">
      <c r="A225" s="1"/>
      <c r="B225" s="1"/>
      <c r="C225" s="1"/>
      <c r="D225" s="1"/>
      <c r="E225" s="1"/>
      <c r="F225" s="1"/>
      <c r="G225" s="1"/>
      <c r="H225" s="3"/>
      <c r="I225" s="1"/>
      <c r="J225" s="1"/>
      <c r="K225" s="1"/>
      <c r="L225" s="1"/>
      <c r="M225" s="1"/>
      <c r="N225" s="1"/>
      <c r="O225" s="1"/>
      <c r="P225" s="1"/>
      <c r="Q225" s="1"/>
      <c r="R225" s="1"/>
      <c r="S225" s="1"/>
      <c r="T225" s="1"/>
      <c r="U225" s="1"/>
      <c r="V225" s="1"/>
      <c r="W225" s="1"/>
      <c r="X225" s="1"/>
      <c r="Y225" s="1"/>
    </row>
    <row r="226" spans="1:25">
      <c r="A226" s="1"/>
      <c r="B226" s="1"/>
      <c r="C226" s="1"/>
      <c r="D226" s="1"/>
      <c r="E226" s="1"/>
      <c r="F226" s="1"/>
      <c r="G226" s="1"/>
      <c r="H226" s="3"/>
      <c r="I226" s="1"/>
      <c r="J226" s="1"/>
      <c r="K226" s="1"/>
      <c r="L226" s="1"/>
      <c r="M226" s="1"/>
      <c r="N226" s="1"/>
      <c r="O226" s="1"/>
      <c r="P226" s="1"/>
      <c r="Q226" s="1"/>
      <c r="R226" s="1"/>
      <c r="S226" s="1"/>
      <c r="T226" s="1"/>
      <c r="U226" s="1"/>
      <c r="V226" s="1"/>
      <c r="W226" s="1"/>
      <c r="X226" s="1"/>
      <c r="Y226" s="1"/>
    </row>
    <row r="227" spans="1:25">
      <c r="A227" s="1"/>
      <c r="B227" s="1"/>
      <c r="C227" s="1"/>
      <c r="D227" s="1"/>
      <c r="E227" s="1"/>
      <c r="F227" s="1"/>
      <c r="G227" s="1"/>
      <c r="H227" s="3"/>
      <c r="I227" s="1"/>
      <c r="J227" s="1"/>
      <c r="K227" s="1"/>
      <c r="L227" s="1"/>
      <c r="M227" s="1"/>
      <c r="N227" s="1"/>
      <c r="O227" s="1"/>
      <c r="P227" s="1"/>
      <c r="Q227" s="1"/>
      <c r="R227" s="1"/>
      <c r="S227" s="1"/>
      <c r="T227" s="1"/>
      <c r="U227" s="1"/>
      <c r="V227" s="1"/>
      <c r="W227" s="1"/>
      <c r="X227" s="1"/>
      <c r="Y227" s="1"/>
    </row>
    <row r="228" spans="1:25">
      <c r="A228" s="1"/>
      <c r="B228" s="1"/>
      <c r="C228" s="1"/>
      <c r="D228" s="1"/>
      <c r="E228" s="1"/>
      <c r="F228" s="1"/>
      <c r="G228" s="1"/>
      <c r="H228" s="3"/>
      <c r="I228" s="1"/>
      <c r="J228" s="1"/>
      <c r="K228" s="1"/>
      <c r="L228" s="1"/>
      <c r="M228" s="1"/>
      <c r="N228" s="1"/>
      <c r="O228" s="1"/>
      <c r="P228" s="1"/>
      <c r="Q228" s="1"/>
      <c r="R228" s="1"/>
      <c r="S228" s="1"/>
      <c r="T228" s="1"/>
      <c r="U228" s="1"/>
      <c r="V228" s="1"/>
      <c r="W228" s="1"/>
      <c r="X228" s="1"/>
      <c r="Y228" s="1"/>
    </row>
    <row r="229" spans="1:25">
      <c r="A229" s="1"/>
      <c r="B229" s="1"/>
      <c r="C229" s="1"/>
      <c r="D229" s="1"/>
      <c r="E229" s="1"/>
      <c r="F229" s="1"/>
      <c r="G229" s="1"/>
      <c r="H229" s="3"/>
      <c r="I229" s="1"/>
      <c r="J229" s="1"/>
      <c r="K229" s="1"/>
      <c r="L229" s="1"/>
      <c r="M229" s="1"/>
      <c r="N229" s="1"/>
      <c r="O229" s="1"/>
      <c r="P229" s="1"/>
      <c r="Q229" s="1"/>
      <c r="R229" s="1"/>
      <c r="S229" s="1"/>
      <c r="T229" s="1"/>
      <c r="U229" s="1"/>
      <c r="V229" s="1"/>
      <c r="W229" s="1"/>
      <c r="X229" s="1"/>
      <c r="Y229" s="1"/>
    </row>
    <row r="230" spans="1:25">
      <c r="A230" s="1"/>
      <c r="B230" s="1"/>
      <c r="C230" s="1"/>
      <c r="D230" s="1"/>
      <c r="E230" s="1"/>
      <c r="F230" s="1"/>
      <c r="G230" s="1"/>
      <c r="H230" s="3"/>
      <c r="I230" s="1"/>
      <c r="J230" s="1"/>
      <c r="K230" s="1"/>
      <c r="L230" s="1"/>
      <c r="M230" s="1"/>
      <c r="N230" s="1"/>
      <c r="O230" s="1"/>
      <c r="P230" s="1"/>
      <c r="Q230" s="1"/>
      <c r="R230" s="1"/>
      <c r="S230" s="1"/>
      <c r="T230" s="1"/>
      <c r="U230" s="1"/>
      <c r="V230" s="1"/>
      <c r="W230" s="1"/>
      <c r="X230" s="1"/>
      <c r="Y230" s="1"/>
    </row>
    <row r="231" spans="1:25">
      <c r="A231" s="1"/>
      <c r="B231" s="1"/>
      <c r="C231" s="1"/>
      <c r="D231" s="1"/>
      <c r="E231" s="1"/>
      <c r="F231" s="1"/>
      <c r="G231" s="1"/>
      <c r="H231" s="3"/>
      <c r="I231" s="1"/>
      <c r="J231" s="1"/>
      <c r="K231" s="1"/>
      <c r="L231" s="1"/>
      <c r="M231" s="1"/>
      <c r="N231" s="1"/>
      <c r="O231" s="1"/>
      <c r="P231" s="1"/>
      <c r="Q231" s="1"/>
      <c r="R231" s="1"/>
      <c r="S231" s="1"/>
      <c r="T231" s="1"/>
      <c r="U231" s="1"/>
      <c r="V231" s="1"/>
      <c r="W231" s="1"/>
      <c r="X231" s="1"/>
      <c r="Y231" s="1"/>
    </row>
    <row r="232" spans="1:25">
      <c r="A232" s="1"/>
      <c r="B232" s="1"/>
      <c r="C232" s="1"/>
      <c r="D232" s="1"/>
      <c r="E232" s="1"/>
      <c r="F232" s="1"/>
      <c r="G232" s="1"/>
      <c r="H232" s="3"/>
      <c r="I232" s="1"/>
      <c r="J232" s="1"/>
      <c r="K232" s="1"/>
      <c r="L232" s="1"/>
      <c r="M232" s="1"/>
      <c r="N232" s="1"/>
      <c r="O232" s="1"/>
      <c r="P232" s="1"/>
      <c r="Q232" s="1"/>
      <c r="R232" s="1"/>
      <c r="S232" s="1"/>
      <c r="T232" s="1"/>
      <c r="U232" s="1"/>
      <c r="V232" s="1"/>
      <c r="W232" s="1"/>
      <c r="X232" s="1"/>
      <c r="Y232" s="1"/>
    </row>
    <row r="233" spans="1:25">
      <c r="A233" s="1"/>
      <c r="B233" s="1"/>
      <c r="C233" s="1"/>
      <c r="D233" s="1"/>
      <c r="E233" s="1"/>
      <c r="F233" s="1"/>
      <c r="G233" s="1"/>
      <c r="H233" s="3"/>
      <c r="I233" s="1"/>
      <c r="J233" s="1"/>
      <c r="K233" s="1"/>
      <c r="L233" s="1"/>
      <c r="M233" s="1"/>
      <c r="N233" s="1"/>
      <c r="O233" s="1"/>
      <c r="P233" s="1"/>
      <c r="Q233" s="1"/>
      <c r="R233" s="1"/>
      <c r="S233" s="1"/>
      <c r="T233" s="1"/>
      <c r="U233" s="1"/>
      <c r="V233" s="1"/>
      <c r="W233" s="1"/>
      <c r="X233" s="1"/>
      <c r="Y233" s="1"/>
    </row>
    <row r="234" spans="1:25">
      <c r="A234" s="1"/>
      <c r="B234" s="1"/>
      <c r="C234" s="1"/>
      <c r="D234" s="1"/>
      <c r="E234" s="1"/>
      <c r="F234" s="1"/>
      <c r="G234" s="1"/>
      <c r="H234" s="3"/>
      <c r="I234" s="1"/>
      <c r="J234" s="1"/>
      <c r="K234" s="1"/>
      <c r="L234" s="1"/>
      <c r="M234" s="1"/>
      <c r="N234" s="1"/>
      <c r="O234" s="1"/>
      <c r="P234" s="1"/>
      <c r="Q234" s="1"/>
      <c r="R234" s="1"/>
      <c r="S234" s="1"/>
      <c r="T234" s="1"/>
      <c r="U234" s="1"/>
      <c r="V234" s="1"/>
      <c r="W234" s="1"/>
      <c r="X234" s="1"/>
      <c r="Y234" s="1"/>
    </row>
    <row r="235" spans="1:25">
      <c r="A235" s="1"/>
      <c r="B235" s="1"/>
      <c r="C235" s="1"/>
      <c r="D235" s="1"/>
      <c r="E235" s="1"/>
      <c r="F235" s="1"/>
      <c r="G235" s="1"/>
      <c r="H235" s="3"/>
      <c r="I235" s="1"/>
      <c r="J235" s="1"/>
      <c r="K235" s="1"/>
      <c r="L235" s="1"/>
      <c r="M235" s="1"/>
      <c r="N235" s="1"/>
      <c r="O235" s="1"/>
      <c r="P235" s="1"/>
      <c r="Q235" s="1"/>
      <c r="R235" s="1"/>
      <c r="S235" s="1"/>
      <c r="T235" s="1"/>
      <c r="U235" s="1"/>
      <c r="V235" s="1"/>
      <c r="W235" s="1"/>
      <c r="X235" s="1"/>
      <c r="Y235" s="1"/>
    </row>
    <row r="236" spans="1:25">
      <c r="A236" s="1"/>
      <c r="B236" s="1"/>
      <c r="C236" s="1"/>
      <c r="D236" s="1"/>
      <c r="E236" s="1"/>
      <c r="F236" s="1"/>
      <c r="G236" s="1"/>
      <c r="H236" s="3"/>
      <c r="I236" s="1"/>
      <c r="J236" s="1"/>
      <c r="K236" s="1"/>
      <c r="L236" s="1"/>
      <c r="M236" s="1"/>
      <c r="N236" s="1"/>
      <c r="O236" s="1"/>
      <c r="P236" s="1"/>
      <c r="Q236" s="1"/>
      <c r="R236" s="1"/>
      <c r="S236" s="1"/>
      <c r="T236" s="1"/>
      <c r="U236" s="1"/>
      <c r="V236" s="1"/>
      <c r="W236" s="1"/>
      <c r="X236" s="1"/>
      <c r="Y236" s="1"/>
    </row>
    <row r="237" spans="1:25">
      <c r="A237" s="1"/>
      <c r="B237" s="1"/>
      <c r="C237" s="1"/>
      <c r="D237" s="1"/>
      <c r="E237" s="1"/>
      <c r="F237" s="1"/>
      <c r="G237" s="1"/>
      <c r="H237" s="3"/>
      <c r="I237" s="1"/>
      <c r="J237" s="1"/>
      <c r="K237" s="1"/>
      <c r="L237" s="1"/>
      <c r="M237" s="1"/>
      <c r="N237" s="1"/>
      <c r="O237" s="1"/>
      <c r="P237" s="1"/>
      <c r="Q237" s="1"/>
      <c r="R237" s="1"/>
      <c r="S237" s="1"/>
      <c r="T237" s="1"/>
      <c r="U237" s="1"/>
      <c r="V237" s="1"/>
      <c r="W237" s="1"/>
      <c r="X237" s="1"/>
      <c r="Y237" s="1"/>
    </row>
    <row r="238" spans="1:25">
      <c r="A238" s="1"/>
      <c r="B238" s="1"/>
      <c r="C238" s="1"/>
      <c r="D238" s="1"/>
      <c r="E238" s="1"/>
      <c r="F238" s="1"/>
      <c r="G238" s="1"/>
      <c r="H238" s="3"/>
      <c r="I238" s="1"/>
      <c r="J238" s="1"/>
      <c r="K238" s="1"/>
      <c r="L238" s="1"/>
      <c r="M238" s="1"/>
      <c r="N238" s="1"/>
      <c r="O238" s="1"/>
      <c r="P238" s="1"/>
      <c r="Q238" s="1"/>
      <c r="R238" s="1"/>
      <c r="S238" s="1"/>
      <c r="T238" s="1"/>
      <c r="U238" s="1"/>
      <c r="V238" s="1"/>
      <c r="W238" s="1"/>
      <c r="X238" s="1"/>
      <c r="Y238" s="1"/>
    </row>
    <row r="239" spans="1:25">
      <c r="A239" s="1"/>
      <c r="B239" s="1"/>
      <c r="C239" s="1"/>
      <c r="D239" s="1"/>
      <c r="E239" s="1"/>
      <c r="F239" s="1"/>
      <c r="G239" s="1"/>
      <c r="H239" s="3"/>
      <c r="I239" s="1"/>
      <c r="J239" s="1"/>
      <c r="K239" s="1"/>
      <c r="L239" s="1"/>
      <c r="M239" s="1"/>
      <c r="N239" s="1"/>
      <c r="O239" s="1"/>
      <c r="P239" s="1"/>
      <c r="Q239" s="1"/>
      <c r="R239" s="1"/>
      <c r="S239" s="1"/>
      <c r="T239" s="1"/>
      <c r="U239" s="1"/>
      <c r="V239" s="1"/>
      <c r="W239" s="1"/>
      <c r="X239" s="1"/>
      <c r="Y239" s="1"/>
    </row>
    <row r="240" spans="1:25">
      <c r="A240" s="1"/>
      <c r="B240" s="1"/>
      <c r="C240" s="1"/>
      <c r="D240" s="1"/>
      <c r="E240" s="1"/>
      <c r="F240" s="1"/>
      <c r="G240" s="1"/>
      <c r="H240" s="3"/>
      <c r="I240" s="1"/>
      <c r="J240" s="1"/>
      <c r="K240" s="1"/>
      <c r="L240" s="1"/>
      <c r="M240" s="1"/>
      <c r="N240" s="1"/>
      <c r="O240" s="1"/>
      <c r="P240" s="1"/>
      <c r="Q240" s="1"/>
      <c r="R240" s="1"/>
      <c r="S240" s="1"/>
      <c r="T240" s="1"/>
      <c r="U240" s="1"/>
      <c r="V240" s="1"/>
      <c r="W240" s="1"/>
      <c r="X240" s="1"/>
      <c r="Y240" s="1"/>
    </row>
    <row r="241" spans="1:25">
      <c r="A241" s="1"/>
      <c r="B241" s="1"/>
      <c r="C241" s="1"/>
      <c r="D241" s="1"/>
      <c r="E241" s="1"/>
      <c r="F241" s="1"/>
      <c r="G241" s="1"/>
      <c r="H241" s="3"/>
      <c r="I241" s="1"/>
      <c r="J241" s="1"/>
      <c r="K241" s="1"/>
      <c r="L241" s="1"/>
      <c r="M241" s="1"/>
      <c r="N241" s="1"/>
      <c r="O241" s="1"/>
      <c r="P241" s="1"/>
      <c r="Q241" s="1"/>
      <c r="R241" s="1"/>
      <c r="S241" s="1"/>
      <c r="T241" s="1"/>
      <c r="U241" s="1"/>
      <c r="V241" s="1"/>
      <c r="W241" s="1"/>
      <c r="X241" s="1"/>
      <c r="Y241" s="1"/>
    </row>
    <row r="242" spans="1:25">
      <c r="A242" s="1"/>
      <c r="B242" s="1"/>
      <c r="C242" s="1"/>
      <c r="D242" s="1"/>
      <c r="E242" s="1"/>
      <c r="F242" s="1"/>
      <c r="G242" s="1"/>
      <c r="H242" s="3"/>
      <c r="I242" s="1"/>
      <c r="J242" s="1"/>
      <c r="K242" s="1"/>
      <c r="L242" s="1"/>
      <c r="M242" s="1"/>
      <c r="N242" s="1"/>
      <c r="O242" s="1"/>
      <c r="P242" s="1"/>
      <c r="Q242" s="1"/>
      <c r="R242" s="1"/>
      <c r="S242" s="1"/>
      <c r="T242" s="1"/>
      <c r="U242" s="1"/>
      <c r="V242" s="1"/>
      <c r="W242" s="1"/>
      <c r="X242" s="1"/>
      <c r="Y242" s="1"/>
    </row>
    <row r="243" spans="1:25">
      <c r="A243" s="1"/>
      <c r="B243" s="1"/>
      <c r="C243" s="1"/>
      <c r="D243" s="1"/>
      <c r="E243" s="1"/>
      <c r="F243" s="1"/>
      <c r="G243" s="1"/>
      <c r="H243" s="3"/>
      <c r="I243" s="1"/>
      <c r="J243" s="1"/>
      <c r="K243" s="1"/>
      <c r="L243" s="1"/>
      <c r="M243" s="1"/>
      <c r="N243" s="1"/>
      <c r="O243" s="1"/>
      <c r="P243" s="1"/>
      <c r="Q243" s="1"/>
      <c r="R243" s="1"/>
      <c r="S243" s="1"/>
      <c r="T243" s="1"/>
      <c r="U243" s="1"/>
      <c r="V243" s="1"/>
      <c r="W243" s="1"/>
      <c r="X243" s="1"/>
      <c r="Y243" s="1"/>
    </row>
    <row r="244" spans="1:25">
      <c r="A244" s="1"/>
      <c r="B244" s="1"/>
      <c r="C244" s="1"/>
      <c r="D244" s="1"/>
      <c r="E244" s="1"/>
      <c r="F244" s="1"/>
      <c r="G244" s="1"/>
      <c r="H244" s="3"/>
      <c r="I244" s="1"/>
      <c r="J244" s="1"/>
      <c r="K244" s="1"/>
      <c r="L244" s="1"/>
      <c r="M244" s="1"/>
      <c r="N244" s="1"/>
      <c r="O244" s="1"/>
      <c r="P244" s="1"/>
      <c r="Q244" s="1"/>
      <c r="R244" s="1"/>
      <c r="S244" s="1"/>
      <c r="T244" s="1"/>
      <c r="U244" s="1"/>
      <c r="V244" s="1"/>
      <c r="W244" s="1"/>
      <c r="X244" s="1"/>
      <c r="Y244" s="1"/>
    </row>
    <row r="245" spans="1:25">
      <c r="A245" s="1"/>
      <c r="B245" s="1"/>
      <c r="C245" s="1"/>
      <c r="D245" s="1"/>
      <c r="E245" s="1"/>
      <c r="F245" s="1"/>
      <c r="G245" s="1"/>
      <c r="H245" s="3"/>
      <c r="I245" s="1"/>
      <c r="J245" s="1"/>
      <c r="K245" s="1"/>
      <c r="L245" s="1"/>
      <c r="M245" s="1"/>
      <c r="N245" s="1"/>
      <c r="O245" s="1"/>
      <c r="P245" s="1"/>
      <c r="Q245" s="1"/>
      <c r="R245" s="1"/>
      <c r="S245" s="1"/>
      <c r="T245" s="1"/>
      <c r="U245" s="1"/>
      <c r="V245" s="1"/>
      <c r="W245" s="1"/>
      <c r="X245" s="1"/>
      <c r="Y245" s="1"/>
    </row>
    <row r="246" spans="1:25">
      <c r="A246" s="1"/>
      <c r="B246" s="1"/>
      <c r="C246" s="1"/>
      <c r="D246" s="1"/>
      <c r="E246" s="1"/>
      <c r="F246" s="1"/>
      <c r="G246" s="1"/>
      <c r="H246" s="3"/>
      <c r="I246" s="1"/>
      <c r="J246" s="1"/>
      <c r="K246" s="1"/>
      <c r="L246" s="1"/>
      <c r="M246" s="1"/>
      <c r="N246" s="1"/>
      <c r="O246" s="1"/>
      <c r="P246" s="1"/>
      <c r="Q246" s="1"/>
      <c r="R246" s="1"/>
      <c r="S246" s="1"/>
      <c r="T246" s="1"/>
      <c r="U246" s="1"/>
      <c r="V246" s="1"/>
      <c r="W246" s="1"/>
      <c r="X246" s="1"/>
      <c r="Y246" s="1"/>
    </row>
    <row r="247" spans="1:25">
      <c r="A247" s="1"/>
      <c r="B247" s="1"/>
      <c r="C247" s="1"/>
      <c r="D247" s="1"/>
      <c r="E247" s="1"/>
      <c r="F247" s="1"/>
      <c r="G247" s="1"/>
      <c r="H247" s="3"/>
      <c r="I247" s="1"/>
      <c r="J247" s="1"/>
      <c r="K247" s="1"/>
      <c r="L247" s="1"/>
      <c r="M247" s="1"/>
      <c r="N247" s="1"/>
      <c r="O247" s="1"/>
      <c r="P247" s="1"/>
      <c r="Q247" s="1"/>
      <c r="R247" s="1"/>
      <c r="S247" s="1"/>
      <c r="T247" s="1"/>
      <c r="U247" s="1"/>
      <c r="V247" s="1"/>
      <c r="W247" s="1"/>
      <c r="X247" s="1"/>
      <c r="Y247" s="1"/>
    </row>
    <row r="248" spans="1:25">
      <c r="A248" s="1"/>
      <c r="B248" s="1"/>
      <c r="C248" s="1"/>
      <c r="D248" s="1"/>
      <c r="E248" s="1"/>
      <c r="F248" s="1"/>
      <c r="G248" s="1"/>
      <c r="H248" s="3"/>
      <c r="I248" s="1"/>
      <c r="J248" s="1"/>
      <c r="K248" s="1"/>
      <c r="L248" s="1"/>
      <c r="M248" s="1"/>
      <c r="N248" s="1"/>
      <c r="O248" s="1"/>
      <c r="P248" s="1"/>
      <c r="Q248" s="1"/>
      <c r="R248" s="1"/>
      <c r="S248" s="1"/>
      <c r="T248" s="1"/>
      <c r="U248" s="1"/>
      <c r="V248" s="1"/>
      <c r="W248" s="1"/>
      <c r="X248" s="1"/>
      <c r="Y248" s="1"/>
    </row>
    <row r="249" spans="1:25">
      <c r="A249" s="1"/>
      <c r="B249" s="1"/>
      <c r="C249" s="1"/>
      <c r="D249" s="1"/>
      <c r="E249" s="1"/>
      <c r="F249" s="1"/>
      <c r="G249" s="1"/>
      <c r="H249" s="3"/>
      <c r="I249" s="1"/>
      <c r="J249" s="1"/>
      <c r="K249" s="1"/>
      <c r="L249" s="1"/>
      <c r="M249" s="1"/>
      <c r="N249" s="1"/>
      <c r="O249" s="1"/>
      <c r="P249" s="1"/>
      <c r="Q249" s="1"/>
      <c r="R249" s="1"/>
      <c r="S249" s="1"/>
      <c r="T249" s="1"/>
      <c r="U249" s="1"/>
      <c r="V249" s="1"/>
      <c r="W249" s="1"/>
      <c r="X249" s="1"/>
      <c r="Y249" s="1"/>
    </row>
    <row r="250" spans="1:25">
      <c r="A250" s="1"/>
      <c r="B250" s="1"/>
      <c r="C250" s="1"/>
      <c r="D250" s="1"/>
      <c r="E250" s="1"/>
      <c r="F250" s="1"/>
      <c r="G250" s="1"/>
      <c r="H250" s="3"/>
      <c r="I250" s="1"/>
      <c r="J250" s="1"/>
      <c r="K250" s="1"/>
      <c r="L250" s="1"/>
      <c r="M250" s="1"/>
      <c r="N250" s="1"/>
      <c r="O250" s="1"/>
      <c r="P250" s="1"/>
      <c r="Q250" s="1"/>
      <c r="R250" s="1"/>
      <c r="S250" s="1"/>
      <c r="T250" s="1"/>
      <c r="U250" s="1"/>
      <c r="V250" s="1"/>
      <c r="W250" s="1"/>
      <c r="X250" s="1"/>
      <c r="Y250" s="1"/>
    </row>
    <row r="251" spans="1:25">
      <c r="A251" s="1"/>
      <c r="B251" s="1"/>
      <c r="C251" s="1"/>
      <c r="D251" s="1"/>
      <c r="E251" s="1"/>
      <c r="F251" s="1"/>
      <c r="G251" s="1"/>
      <c r="H251" s="3"/>
      <c r="I251" s="1"/>
      <c r="J251" s="1"/>
      <c r="K251" s="1"/>
      <c r="L251" s="1"/>
      <c r="M251" s="1"/>
      <c r="N251" s="1"/>
      <c r="O251" s="1"/>
      <c r="P251" s="1"/>
      <c r="Q251" s="1"/>
      <c r="R251" s="1"/>
      <c r="S251" s="1"/>
      <c r="T251" s="1"/>
      <c r="U251" s="1"/>
      <c r="V251" s="1"/>
      <c r="W251" s="1"/>
      <c r="X251" s="1"/>
      <c r="Y251" s="1"/>
    </row>
    <row r="252" spans="1:25">
      <c r="A252" s="1"/>
      <c r="B252" s="1"/>
      <c r="C252" s="1"/>
      <c r="D252" s="1"/>
      <c r="E252" s="1"/>
      <c r="F252" s="1"/>
      <c r="G252" s="1"/>
      <c r="H252" s="3"/>
      <c r="I252" s="1"/>
      <c r="J252" s="1"/>
      <c r="K252" s="1"/>
      <c r="L252" s="1"/>
      <c r="M252" s="1"/>
      <c r="N252" s="1"/>
      <c r="O252" s="1"/>
      <c r="P252" s="1"/>
      <c r="Q252" s="1"/>
      <c r="R252" s="1"/>
      <c r="S252" s="1"/>
      <c r="T252" s="1"/>
      <c r="U252" s="1"/>
      <c r="V252" s="1"/>
      <c r="W252" s="1"/>
      <c r="X252" s="1"/>
      <c r="Y252" s="1"/>
    </row>
    <row r="253" spans="1:25">
      <c r="A253" s="1"/>
      <c r="B253" s="1"/>
      <c r="C253" s="1"/>
      <c r="D253" s="1"/>
      <c r="E253" s="1"/>
      <c r="F253" s="1"/>
      <c r="G253" s="1"/>
      <c r="H253" s="3"/>
      <c r="I253" s="1"/>
      <c r="J253" s="1"/>
      <c r="K253" s="1"/>
      <c r="L253" s="1"/>
      <c r="M253" s="1"/>
      <c r="N253" s="1"/>
      <c r="O253" s="1"/>
      <c r="P253" s="1"/>
      <c r="Q253" s="1"/>
      <c r="R253" s="1"/>
      <c r="S253" s="1"/>
      <c r="T253" s="1"/>
      <c r="U253" s="1"/>
      <c r="V253" s="1"/>
      <c r="W253" s="1"/>
      <c r="X253" s="1"/>
      <c r="Y253" s="1"/>
    </row>
    <row r="254" spans="1:25">
      <c r="A254" s="1"/>
      <c r="B254" s="1"/>
      <c r="C254" s="1"/>
      <c r="D254" s="1"/>
      <c r="E254" s="1"/>
      <c r="F254" s="1"/>
      <c r="G254" s="1"/>
      <c r="H254" s="3"/>
      <c r="I254" s="1"/>
      <c r="J254" s="1"/>
      <c r="K254" s="1"/>
      <c r="L254" s="1"/>
      <c r="M254" s="1"/>
      <c r="N254" s="1"/>
      <c r="O254" s="1"/>
      <c r="P254" s="1"/>
      <c r="Q254" s="1"/>
      <c r="R254" s="1"/>
      <c r="S254" s="1"/>
      <c r="T254" s="1"/>
      <c r="U254" s="1"/>
      <c r="V254" s="1"/>
      <c r="W254" s="1"/>
      <c r="X254" s="1"/>
      <c r="Y254" s="1"/>
    </row>
    <row r="255" spans="1:25">
      <c r="A255" s="1"/>
      <c r="B255" s="1"/>
      <c r="C255" s="1"/>
      <c r="D255" s="1"/>
      <c r="E255" s="1"/>
      <c r="F255" s="1"/>
      <c r="G255" s="1"/>
      <c r="H255" s="3"/>
      <c r="I255" s="1"/>
      <c r="J255" s="1"/>
      <c r="K255" s="1"/>
      <c r="L255" s="1"/>
      <c r="M255" s="1"/>
      <c r="N255" s="1"/>
      <c r="O255" s="1"/>
      <c r="P255" s="1"/>
      <c r="Q255" s="1"/>
      <c r="R255" s="1"/>
      <c r="S255" s="1"/>
      <c r="T255" s="1"/>
      <c r="U255" s="1"/>
      <c r="V255" s="1"/>
      <c r="W255" s="1"/>
      <c r="X255" s="1"/>
      <c r="Y255" s="1"/>
    </row>
    <row r="256" spans="1:25">
      <c r="A256" s="1"/>
      <c r="B256" s="1"/>
      <c r="C256" s="1"/>
      <c r="D256" s="1"/>
      <c r="E256" s="1"/>
      <c r="F256" s="1"/>
      <c r="G256" s="1"/>
      <c r="H256" s="3"/>
      <c r="I256" s="1"/>
      <c r="J256" s="1"/>
      <c r="K256" s="1"/>
      <c r="L256" s="1"/>
      <c r="M256" s="1"/>
      <c r="N256" s="1"/>
      <c r="O256" s="1"/>
      <c r="P256" s="1"/>
      <c r="Q256" s="1"/>
      <c r="R256" s="1"/>
      <c r="S256" s="1"/>
      <c r="T256" s="1"/>
      <c r="U256" s="1"/>
      <c r="V256" s="1"/>
      <c r="W256" s="1"/>
      <c r="X256" s="1"/>
      <c r="Y256" s="1"/>
    </row>
    <row r="257" spans="1:25">
      <c r="A257" s="1"/>
      <c r="B257" s="1"/>
      <c r="C257" s="1"/>
      <c r="D257" s="1"/>
      <c r="E257" s="1"/>
      <c r="F257" s="1"/>
      <c r="G257" s="1"/>
      <c r="H257" s="3"/>
      <c r="I257" s="1"/>
      <c r="J257" s="1"/>
      <c r="K257" s="1"/>
      <c r="L257" s="1"/>
      <c r="M257" s="1"/>
      <c r="N257" s="1"/>
      <c r="O257" s="1"/>
      <c r="P257" s="1"/>
      <c r="Q257" s="1"/>
      <c r="R257" s="1"/>
      <c r="S257" s="1"/>
      <c r="T257" s="1"/>
      <c r="U257" s="1"/>
      <c r="V257" s="1"/>
      <c r="W257" s="1"/>
      <c r="X257" s="1"/>
      <c r="Y257" s="1"/>
    </row>
    <row r="258" spans="1:25">
      <c r="A258" s="1"/>
      <c r="B258" s="1"/>
      <c r="C258" s="1"/>
      <c r="D258" s="1"/>
      <c r="E258" s="1"/>
      <c r="F258" s="1"/>
      <c r="G258" s="1"/>
      <c r="H258" s="3"/>
      <c r="I258" s="1"/>
      <c r="J258" s="1"/>
      <c r="K258" s="1"/>
      <c r="L258" s="1"/>
      <c r="M258" s="1"/>
      <c r="N258" s="1"/>
      <c r="O258" s="1"/>
      <c r="P258" s="1"/>
      <c r="Q258" s="1"/>
      <c r="R258" s="1"/>
      <c r="S258" s="1"/>
      <c r="T258" s="1"/>
      <c r="U258" s="1"/>
      <c r="V258" s="1"/>
      <c r="W258" s="1"/>
      <c r="X258" s="1"/>
      <c r="Y258" s="1"/>
    </row>
    <row r="259" spans="1:25">
      <c r="A259" s="1"/>
      <c r="B259" s="1"/>
      <c r="C259" s="1"/>
      <c r="D259" s="1"/>
      <c r="E259" s="1"/>
      <c r="F259" s="1"/>
      <c r="G259" s="1"/>
      <c r="H259" s="3"/>
      <c r="I259" s="1"/>
      <c r="J259" s="1"/>
      <c r="K259" s="1"/>
      <c r="L259" s="1"/>
      <c r="M259" s="1"/>
      <c r="N259" s="1"/>
      <c r="O259" s="1"/>
      <c r="P259" s="1"/>
      <c r="Q259" s="1"/>
      <c r="R259" s="1"/>
      <c r="S259" s="1"/>
      <c r="T259" s="1"/>
      <c r="U259" s="1"/>
      <c r="V259" s="1"/>
      <c r="W259" s="1"/>
      <c r="X259" s="1"/>
      <c r="Y259" s="1"/>
    </row>
    <row r="260" spans="1:25">
      <c r="A260" s="1"/>
      <c r="B260" s="1"/>
      <c r="C260" s="1"/>
      <c r="D260" s="1"/>
      <c r="E260" s="1"/>
      <c r="F260" s="1"/>
      <c r="G260" s="1"/>
      <c r="H260" s="3"/>
      <c r="I260" s="1"/>
      <c r="J260" s="1"/>
      <c r="K260" s="1"/>
      <c r="L260" s="1"/>
      <c r="M260" s="1"/>
      <c r="N260" s="1"/>
      <c r="O260" s="1"/>
      <c r="P260" s="1"/>
      <c r="Q260" s="1"/>
      <c r="R260" s="1"/>
      <c r="S260" s="1"/>
      <c r="T260" s="1"/>
      <c r="U260" s="1"/>
      <c r="V260" s="1"/>
      <c r="W260" s="1"/>
      <c r="X260" s="1"/>
      <c r="Y260" s="1"/>
    </row>
    <row r="261" spans="1:25">
      <c r="A261" s="1"/>
      <c r="B261" s="1"/>
      <c r="C261" s="1"/>
      <c r="D261" s="1"/>
      <c r="E261" s="1"/>
      <c r="F261" s="1"/>
      <c r="G261" s="1"/>
      <c r="H261" s="3"/>
      <c r="I261" s="1"/>
      <c r="J261" s="1"/>
      <c r="K261" s="1"/>
      <c r="L261" s="1"/>
      <c r="M261" s="1"/>
      <c r="N261" s="1"/>
      <c r="O261" s="1"/>
      <c r="P261" s="1"/>
      <c r="Q261" s="1"/>
      <c r="R261" s="1"/>
      <c r="S261" s="1"/>
      <c r="T261" s="1"/>
      <c r="U261" s="1"/>
      <c r="V261" s="1"/>
      <c r="W261" s="1"/>
      <c r="X261" s="1"/>
      <c r="Y261" s="1"/>
    </row>
    <row r="262" spans="1:25">
      <c r="A262" s="1"/>
      <c r="B262" s="1"/>
      <c r="C262" s="1"/>
      <c r="D262" s="1"/>
      <c r="E262" s="1"/>
      <c r="F262" s="1"/>
      <c r="G262" s="1"/>
      <c r="H262" s="3"/>
      <c r="I262" s="1"/>
      <c r="J262" s="1"/>
      <c r="K262" s="1"/>
      <c r="L262" s="1"/>
      <c r="M262" s="1"/>
      <c r="N262" s="1"/>
      <c r="O262" s="1"/>
      <c r="P262" s="1"/>
      <c r="Q262" s="1"/>
      <c r="R262" s="1"/>
      <c r="S262" s="1"/>
      <c r="T262" s="1"/>
      <c r="U262" s="1"/>
      <c r="V262" s="1"/>
      <c r="W262" s="1"/>
      <c r="X262" s="1"/>
      <c r="Y262" s="1"/>
    </row>
    <row r="263" spans="1:25">
      <c r="A263" s="1"/>
      <c r="B263" s="1"/>
      <c r="C263" s="1"/>
      <c r="D263" s="1"/>
      <c r="E263" s="1"/>
      <c r="F263" s="1"/>
      <c r="G263" s="1"/>
      <c r="H263" s="3"/>
      <c r="I263" s="1"/>
      <c r="J263" s="1"/>
      <c r="K263" s="1"/>
      <c r="L263" s="1"/>
      <c r="M263" s="1"/>
      <c r="N263" s="1"/>
      <c r="O263" s="1"/>
      <c r="P263" s="1"/>
      <c r="Q263" s="1"/>
      <c r="R263" s="1"/>
      <c r="S263" s="1"/>
      <c r="T263" s="1"/>
      <c r="U263" s="1"/>
      <c r="V263" s="1"/>
      <c r="W263" s="1"/>
      <c r="X263" s="1"/>
      <c r="Y263" s="1"/>
    </row>
    <row r="264" spans="1:25">
      <c r="A264" s="1"/>
      <c r="B264" s="1"/>
      <c r="C264" s="1"/>
      <c r="D264" s="1"/>
      <c r="E264" s="1"/>
      <c r="F264" s="1"/>
      <c r="G264" s="1"/>
      <c r="H264" s="3"/>
      <c r="I264" s="1"/>
      <c r="J264" s="1"/>
      <c r="K264" s="1"/>
      <c r="L264" s="1"/>
      <c r="M264" s="1"/>
      <c r="N264" s="1"/>
      <c r="O264" s="1"/>
      <c r="P264" s="1"/>
      <c r="Q264" s="1"/>
      <c r="R264" s="1"/>
      <c r="S264" s="1"/>
      <c r="T264" s="1"/>
      <c r="U264" s="1"/>
      <c r="V264" s="1"/>
      <c r="W264" s="1"/>
      <c r="X264" s="1"/>
      <c r="Y264" s="1"/>
    </row>
    <row r="265" spans="1:25">
      <c r="A265" s="1"/>
      <c r="B265" s="1"/>
      <c r="C265" s="1"/>
      <c r="D265" s="1"/>
      <c r="E265" s="1"/>
      <c r="F265" s="1"/>
      <c r="G265" s="1"/>
      <c r="H265" s="3"/>
      <c r="I265" s="1"/>
      <c r="J265" s="1"/>
      <c r="K265" s="1"/>
      <c r="L265" s="1"/>
      <c r="M265" s="1"/>
      <c r="N265" s="1"/>
      <c r="O265" s="1"/>
      <c r="P265" s="1"/>
      <c r="Q265" s="1"/>
      <c r="R265" s="1"/>
      <c r="S265" s="1"/>
      <c r="T265" s="1"/>
      <c r="U265" s="1"/>
      <c r="V265" s="1"/>
      <c r="W265" s="1"/>
      <c r="X265" s="1"/>
      <c r="Y265" s="1"/>
    </row>
    <row r="266" spans="1:25">
      <c r="A266" s="1"/>
      <c r="B266" s="1"/>
      <c r="C266" s="1"/>
      <c r="D266" s="1"/>
      <c r="E266" s="1"/>
      <c r="F266" s="1"/>
      <c r="G266" s="1"/>
      <c r="H266" s="3"/>
      <c r="I266" s="1"/>
      <c r="J266" s="1"/>
      <c r="K266" s="1"/>
      <c r="L266" s="1"/>
      <c r="M266" s="1"/>
      <c r="N266" s="1"/>
      <c r="O266" s="1"/>
      <c r="P266" s="1"/>
      <c r="Q266" s="1"/>
      <c r="R266" s="1"/>
      <c r="S266" s="1"/>
      <c r="T266" s="1"/>
      <c r="U266" s="1"/>
      <c r="V266" s="1"/>
      <c r="W266" s="1"/>
      <c r="X266" s="1"/>
      <c r="Y266" s="1"/>
    </row>
    <row r="267" spans="1:25">
      <c r="A267" s="1"/>
      <c r="B267" s="1"/>
      <c r="C267" s="1"/>
      <c r="D267" s="1"/>
      <c r="E267" s="1"/>
      <c r="F267" s="1"/>
      <c r="G267" s="1"/>
      <c r="H267" s="3"/>
      <c r="I267" s="1"/>
      <c r="J267" s="1"/>
      <c r="K267" s="1"/>
      <c r="L267" s="1"/>
      <c r="M267" s="1"/>
      <c r="N267" s="1"/>
      <c r="O267" s="1"/>
      <c r="P267" s="1"/>
      <c r="Q267" s="1"/>
      <c r="R267" s="1"/>
      <c r="S267" s="1"/>
      <c r="T267" s="1"/>
      <c r="U267" s="1"/>
      <c r="V267" s="1"/>
      <c r="W267" s="1"/>
      <c r="X267" s="1"/>
      <c r="Y267" s="1"/>
    </row>
    <row r="268" spans="1:25">
      <c r="A268" s="1"/>
      <c r="B268" s="1"/>
      <c r="C268" s="1"/>
      <c r="D268" s="1"/>
      <c r="E268" s="1"/>
      <c r="F268" s="1"/>
      <c r="G268" s="1"/>
      <c r="H268" s="3"/>
      <c r="I268" s="1"/>
      <c r="J268" s="1"/>
      <c r="K268" s="1"/>
      <c r="L268" s="1"/>
      <c r="M268" s="1"/>
      <c r="N268" s="1"/>
      <c r="O268" s="1"/>
      <c r="P268" s="1"/>
      <c r="Q268" s="1"/>
      <c r="R268" s="1"/>
      <c r="S268" s="1"/>
      <c r="T268" s="1"/>
      <c r="U268" s="1"/>
      <c r="V268" s="1"/>
      <c r="W268" s="1"/>
      <c r="X268" s="1"/>
      <c r="Y268" s="1"/>
    </row>
    <row r="269" spans="1:25">
      <c r="A269" s="1"/>
      <c r="B269" s="1"/>
      <c r="C269" s="1"/>
      <c r="D269" s="1"/>
      <c r="E269" s="1"/>
      <c r="F269" s="1"/>
      <c r="G269" s="1"/>
      <c r="H269" s="3"/>
      <c r="I269" s="1"/>
      <c r="J269" s="1"/>
      <c r="K269" s="1"/>
      <c r="L269" s="1"/>
      <c r="M269" s="1"/>
      <c r="N269" s="1"/>
      <c r="O269" s="1"/>
      <c r="P269" s="1"/>
      <c r="Q269" s="1"/>
      <c r="R269" s="1"/>
      <c r="S269" s="1"/>
      <c r="T269" s="1"/>
      <c r="U269" s="1"/>
      <c r="V269" s="1"/>
      <c r="W269" s="1"/>
      <c r="X269" s="1"/>
      <c r="Y269" s="1"/>
    </row>
    <row r="270" spans="1:25">
      <c r="A270" s="1"/>
      <c r="B270" s="1"/>
      <c r="C270" s="1"/>
      <c r="D270" s="1"/>
      <c r="E270" s="1"/>
      <c r="F270" s="1"/>
      <c r="G270" s="1"/>
      <c r="H270" s="3"/>
      <c r="I270" s="1"/>
      <c r="J270" s="1"/>
      <c r="K270" s="1"/>
      <c r="L270" s="1"/>
      <c r="M270" s="1"/>
      <c r="N270" s="1"/>
      <c r="O270" s="1"/>
      <c r="P270" s="1"/>
      <c r="Q270" s="1"/>
      <c r="R270" s="1"/>
      <c r="S270" s="1"/>
      <c r="T270" s="1"/>
      <c r="U270" s="1"/>
      <c r="V270" s="1"/>
      <c r="W270" s="1"/>
      <c r="X270" s="1"/>
      <c r="Y270" s="1"/>
    </row>
    <row r="271" spans="1:25">
      <c r="A271" s="1"/>
      <c r="B271" s="1"/>
      <c r="C271" s="1"/>
      <c r="D271" s="1"/>
      <c r="E271" s="1"/>
      <c r="F271" s="1"/>
      <c r="G271" s="1"/>
      <c r="H271" s="3"/>
      <c r="I271" s="1"/>
      <c r="J271" s="1"/>
      <c r="K271" s="1"/>
      <c r="L271" s="1"/>
      <c r="M271" s="1"/>
      <c r="N271" s="1"/>
      <c r="O271" s="1"/>
      <c r="P271" s="1"/>
      <c r="Q271" s="1"/>
      <c r="R271" s="1"/>
      <c r="S271" s="1"/>
      <c r="T271" s="1"/>
      <c r="U271" s="1"/>
      <c r="V271" s="1"/>
      <c r="W271" s="1"/>
      <c r="X271" s="1"/>
      <c r="Y271" s="1"/>
    </row>
    <row r="272" spans="1:25">
      <c r="A272" s="1"/>
      <c r="B272" s="1"/>
      <c r="C272" s="1"/>
      <c r="D272" s="1"/>
      <c r="E272" s="1"/>
      <c r="F272" s="1"/>
      <c r="G272" s="1"/>
      <c r="H272" s="3"/>
      <c r="I272" s="1"/>
      <c r="J272" s="1"/>
      <c r="K272" s="1"/>
      <c r="L272" s="1"/>
      <c r="M272" s="1"/>
      <c r="N272" s="1"/>
      <c r="O272" s="1"/>
      <c r="P272" s="1"/>
      <c r="Q272" s="1"/>
      <c r="R272" s="1"/>
      <c r="S272" s="1"/>
      <c r="T272" s="1"/>
      <c r="U272" s="1"/>
      <c r="V272" s="1"/>
      <c r="W272" s="1"/>
      <c r="X272" s="1"/>
      <c r="Y272" s="1"/>
    </row>
    <row r="273" spans="1:25">
      <c r="A273" s="1"/>
      <c r="B273" s="1"/>
      <c r="C273" s="1"/>
      <c r="D273" s="1"/>
      <c r="E273" s="1"/>
      <c r="F273" s="1"/>
      <c r="G273" s="1"/>
      <c r="H273" s="3"/>
      <c r="I273" s="1"/>
      <c r="J273" s="1"/>
      <c r="K273" s="1"/>
      <c r="L273" s="1"/>
      <c r="M273" s="1"/>
      <c r="N273" s="1"/>
      <c r="O273" s="1"/>
      <c r="P273" s="1"/>
      <c r="Q273" s="1"/>
      <c r="R273" s="1"/>
      <c r="S273" s="1"/>
      <c r="T273" s="1"/>
      <c r="U273" s="1"/>
      <c r="V273" s="1"/>
      <c r="W273" s="1"/>
      <c r="X273" s="1"/>
      <c r="Y273" s="1"/>
    </row>
    <row r="274" spans="1:25">
      <c r="A274" s="1"/>
      <c r="B274" s="1"/>
      <c r="C274" s="1"/>
      <c r="D274" s="1"/>
      <c r="E274" s="1"/>
      <c r="F274" s="1"/>
      <c r="G274" s="1"/>
      <c r="H274" s="3"/>
      <c r="I274" s="1"/>
      <c r="J274" s="1"/>
      <c r="K274" s="1"/>
      <c r="L274" s="1"/>
      <c r="M274" s="1"/>
      <c r="N274" s="1"/>
      <c r="O274" s="1"/>
      <c r="P274" s="1"/>
      <c r="Q274" s="1"/>
      <c r="R274" s="1"/>
      <c r="S274" s="1"/>
      <c r="T274" s="1"/>
      <c r="U274" s="1"/>
      <c r="V274" s="1"/>
      <c r="W274" s="1"/>
      <c r="X274" s="1"/>
      <c r="Y274" s="1"/>
    </row>
    <row r="275" spans="1:25">
      <c r="A275" s="1"/>
      <c r="B275" s="1"/>
      <c r="C275" s="1"/>
      <c r="D275" s="1"/>
      <c r="E275" s="1"/>
      <c r="F275" s="1"/>
      <c r="G275" s="1"/>
      <c r="H275" s="3"/>
      <c r="I275" s="1"/>
      <c r="J275" s="1"/>
      <c r="K275" s="1"/>
      <c r="L275" s="1"/>
      <c r="M275" s="1"/>
      <c r="N275" s="1"/>
      <c r="O275" s="1"/>
      <c r="P275" s="1"/>
      <c r="Q275" s="1"/>
      <c r="R275" s="1"/>
      <c r="S275" s="1"/>
      <c r="T275" s="1"/>
      <c r="U275" s="1"/>
      <c r="V275" s="1"/>
      <c r="W275" s="1"/>
      <c r="X275" s="1"/>
      <c r="Y275" s="1"/>
    </row>
    <row r="276" spans="1:25">
      <c r="A276" s="1"/>
      <c r="B276" s="1"/>
      <c r="C276" s="1"/>
      <c r="D276" s="1"/>
      <c r="E276" s="1"/>
      <c r="F276" s="1"/>
      <c r="G276" s="1"/>
      <c r="H276" s="3"/>
      <c r="I276" s="1"/>
      <c r="J276" s="1"/>
      <c r="K276" s="1"/>
      <c r="L276" s="1"/>
      <c r="M276" s="1"/>
      <c r="N276" s="1"/>
      <c r="O276" s="1"/>
      <c r="P276" s="1"/>
      <c r="Q276" s="1"/>
      <c r="R276" s="1"/>
      <c r="S276" s="1"/>
      <c r="T276" s="1"/>
      <c r="U276" s="1"/>
      <c r="V276" s="1"/>
      <c r="W276" s="1"/>
      <c r="X276" s="1"/>
      <c r="Y276" s="1"/>
    </row>
    <row r="277" spans="1:25">
      <c r="A277" s="1"/>
      <c r="B277" s="1"/>
      <c r="C277" s="1"/>
      <c r="D277" s="1"/>
      <c r="E277" s="1"/>
      <c r="F277" s="1"/>
      <c r="G277" s="1"/>
      <c r="H277" s="3"/>
      <c r="I277" s="1"/>
      <c r="J277" s="1"/>
      <c r="K277" s="1"/>
      <c r="L277" s="1"/>
      <c r="M277" s="1"/>
      <c r="N277" s="1"/>
      <c r="O277" s="1"/>
      <c r="P277" s="1"/>
      <c r="Q277" s="1"/>
      <c r="R277" s="1"/>
      <c r="S277" s="1"/>
      <c r="T277" s="1"/>
      <c r="U277" s="1"/>
      <c r="V277" s="1"/>
      <c r="W277" s="1"/>
      <c r="X277" s="1"/>
      <c r="Y277" s="1"/>
    </row>
    <row r="278" spans="1:25">
      <c r="A278" s="1"/>
      <c r="B278" s="1"/>
      <c r="C278" s="1"/>
      <c r="D278" s="1"/>
      <c r="E278" s="1"/>
      <c r="F278" s="1"/>
      <c r="G278" s="1"/>
      <c r="H278" s="3"/>
      <c r="I278" s="1"/>
      <c r="J278" s="1"/>
      <c r="K278" s="1"/>
      <c r="L278" s="1"/>
      <c r="M278" s="1"/>
      <c r="N278" s="1"/>
      <c r="O278" s="1"/>
      <c r="P278" s="1"/>
      <c r="Q278" s="1"/>
      <c r="R278" s="1"/>
      <c r="S278" s="1"/>
      <c r="T278" s="1"/>
      <c r="U278" s="1"/>
      <c r="V278" s="1"/>
      <c r="W278" s="1"/>
      <c r="X278" s="1"/>
      <c r="Y278" s="1"/>
    </row>
    <row r="279" spans="1:25">
      <c r="A279" s="1"/>
      <c r="B279" s="1"/>
      <c r="C279" s="1"/>
      <c r="D279" s="1"/>
      <c r="E279" s="1"/>
      <c r="F279" s="1"/>
      <c r="G279" s="1"/>
      <c r="H279" s="3"/>
      <c r="I279" s="1"/>
      <c r="J279" s="1"/>
      <c r="K279" s="1"/>
      <c r="L279" s="1"/>
      <c r="M279" s="1"/>
      <c r="N279" s="1"/>
      <c r="O279" s="1"/>
      <c r="P279" s="1"/>
      <c r="Q279" s="1"/>
      <c r="R279" s="1"/>
      <c r="S279" s="1"/>
      <c r="T279" s="1"/>
      <c r="U279" s="1"/>
      <c r="V279" s="1"/>
      <c r="W279" s="1"/>
      <c r="X279" s="1"/>
      <c r="Y279" s="1"/>
    </row>
    <row r="280" spans="1:25">
      <c r="A280" s="1"/>
      <c r="B280" s="1"/>
      <c r="C280" s="1"/>
      <c r="D280" s="1"/>
      <c r="E280" s="1"/>
      <c r="F280" s="1"/>
      <c r="G280" s="1"/>
      <c r="H280" s="3"/>
      <c r="I280" s="1"/>
      <c r="J280" s="1"/>
      <c r="K280" s="1"/>
      <c r="L280" s="1"/>
      <c r="M280" s="1"/>
      <c r="N280" s="1"/>
      <c r="O280" s="1"/>
      <c r="P280" s="1"/>
      <c r="Q280" s="1"/>
      <c r="R280" s="1"/>
      <c r="S280" s="1"/>
      <c r="T280" s="1"/>
      <c r="U280" s="1"/>
      <c r="V280" s="1"/>
      <c r="W280" s="1"/>
      <c r="X280" s="1"/>
      <c r="Y280" s="1"/>
    </row>
    <row r="281" spans="1:25">
      <c r="A281" s="1"/>
      <c r="B281" s="1"/>
      <c r="C281" s="1"/>
      <c r="D281" s="1"/>
      <c r="E281" s="1"/>
      <c r="F281" s="1"/>
      <c r="G281" s="1"/>
      <c r="H281" s="3"/>
      <c r="I281" s="1"/>
      <c r="J281" s="1"/>
      <c r="K281" s="1"/>
      <c r="L281" s="1"/>
      <c r="M281" s="1"/>
      <c r="N281" s="1"/>
      <c r="O281" s="1"/>
      <c r="P281" s="1"/>
      <c r="Q281" s="1"/>
      <c r="R281" s="1"/>
      <c r="S281" s="1"/>
      <c r="T281" s="1"/>
      <c r="U281" s="1"/>
      <c r="V281" s="1"/>
      <c r="W281" s="1"/>
      <c r="X281" s="1"/>
      <c r="Y281" s="1"/>
    </row>
    <row r="282" spans="1:25">
      <c r="A282" s="1"/>
      <c r="B282" s="1"/>
      <c r="C282" s="1"/>
      <c r="D282" s="1"/>
      <c r="E282" s="1"/>
      <c r="F282" s="1"/>
      <c r="G282" s="1"/>
      <c r="H282" s="3"/>
      <c r="I282" s="1"/>
      <c r="J282" s="1"/>
      <c r="K282" s="1"/>
      <c r="L282" s="1"/>
      <c r="M282" s="1"/>
      <c r="N282" s="1"/>
      <c r="O282" s="1"/>
      <c r="P282" s="1"/>
      <c r="Q282" s="1"/>
      <c r="R282" s="1"/>
      <c r="S282" s="1"/>
      <c r="T282" s="1"/>
      <c r="U282" s="1"/>
      <c r="V282" s="1"/>
      <c r="W282" s="1"/>
      <c r="X282" s="1"/>
      <c r="Y282" s="1"/>
    </row>
    <row r="283" spans="1:25">
      <c r="A283" s="1"/>
      <c r="B283" s="1"/>
      <c r="C283" s="1"/>
      <c r="D283" s="1"/>
      <c r="E283" s="1"/>
      <c r="F283" s="1"/>
      <c r="G283" s="1"/>
      <c r="H283" s="3"/>
      <c r="I283" s="1"/>
      <c r="J283" s="1"/>
      <c r="K283" s="1"/>
      <c r="L283" s="1"/>
      <c r="M283" s="1"/>
      <c r="N283" s="1"/>
      <c r="O283" s="1"/>
      <c r="P283" s="1"/>
      <c r="Q283" s="1"/>
      <c r="R283" s="1"/>
      <c r="S283" s="1"/>
      <c r="T283" s="1"/>
      <c r="U283" s="1"/>
      <c r="V283" s="1"/>
      <c r="W283" s="1"/>
      <c r="X283" s="1"/>
      <c r="Y283" s="1"/>
    </row>
    <row r="284" spans="1:25">
      <c r="A284" s="1"/>
      <c r="B284" s="1"/>
      <c r="C284" s="1"/>
      <c r="D284" s="1"/>
      <c r="E284" s="1"/>
      <c r="F284" s="1"/>
      <c r="G284" s="1"/>
      <c r="H284" s="3"/>
      <c r="I284" s="1"/>
      <c r="J284" s="1"/>
      <c r="K284" s="1"/>
      <c r="L284" s="1"/>
      <c r="M284" s="1"/>
      <c r="N284" s="1"/>
      <c r="O284" s="1"/>
      <c r="P284" s="1"/>
      <c r="Q284" s="1"/>
      <c r="R284" s="1"/>
      <c r="S284" s="1"/>
      <c r="T284" s="1"/>
      <c r="U284" s="1"/>
      <c r="V284" s="1"/>
      <c r="W284" s="1"/>
      <c r="X284" s="1"/>
      <c r="Y284" s="1"/>
    </row>
    <row r="285" spans="1:25">
      <c r="A285" s="1"/>
      <c r="B285" s="1"/>
      <c r="C285" s="1"/>
      <c r="D285" s="1"/>
      <c r="E285" s="1"/>
      <c r="F285" s="1"/>
      <c r="G285" s="1"/>
      <c r="H285" s="3"/>
      <c r="I285" s="1"/>
      <c r="J285" s="1"/>
      <c r="K285" s="1"/>
      <c r="L285" s="1"/>
      <c r="M285" s="1"/>
      <c r="N285" s="1"/>
      <c r="O285" s="1"/>
      <c r="P285" s="1"/>
      <c r="Q285" s="1"/>
      <c r="R285" s="1"/>
      <c r="S285" s="1"/>
      <c r="T285" s="1"/>
      <c r="U285" s="1"/>
      <c r="V285" s="1"/>
      <c r="W285" s="1"/>
      <c r="X285" s="1"/>
      <c r="Y285" s="1"/>
    </row>
    <row r="286" spans="1:25">
      <c r="A286" s="1"/>
      <c r="B286" s="1"/>
      <c r="C286" s="1"/>
      <c r="D286" s="1"/>
      <c r="E286" s="1"/>
      <c r="F286" s="1"/>
      <c r="G286" s="1"/>
      <c r="H286" s="3"/>
      <c r="I286" s="1"/>
      <c r="J286" s="1"/>
      <c r="K286" s="1"/>
      <c r="L286" s="1"/>
      <c r="M286" s="1"/>
      <c r="N286" s="1"/>
      <c r="O286" s="1"/>
      <c r="P286" s="1"/>
      <c r="Q286" s="1"/>
      <c r="R286" s="1"/>
      <c r="S286" s="1"/>
      <c r="T286" s="1"/>
      <c r="U286" s="1"/>
      <c r="V286" s="1"/>
      <c r="W286" s="1"/>
      <c r="X286" s="1"/>
      <c r="Y286" s="1"/>
    </row>
    <row r="287" spans="1:25">
      <c r="A287" s="1"/>
      <c r="B287" s="1"/>
      <c r="C287" s="1"/>
      <c r="D287" s="1"/>
      <c r="E287" s="1"/>
      <c r="F287" s="1"/>
      <c r="G287" s="1"/>
      <c r="H287" s="3"/>
      <c r="I287" s="1"/>
      <c r="J287" s="1"/>
      <c r="K287" s="1"/>
      <c r="L287" s="1"/>
      <c r="M287" s="1"/>
      <c r="N287" s="1"/>
      <c r="O287" s="1"/>
      <c r="P287" s="1"/>
      <c r="Q287" s="1"/>
      <c r="R287" s="1"/>
      <c r="S287" s="1"/>
      <c r="T287" s="1"/>
      <c r="U287" s="1"/>
      <c r="V287" s="1"/>
      <c r="W287" s="1"/>
      <c r="X287" s="1"/>
      <c r="Y287" s="1"/>
    </row>
    <row r="288" spans="1:25">
      <c r="A288" s="1"/>
      <c r="B288" s="1"/>
      <c r="C288" s="1"/>
      <c r="D288" s="1"/>
      <c r="E288" s="1"/>
      <c r="F288" s="1"/>
      <c r="G288" s="1"/>
      <c r="H288" s="3"/>
      <c r="I288" s="1"/>
      <c r="J288" s="1"/>
      <c r="K288" s="1"/>
      <c r="L288" s="1"/>
      <c r="M288" s="1"/>
      <c r="N288" s="1"/>
      <c r="O288" s="1"/>
      <c r="P288" s="1"/>
      <c r="Q288" s="1"/>
      <c r="R288" s="1"/>
      <c r="S288" s="1"/>
      <c r="T288" s="1"/>
      <c r="U288" s="1"/>
      <c r="V288" s="1"/>
      <c r="W288" s="1"/>
      <c r="X288" s="1"/>
      <c r="Y288" s="1"/>
    </row>
    <row r="289" spans="1:25">
      <c r="A289" s="1"/>
      <c r="B289" s="1"/>
      <c r="C289" s="1"/>
      <c r="D289" s="1"/>
      <c r="E289" s="1"/>
      <c r="F289" s="1"/>
      <c r="G289" s="1"/>
      <c r="H289" s="3"/>
      <c r="I289" s="1"/>
      <c r="J289" s="1"/>
      <c r="K289" s="1"/>
      <c r="L289" s="1"/>
      <c r="M289" s="1"/>
      <c r="N289" s="1"/>
      <c r="O289" s="1"/>
      <c r="P289" s="1"/>
      <c r="Q289" s="1"/>
      <c r="R289" s="1"/>
      <c r="S289" s="1"/>
      <c r="T289" s="1"/>
      <c r="U289" s="1"/>
      <c r="V289" s="1"/>
      <c r="W289" s="1"/>
      <c r="X289" s="1"/>
      <c r="Y289" s="1"/>
    </row>
    <row r="290" spans="1:25">
      <c r="A290" s="1"/>
      <c r="B290" s="1"/>
      <c r="C290" s="1"/>
      <c r="D290" s="1"/>
      <c r="E290" s="1"/>
      <c r="F290" s="1"/>
      <c r="G290" s="1"/>
      <c r="H290" s="3"/>
      <c r="I290" s="1"/>
      <c r="J290" s="1"/>
      <c r="K290" s="1"/>
      <c r="L290" s="1"/>
      <c r="M290" s="1"/>
      <c r="N290" s="1"/>
      <c r="O290" s="1"/>
      <c r="P290" s="1"/>
      <c r="Q290" s="1"/>
      <c r="R290" s="1"/>
      <c r="S290" s="1"/>
      <c r="T290" s="1"/>
      <c r="U290" s="1"/>
      <c r="V290" s="1"/>
      <c r="W290" s="1"/>
      <c r="X290" s="1"/>
      <c r="Y290" s="1"/>
    </row>
    <row r="291" spans="1:25">
      <c r="A291" s="1"/>
      <c r="B291" s="1"/>
      <c r="C291" s="1"/>
      <c r="D291" s="1"/>
      <c r="E291" s="1"/>
      <c r="F291" s="1"/>
      <c r="G291" s="1"/>
      <c r="H291" s="3"/>
      <c r="I291" s="1"/>
      <c r="J291" s="1"/>
      <c r="K291" s="1"/>
      <c r="L291" s="1"/>
      <c r="M291" s="1"/>
      <c r="N291" s="1"/>
      <c r="O291" s="1"/>
      <c r="P291" s="1"/>
      <c r="Q291" s="1"/>
      <c r="R291" s="1"/>
      <c r="S291" s="1"/>
      <c r="T291" s="1"/>
      <c r="U291" s="1"/>
      <c r="V291" s="1"/>
      <c r="W291" s="1"/>
      <c r="X291" s="1"/>
      <c r="Y291" s="1"/>
    </row>
    <row r="292" spans="1:25">
      <c r="A292" s="1"/>
      <c r="B292" s="1"/>
      <c r="C292" s="1"/>
      <c r="D292" s="1"/>
      <c r="E292" s="1"/>
      <c r="F292" s="1"/>
      <c r="G292" s="1"/>
      <c r="H292" s="3"/>
      <c r="I292" s="1"/>
      <c r="J292" s="1"/>
      <c r="K292" s="1"/>
      <c r="L292" s="1"/>
      <c r="M292" s="1"/>
      <c r="N292" s="1"/>
      <c r="O292" s="1"/>
      <c r="P292" s="1"/>
      <c r="Q292" s="1"/>
      <c r="R292" s="1"/>
      <c r="S292" s="1"/>
      <c r="T292" s="1"/>
      <c r="U292" s="1"/>
      <c r="V292" s="1"/>
      <c r="W292" s="1"/>
      <c r="X292" s="1"/>
      <c r="Y292" s="1"/>
    </row>
    <row r="293" spans="1:25">
      <c r="A293" s="1"/>
      <c r="B293" s="1"/>
      <c r="C293" s="1"/>
      <c r="D293" s="1"/>
      <c r="E293" s="1"/>
      <c r="F293" s="1"/>
      <c r="G293" s="1"/>
      <c r="H293" s="3"/>
      <c r="I293" s="1"/>
      <c r="J293" s="1"/>
      <c r="K293" s="1"/>
      <c r="L293" s="1"/>
      <c r="M293" s="1"/>
      <c r="N293" s="1"/>
      <c r="O293" s="1"/>
      <c r="P293" s="1"/>
      <c r="Q293" s="1"/>
      <c r="R293" s="1"/>
      <c r="S293" s="1"/>
      <c r="T293" s="1"/>
      <c r="U293" s="1"/>
      <c r="V293" s="1"/>
      <c r="W293" s="1"/>
      <c r="X293" s="1"/>
      <c r="Y293" s="1"/>
    </row>
    <row r="294" spans="1:25">
      <c r="A294" s="1"/>
      <c r="B294" s="1"/>
      <c r="C294" s="1"/>
      <c r="D294" s="1"/>
      <c r="E294" s="1"/>
      <c r="F294" s="1"/>
      <c r="G294" s="1"/>
      <c r="H294" s="3"/>
      <c r="I294" s="1"/>
      <c r="J294" s="1"/>
      <c r="K294" s="1"/>
      <c r="L294" s="1"/>
      <c r="M294" s="1"/>
      <c r="N294" s="1"/>
      <c r="O294" s="1"/>
      <c r="P294" s="1"/>
      <c r="Q294" s="1"/>
      <c r="R294" s="1"/>
      <c r="S294" s="1"/>
      <c r="T294" s="1"/>
      <c r="U294" s="1"/>
      <c r="V294" s="1"/>
      <c r="W294" s="1"/>
      <c r="X294" s="1"/>
      <c r="Y294" s="1"/>
    </row>
    <row r="295" spans="1:25">
      <c r="A295" s="1"/>
      <c r="B295" s="1"/>
      <c r="C295" s="1"/>
      <c r="D295" s="1"/>
      <c r="E295" s="1"/>
      <c r="F295" s="1"/>
      <c r="G295" s="1"/>
      <c r="H295" s="3"/>
      <c r="I295" s="1"/>
      <c r="J295" s="1"/>
      <c r="K295" s="1"/>
      <c r="L295" s="1"/>
      <c r="M295" s="1"/>
      <c r="N295" s="1"/>
      <c r="O295" s="1"/>
      <c r="P295" s="1"/>
      <c r="Q295" s="1"/>
      <c r="R295" s="1"/>
      <c r="S295" s="1"/>
      <c r="T295" s="1"/>
      <c r="U295" s="1"/>
      <c r="V295" s="1"/>
      <c r="W295" s="1"/>
      <c r="X295" s="1"/>
      <c r="Y295" s="1"/>
    </row>
    <row r="296" spans="1:25">
      <c r="A296" s="1"/>
      <c r="B296" s="1"/>
      <c r="C296" s="1"/>
      <c r="D296" s="1"/>
      <c r="E296" s="1"/>
      <c r="F296" s="1"/>
      <c r="G296" s="1"/>
      <c r="H296" s="3"/>
      <c r="I296" s="1"/>
      <c r="J296" s="1"/>
      <c r="K296" s="1"/>
      <c r="L296" s="1"/>
      <c r="M296" s="1"/>
      <c r="N296" s="1"/>
      <c r="O296" s="1"/>
      <c r="P296" s="1"/>
      <c r="Q296" s="1"/>
      <c r="R296" s="1"/>
      <c r="S296" s="1"/>
      <c r="T296" s="1"/>
      <c r="U296" s="1"/>
      <c r="V296" s="1"/>
      <c r="W296" s="1"/>
      <c r="X296" s="1"/>
      <c r="Y296" s="1"/>
    </row>
    <row r="297" spans="1:25">
      <c r="A297" s="1"/>
      <c r="B297" s="1"/>
      <c r="C297" s="1"/>
      <c r="D297" s="1"/>
      <c r="E297" s="1"/>
      <c r="F297" s="1"/>
      <c r="G297" s="1"/>
      <c r="H297" s="3"/>
      <c r="I297" s="1"/>
      <c r="J297" s="1"/>
      <c r="K297" s="1"/>
      <c r="L297" s="1"/>
      <c r="M297" s="1"/>
      <c r="N297" s="1"/>
      <c r="O297" s="1"/>
      <c r="P297" s="1"/>
      <c r="Q297" s="1"/>
      <c r="R297" s="1"/>
      <c r="S297" s="1"/>
      <c r="T297" s="1"/>
      <c r="U297" s="1"/>
      <c r="V297" s="1"/>
      <c r="W297" s="1"/>
      <c r="X297" s="1"/>
      <c r="Y297" s="1"/>
    </row>
    <row r="298" spans="1:25">
      <c r="A298" s="1"/>
      <c r="B298" s="1"/>
      <c r="C298" s="1"/>
      <c r="D298" s="1"/>
      <c r="E298" s="1"/>
      <c r="F298" s="1"/>
      <c r="G298" s="1"/>
      <c r="H298" s="3"/>
      <c r="I298" s="1"/>
      <c r="J298" s="1"/>
      <c r="K298" s="1"/>
      <c r="L298" s="1"/>
      <c r="M298" s="1"/>
      <c r="N298" s="1"/>
      <c r="O298" s="1"/>
      <c r="P298" s="1"/>
      <c r="Q298" s="1"/>
      <c r="R298" s="1"/>
      <c r="S298" s="1"/>
      <c r="T298" s="1"/>
      <c r="U298" s="1"/>
      <c r="V298" s="1"/>
      <c r="W298" s="1"/>
      <c r="X298" s="1"/>
      <c r="Y298" s="1"/>
    </row>
    <row r="299" spans="1:25">
      <c r="A299" s="1"/>
      <c r="B299" s="1"/>
      <c r="C299" s="1"/>
      <c r="D299" s="1"/>
      <c r="E299" s="1"/>
      <c r="F299" s="1"/>
      <c r="G299" s="1"/>
      <c r="H299" s="3"/>
      <c r="I299" s="1"/>
      <c r="J299" s="1"/>
      <c r="K299" s="1"/>
      <c r="L299" s="1"/>
      <c r="M299" s="1"/>
      <c r="N299" s="1"/>
      <c r="O299" s="1"/>
      <c r="P299" s="1"/>
      <c r="Q299" s="1"/>
      <c r="R299" s="1"/>
      <c r="S299" s="1"/>
      <c r="T299" s="1"/>
      <c r="U299" s="1"/>
      <c r="V299" s="1"/>
      <c r="W299" s="1"/>
      <c r="X299" s="1"/>
      <c r="Y299" s="1"/>
    </row>
    <row r="300" spans="1:25">
      <c r="A300" s="1"/>
      <c r="B300" s="1"/>
      <c r="C300" s="1"/>
      <c r="D300" s="1"/>
      <c r="E300" s="1"/>
      <c r="F300" s="1"/>
      <c r="G300" s="1"/>
      <c r="H300" s="3"/>
      <c r="I300" s="1"/>
      <c r="J300" s="1"/>
      <c r="K300" s="1"/>
      <c r="L300" s="1"/>
      <c r="M300" s="1"/>
      <c r="N300" s="1"/>
      <c r="O300" s="1"/>
      <c r="P300" s="1"/>
      <c r="Q300" s="1"/>
      <c r="R300" s="1"/>
      <c r="S300" s="1"/>
      <c r="T300" s="1"/>
      <c r="U300" s="1"/>
      <c r="V300" s="1"/>
      <c r="W300" s="1"/>
      <c r="X300" s="1"/>
      <c r="Y300" s="1"/>
    </row>
    <row r="301" spans="1:25">
      <c r="A301" s="1"/>
      <c r="B301" s="1"/>
      <c r="C301" s="1"/>
      <c r="D301" s="1"/>
      <c r="E301" s="1"/>
      <c r="F301" s="1"/>
      <c r="G301" s="1"/>
      <c r="H301" s="3"/>
      <c r="I301" s="1"/>
      <c r="J301" s="1"/>
      <c r="K301" s="1"/>
      <c r="L301" s="1"/>
      <c r="M301" s="1"/>
      <c r="N301" s="1"/>
      <c r="O301" s="1"/>
      <c r="P301" s="1"/>
      <c r="Q301" s="1"/>
      <c r="R301" s="1"/>
      <c r="S301" s="1"/>
      <c r="T301" s="1"/>
      <c r="U301" s="1"/>
      <c r="V301" s="1"/>
      <c r="W301" s="1"/>
      <c r="X301" s="1"/>
      <c r="Y301" s="1"/>
    </row>
    <row r="302" spans="1:25">
      <c r="A302" s="1"/>
      <c r="B302" s="1"/>
      <c r="C302" s="1"/>
      <c r="D302" s="1"/>
      <c r="E302" s="1"/>
      <c r="F302" s="1"/>
      <c r="G302" s="1"/>
      <c r="H302" s="3"/>
      <c r="I302" s="1"/>
      <c r="J302" s="1"/>
      <c r="K302" s="1"/>
      <c r="L302" s="1"/>
      <c r="M302" s="1"/>
      <c r="N302" s="1"/>
      <c r="O302" s="1"/>
      <c r="P302" s="1"/>
      <c r="Q302" s="1"/>
      <c r="R302" s="1"/>
      <c r="S302" s="1"/>
      <c r="T302" s="1"/>
      <c r="U302" s="1"/>
      <c r="V302" s="1"/>
      <c r="W302" s="1"/>
      <c r="X302" s="1"/>
      <c r="Y302" s="1"/>
    </row>
    <row r="303" spans="1:25">
      <c r="A303" s="1"/>
      <c r="B303" s="1"/>
      <c r="C303" s="1"/>
      <c r="D303" s="1"/>
      <c r="E303" s="1"/>
      <c r="F303" s="1"/>
      <c r="G303" s="1"/>
      <c r="H303" s="3"/>
      <c r="I303" s="1"/>
      <c r="J303" s="1"/>
      <c r="K303" s="1"/>
      <c r="L303" s="1"/>
      <c r="M303" s="1"/>
      <c r="N303" s="1"/>
      <c r="O303" s="1"/>
      <c r="P303" s="1"/>
      <c r="Q303" s="1"/>
      <c r="R303" s="1"/>
      <c r="S303" s="1"/>
      <c r="T303" s="1"/>
      <c r="U303" s="1"/>
      <c r="V303" s="1"/>
      <c r="W303" s="1"/>
      <c r="X303" s="1"/>
      <c r="Y303" s="1"/>
    </row>
    <row r="304" spans="1:25">
      <c r="A304" s="1"/>
      <c r="B304" s="1"/>
      <c r="C304" s="1"/>
      <c r="D304" s="1"/>
      <c r="E304" s="1"/>
      <c r="F304" s="1"/>
      <c r="G304" s="1"/>
      <c r="H304" s="3"/>
      <c r="I304" s="1"/>
      <c r="J304" s="1"/>
      <c r="K304" s="1"/>
      <c r="L304" s="1"/>
      <c r="M304" s="1"/>
      <c r="N304" s="1"/>
      <c r="O304" s="1"/>
      <c r="P304" s="1"/>
      <c r="Q304" s="1"/>
      <c r="R304" s="1"/>
      <c r="S304" s="1"/>
      <c r="T304" s="1"/>
      <c r="U304" s="1"/>
      <c r="V304" s="1"/>
      <c r="W304" s="1"/>
      <c r="X304" s="1"/>
      <c r="Y304" s="1"/>
    </row>
    <row r="305" spans="1:25">
      <c r="A305" s="1"/>
      <c r="B305" s="1"/>
      <c r="C305" s="1"/>
      <c r="D305" s="1"/>
      <c r="E305" s="1"/>
      <c r="F305" s="1"/>
      <c r="G305" s="1"/>
      <c r="H305" s="3"/>
      <c r="I305" s="1"/>
      <c r="J305" s="1"/>
      <c r="K305" s="1"/>
      <c r="L305" s="1"/>
      <c r="M305" s="1"/>
      <c r="N305" s="1"/>
      <c r="O305" s="1"/>
      <c r="P305" s="1"/>
      <c r="Q305" s="1"/>
      <c r="R305" s="1"/>
      <c r="S305" s="1"/>
      <c r="T305" s="1"/>
      <c r="U305" s="1"/>
      <c r="V305" s="1"/>
      <c r="W305" s="1"/>
      <c r="X305" s="1"/>
      <c r="Y305" s="1"/>
    </row>
    <row r="306" spans="1:25">
      <c r="A306" s="1"/>
      <c r="B306" s="1"/>
      <c r="C306" s="1"/>
      <c r="D306" s="1"/>
      <c r="E306" s="1"/>
      <c r="F306" s="1"/>
      <c r="G306" s="1"/>
      <c r="H306" s="3"/>
      <c r="I306" s="1"/>
      <c r="J306" s="1"/>
      <c r="K306" s="1"/>
      <c r="L306" s="1"/>
      <c r="M306" s="1"/>
      <c r="N306" s="1"/>
      <c r="O306" s="1"/>
      <c r="P306" s="1"/>
      <c r="Q306" s="1"/>
      <c r="R306" s="1"/>
      <c r="S306" s="1"/>
      <c r="T306" s="1"/>
      <c r="U306" s="1"/>
      <c r="V306" s="1"/>
      <c r="W306" s="1"/>
      <c r="X306" s="1"/>
      <c r="Y306" s="1"/>
    </row>
    <row r="307" spans="1:25">
      <c r="A307" s="1"/>
      <c r="B307" s="1"/>
      <c r="C307" s="1"/>
      <c r="D307" s="1"/>
      <c r="E307" s="1"/>
      <c r="F307" s="1"/>
      <c r="G307" s="1"/>
      <c r="H307" s="3"/>
      <c r="I307" s="1"/>
      <c r="J307" s="1"/>
      <c r="K307" s="1"/>
      <c r="L307" s="1"/>
      <c r="M307" s="1"/>
      <c r="N307" s="1"/>
      <c r="O307" s="1"/>
      <c r="P307" s="1"/>
      <c r="Q307" s="1"/>
      <c r="R307" s="1"/>
      <c r="S307" s="1"/>
      <c r="T307" s="1"/>
      <c r="U307" s="1"/>
      <c r="V307" s="1"/>
      <c r="W307" s="1"/>
      <c r="X307" s="1"/>
      <c r="Y307" s="1"/>
    </row>
    <row r="308" spans="1:25">
      <c r="A308" s="1"/>
      <c r="B308" s="1"/>
      <c r="C308" s="1"/>
      <c r="D308" s="1"/>
      <c r="E308" s="1"/>
      <c r="F308" s="1"/>
      <c r="G308" s="1"/>
      <c r="H308" s="3"/>
      <c r="I308" s="1"/>
      <c r="J308" s="1"/>
      <c r="K308" s="1"/>
      <c r="L308" s="1"/>
      <c r="M308" s="1"/>
      <c r="N308" s="1"/>
      <c r="O308" s="1"/>
      <c r="P308" s="1"/>
      <c r="Q308" s="1"/>
      <c r="R308" s="1"/>
      <c r="S308" s="1"/>
      <c r="T308" s="1"/>
      <c r="U308" s="1"/>
      <c r="V308" s="1"/>
      <c r="W308" s="1"/>
      <c r="X308" s="1"/>
      <c r="Y308" s="1"/>
    </row>
    <row r="309" spans="1:25">
      <c r="A309" s="1"/>
      <c r="B309" s="1"/>
      <c r="C309" s="1"/>
      <c r="D309" s="1"/>
      <c r="E309" s="1"/>
      <c r="F309" s="1"/>
      <c r="G309" s="1"/>
      <c r="H309" s="3"/>
      <c r="I309" s="1"/>
      <c r="J309" s="1"/>
      <c r="K309" s="1"/>
      <c r="L309" s="1"/>
      <c r="M309" s="1"/>
      <c r="N309" s="1"/>
      <c r="O309" s="1"/>
      <c r="P309" s="1"/>
      <c r="Q309" s="1"/>
      <c r="R309" s="1"/>
      <c r="S309" s="1"/>
      <c r="T309" s="1"/>
      <c r="U309" s="1"/>
      <c r="V309" s="1"/>
      <c r="W309" s="1"/>
      <c r="X309" s="1"/>
      <c r="Y309" s="1"/>
    </row>
    <row r="310" spans="1:25">
      <c r="A310" s="1"/>
      <c r="B310" s="1"/>
      <c r="C310" s="1"/>
      <c r="D310" s="1"/>
      <c r="E310" s="1"/>
      <c r="F310" s="1"/>
      <c r="G310" s="1"/>
      <c r="H310" s="3"/>
      <c r="I310" s="1"/>
      <c r="J310" s="1"/>
      <c r="K310" s="1"/>
      <c r="L310" s="1"/>
      <c r="M310" s="1"/>
      <c r="N310" s="1"/>
      <c r="O310" s="1"/>
      <c r="P310" s="1"/>
      <c r="Q310" s="1"/>
      <c r="R310" s="1"/>
      <c r="S310" s="1"/>
      <c r="T310" s="1"/>
      <c r="U310" s="1"/>
      <c r="V310" s="1"/>
      <c r="W310" s="1"/>
      <c r="X310" s="1"/>
      <c r="Y310" s="1"/>
    </row>
    <row r="311" spans="1:25">
      <c r="A311" s="1"/>
      <c r="B311" s="1"/>
      <c r="C311" s="1"/>
      <c r="D311" s="1"/>
      <c r="E311" s="1"/>
      <c r="F311" s="1"/>
      <c r="G311" s="1"/>
      <c r="H311" s="3"/>
      <c r="I311" s="1"/>
      <c r="J311" s="1"/>
      <c r="K311" s="1"/>
      <c r="L311" s="1"/>
      <c r="M311" s="1"/>
      <c r="N311" s="1"/>
      <c r="O311" s="1"/>
      <c r="P311" s="1"/>
      <c r="Q311" s="1"/>
      <c r="R311" s="1"/>
      <c r="S311" s="1"/>
      <c r="T311" s="1"/>
      <c r="U311" s="1"/>
      <c r="V311" s="1"/>
      <c r="W311" s="1"/>
      <c r="X311" s="1"/>
      <c r="Y311" s="1"/>
    </row>
    <row r="312" spans="1:25">
      <c r="A312" s="1"/>
      <c r="B312" s="1"/>
      <c r="C312" s="1"/>
      <c r="D312" s="1"/>
      <c r="E312" s="1"/>
      <c r="F312" s="1"/>
      <c r="G312" s="1"/>
      <c r="H312" s="3"/>
      <c r="I312" s="1"/>
      <c r="J312" s="1"/>
      <c r="K312" s="1"/>
      <c r="L312" s="1"/>
      <c r="M312" s="1"/>
      <c r="N312" s="1"/>
      <c r="O312" s="1"/>
      <c r="P312" s="1"/>
      <c r="Q312" s="1"/>
      <c r="R312" s="1"/>
      <c r="S312" s="1"/>
      <c r="T312" s="1"/>
      <c r="U312" s="1"/>
      <c r="V312" s="1"/>
      <c r="W312" s="1"/>
      <c r="X312" s="1"/>
      <c r="Y312" s="1"/>
    </row>
    <row r="313" spans="1:25">
      <c r="A313" s="1"/>
      <c r="B313" s="1"/>
      <c r="C313" s="1"/>
      <c r="D313" s="1"/>
      <c r="E313" s="1"/>
      <c r="F313" s="1"/>
      <c r="G313" s="1"/>
      <c r="H313" s="3"/>
      <c r="I313" s="1"/>
      <c r="J313" s="1"/>
      <c r="K313" s="1"/>
      <c r="L313" s="1"/>
      <c r="M313" s="1"/>
      <c r="N313" s="1"/>
      <c r="O313" s="1"/>
      <c r="P313" s="1"/>
      <c r="Q313" s="1"/>
      <c r="R313" s="1"/>
      <c r="S313" s="1"/>
      <c r="T313" s="1"/>
      <c r="U313" s="1"/>
      <c r="V313" s="1"/>
      <c r="W313" s="1"/>
      <c r="X313" s="1"/>
      <c r="Y313" s="1"/>
    </row>
    <row r="314" spans="1:25">
      <c r="A314" s="1"/>
      <c r="B314" s="1"/>
      <c r="C314" s="1"/>
      <c r="D314" s="1"/>
      <c r="E314" s="1"/>
      <c r="F314" s="1"/>
      <c r="G314" s="1"/>
      <c r="H314" s="3"/>
      <c r="I314" s="1"/>
      <c r="J314" s="1"/>
      <c r="K314" s="1"/>
      <c r="L314" s="1"/>
      <c r="M314" s="1"/>
      <c r="N314" s="1"/>
      <c r="O314" s="1"/>
      <c r="P314" s="1"/>
      <c r="Q314" s="1"/>
      <c r="R314" s="1"/>
      <c r="S314" s="1"/>
      <c r="T314" s="1"/>
      <c r="U314" s="1"/>
      <c r="V314" s="1"/>
      <c r="W314" s="1"/>
      <c r="X314" s="1"/>
      <c r="Y314" s="1"/>
    </row>
    <row r="315" spans="1:25">
      <c r="A315" s="1"/>
      <c r="B315" s="1"/>
      <c r="C315" s="1"/>
      <c r="D315" s="1"/>
      <c r="E315" s="1"/>
      <c r="F315" s="1"/>
      <c r="G315" s="1"/>
      <c r="H315" s="3"/>
      <c r="I315" s="1"/>
      <c r="J315" s="1"/>
      <c r="K315" s="1"/>
      <c r="L315" s="1"/>
      <c r="M315" s="1"/>
      <c r="N315" s="1"/>
      <c r="O315" s="1"/>
      <c r="P315" s="1"/>
      <c r="Q315" s="1"/>
      <c r="R315" s="1"/>
      <c r="S315" s="1"/>
      <c r="T315" s="1"/>
      <c r="U315" s="1"/>
      <c r="V315" s="1"/>
      <c r="W315" s="1"/>
      <c r="X315" s="1"/>
      <c r="Y315" s="1"/>
    </row>
    <row r="316" spans="1:25">
      <c r="A316" s="1"/>
      <c r="B316" s="1"/>
      <c r="C316" s="1"/>
      <c r="D316" s="1"/>
      <c r="E316" s="1"/>
      <c r="F316" s="1"/>
      <c r="G316" s="1"/>
      <c r="H316" s="3"/>
      <c r="I316" s="1"/>
      <c r="J316" s="1"/>
      <c r="K316" s="1"/>
      <c r="L316" s="1"/>
      <c r="M316" s="1"/>
      <c r="N316" s="1"/>
      <c r="O316" s="1"/>
      <c r="P316" s="1"/>
      <c r="Q316" s="1"/>
      <c r="R316" s="1"/>
      <c r="S316" s="1"/>
      <c r="T316" s="1"/>
      <c r="U316" s="1"/>
      <c r="V316" s="1"/>
      <c r="W316" s="1"/>
      <c r="X316" s="1"/>
      <c r="Y316" s="1"/>
    </row>
    <row r="317" spans="1:25">
      <c r="A317" s="1"/>
      <c r="B317" s="1"/>
      <c r="C317" s="1"/>
      <c r="D317" s="1"/>
      <c r="E317" s="1"/>
      <c r="F317" s="1"/>
      <c r="G317" s="1"/>
      <c r="H317" s="3"/>
      <c r="I317" s="1"/>
      <c r="J317" s="1"/>
      <c r="K317" s="1"/>
      <c r="L317" s="1"/>
      <c r="M317" s="1"/>
      <c r="N317" s="1"/>
      <c r="O317" s="1"/>
      <c r="P317" s="1"/>
      <c r="Q317" s="1"/>
      <c r="R317" s="1"/>
      <c r="S317" s="1"/>
      <c r="T317" s="1"/>
      <c r="U317" s="1"/>
      <c r="V317" s="1"/>
      <c r="W317" s="1"/>
      <c r="X317" s="1"/>
      <c r="Y317" s="1"/>
    </row>
    <row r="318" spans="1:25">
      <c r="A318" s="1"/>
      <c r="B318" s="1"/>
      <c r="C318" s="1"/>
      <c r="D318" s="1"/>
      <c r="E318" s="1"/>
      <c r="F318" s="1"/>
      <c r="G318" s="1"/>
      <c r="H318" s="3"/>
      <c r="I318" s="1"/>
      <c r="J318" s="1"/>
      <c r="K318" s="1"/>
      <c r="L318" s="1"/>
      <c r="M318" s="1"/>
      <c r="N318" s="1"/>
      <c r="O318" s="1"/>
      <c r="P318" s="1"/>
      <c r="Q318" s="1"/>
      <c r="R318" s="1"/>
      <c r="S318" s="1"/>
      <c r="T318" s="1"/>
      <c r="U318" s="1"/>
      <c r="V318" s="1"/>
      <c r="W318" s="1"/>
      <c r="X318" s="1"/>
      <c r="Y318" s="1"/>
    </row>
    <row r="319" spans="1:25">
      <c r="A319" s="1"/>
      <c r="B319" s="1"/>
      <c r="C319" s="1"/>
      <c r="D319" s="1"/>
      <c r="E319" s="1"/>
      <c r="F319" s="1"/>
      <c r="G319" s="1"/>
      <c r="H319" s="3"/>
      <c r="I319" s="1"/>
      <c r="J319" s="1"/>
      <c r="K319" s="1"/>
      <c r="L319" s="1"/>
      <c r="M319" s="1"/>
      <c r="N319" s="1"/>
      <c r="O319" s="1"/>
      <c r="P319" s="1"/>
      <c r="Q319" s="1"/>
      <c r="R319" s="1"/>
      <c r="S319" s="1"/>
      <c r="T319" s="1"/>
      <c r="U319" s="1"/>
      <c r="V319" s="1"/>
      <c r="W319" s="1"/>
      <c r="X319" s="1"/>
      <c r="Y319" s="1"/>
    </row>
    <row r="320" spans="1:25">
      <c r="A320" s="1"/>
      <c r="B320" s="1"/>
      <c r="C320" s="1"/>
      <c r="D320" s="1"/>
      <c r="E320" s="1"/>
      <c r="F320" s="1"/>
      <c r="G320" s="1"/>
      <c r="H320" s="3"/>
      <c r="I320" s="1"/>
      <c r="J320" s="1"/>
      <c r="K320" s="1"/>
      <c r="L320" s="1"/>
      <c r="M320" s="1"/>
      <c r="N320" s="1"/>
      <c r="O320" s="1"/>
      <c r="P320" s="1"/>
      <c r="Q320" s="1"/>
      <c r="R320" s="1"/>
      <c r="S320" s="1"/>
      <c r="T320" s="1"/>
      <c r="U320" s="1"/>
      <c r="V320" s="1"/>
      <c r="W320" s="1"/>
      <c r="X320" s="1"/>
      <c r="Y320" s="1"/>
    </row>
    <row r="321" spans="1:25">
      <c r="A321" s="1"/>
      <c r="B321" s="1"/>
      <c r="C321" s="1"/>
      <c r="D321" s="1"/>
      <c r="E321" s="1"/>
      <c r="F321" s="1"/>
      <c r="G321" s="1"/>
      <c r="H321" s="3"/>
      <c r="I321" s="1"/>
      <c r="J321" s="1"/>
      <c r="K321" s="1"/>
      <c r="L321" s="1"/>
      <c r="M321" s="1"/>
      <c r="N321" s="1"/>
      <c r="O321" s="1"/>
      <c r="P321" s="1"/>
      <c r="Q321" s="1"/>
      <c r="R321" s="1"/>
      <c r="S321" s="1"/>
      <c r="T321" s="1"/>
      <c r="U321" s="1"/>
      <c r="V321" s="1"/>
      <c r="W321" s="1"/>
      <c r="X321" s="1"/>
      <c r="Y321" s="1"/>
    </row>
    <row r="322" spans="1:25">
      <c r="A322" s="1"/>
      <c r="B322" s="1"/>
      <c r="C322" s="1"/>
      <c r="D322" s="1"/>
      <c r="E322" s="1"/>
      <c r="F322" s="1"/>
      <c r="G322" s="1"/>
      <c r="H322" s="3"/>
      <c r="I322" s="1"/>
      <c r="J322" s="1"/>
      <c r="K322" s="1"/>
      <c r="L322" s="1"/>
      <c r="M322" s="1"/>
      <c r="N322" s="1"/>
      <c r="O322" s="1"/>
      <c r="P322" s="1"/>
      <c r="Q322" s="1"/>
      <c r="R322" s="1"/>
      <c r="S322" s="1"/>
      <c r="T322" s="1"/>
      <c r="U322" s="1"/>
      <c r="V322" s="1"/>
      <c r="W322" s="1"/>
      <c r="X322" s="1"/>
      <c r="Y322" s="1"/>
    </row>
    <row r="323" spans="1:25">
      <c r="A323" s="1"/>
      <c r="B323" s="1"/>
      <c r="C323" s="1"/>
      <c r="D323" s="1"/>
      <c r="E323" s="1"/>
      <c r="F323" s="1"/>
      <c r="G323" s="1"/>
      <c r="H323" s="3"/>
      <c r="I323" s="1"/>
      <c r="J323" s="1"/>
      <c r="K323" s="1"/>
      <c r="L323" s="1"/>
      <c r="M323" s="1"/>
      <c r="N323" s="1"/>
      <c r="O323" s="1"/>
      <c r="P323" s="1"/>
      <c r="Q323" s="1"/>
      <c r="R323" s="1"/>
      <c r="S323" s="1"/>
      <c r="T323" s="1"/>
      <c r="U323" s="1"/>
      <c r="V323" s="1"/>
      <c r="W323" s="1"/>
      <c r="X323" s="1"/>
      <c r="Y323" s="1"/>
    </row>
    <row r="324" spans="1:25">
      <c r="A324" s="1"/>
      <c r="B324" s="1"/>
      <c r="C324" s="1"/>
      <c r="D324" s="1"/>
      <c r="E324" s="1"/>
      <c r="F324" s="1"/>
      <c r="G324" s="1"/>
      <c r="H324" s="3"/>
      <c r="I324" s="1"/>
      <c r="J324" s="1"/>
      <c r="K324" s="1"/>
      <c r="L324" s="1"/>
      <c r="M324" s="1"/>
      <c r="N324" s="1"/>
      <c r="O324" s="1"/>
      <c r="P324" s="1"/>
      <c r="Q324" s="1"/>
      <c r="R324" s="1"/>
      <c r="S324" s="1"/>
      <c r="T324" s="1"/>
      <c r="U324" s="1"/>
      <c r="V324" s="1"/>
      <c r="W324" s="1"/>
      <c r="X324" s="1"/>
      <c r="Y324" s="1"/>
    </row>
    <row r="325" spans="1:25">
      <c r="A325" s="1"/>
      <c r="B325" s="1"/>
      <c r="C325" s="1"/>
      <c r="D325" s="1"/>
      <c r="E325" s="1"/>
      <c r="F325" s="1"/>
      <c r="G325" s="1"/>
      <c r="H325" s="3"/>
      <c r="I325" s="1"/>
      <c r="J325" s="1"/>
      <c r="K325" s="1"/>
      <c r="L325" s="1"/>
      <c r="M325" s="1"/>
      <c r="N325" s="1"/>
      <c r="O325" s="1"/>
      <c r="P325" s="1"/>
      <c r="Q325" s="1"/>
      <c r="R325" s="1"/>
      <c r="S325" s="1"/>
      <c r="T325" s="1"/>
      <c r="U325" s="1"/>
      <c r="V325" s="1"/>
      <c r="W325" s="1"/>
      <c r="X325" s="1"/>
      <c r="Y325" s="1"/>
    </row>
    <row r="326" spans="1:25">
      <c r="A326" s="1"/>
      <c r="B326" s="1"/>
      <c r="C326" s="1"/>
      <c r="D326" s="1"/>
      <c r="E326" s="1"/>
      <c r="F326" s="1"/>
      <c r="G326" s="1"/>
      <c r="H326" s="3"/>
      <c r="I326" s="1"/>
      <c r="J326" s="1"/>
      <c r="K326" s="1"/>
      <c r="L326" s="1"/>
      <c r="M326" s="1"/>
      <c r="N326" s="1"/>
      <c r="O326" s="1"/>
      <c r="P326" s="1"/>
      <c r="Q326" s="1"/>
      <c r="R326" s="1"/>
      <c r="S326" s="1"/>
      <c r="T326" s="1"/>
      <c r="U326" s="1"/>
      <c r="V326" s="1"/>
      <c r="W326" s="1"/>
      <c r="X326" s="1"/>
      <c r="Y326" s="1"/>
    </row>
    <row r="327" spans="1:25">
      <c r="A327" s="1"/>
      <c r="B327" s="1"/>
      <c r="C327" s="1"/>
      <c r="D327" s="1"/>
      <c r="E327" s="1"/>
      <c r="F327" s="1"/>
      <c r="G327" s="1"/>
      <c r="H327" s="3"/>
      <c r="I327" s="1"/>
      <c r="J327" s="1"/>
      <c r="K327" s="1"/>
      <c r="L327" s="1"/>
      <c r="M327" s="1"/>
      <c r="N327" s="1"/>
      <c r="O327" s="1"/>
      <c r="P327" s="1"/>
      <c r="Q327" s="1"/>
      <c r="R327" s="1"/>
      <c r="S327" s="1"/>
      <c r="T327" s="1"/>
      <c r="U327" s="1"/>
      <c r="V327" s="1"/>
      <c r="W327" s="1"/>
      <c r="X327" s="1"/>
      <c r="Y327" s="1"/>
    </row>
    <row r="328" spans="1:25">
      <c r="A328" s="1"/>
      <c r="B328" s="1"/>
      <c r="C328" s="1"/>
      <c r="D328" s="1"/>
      <c r="E328" s="1"/>
      <c r="F328" s="1"/>
      <c r="G328" s="1"/>
      <c r="H328" s="3"/>
      <c r="I328" s="1"/>
      <c r="J328" s="1"/>
      <c r="K328" s="1"/>
      <c r="L328" s="1"/>
      <c r="M328" s="1"/>
      <c r="N328" s="1"/>
      <c r="O328" s="1"/>
      <c r="P328" s="1"/>
      <c r="Q328" s="1"/>
      <c r="R328" s="1"/>
      <c r="S328" s="1"/>
      <c r="T328" s="1"/>
      <c r="U328" s="1"/>
      <c r="V328" s="1"/>
      <c r="W328" s="1"/>
      <c r="X328" s="1"/>
      <c r="Y328" s="1"/>
    </row>
    <row r="329" spans="1:25">
      <c r="A329" s="1"/>
      <c r="B329" s="1"/>
      <c r="C329" s="1"/>
      <c r="D329" s="1"/>
      <c r="E329" s="1"/>
      <c r="F329" s="1"/>
      <c r="G329" s="1"/>
      <c r="H329" s="3"/>
      <c r="I329" s="1"/>
      <c r="J329" s="1"/>
      <c r="K329" s="1"/>
      <c r="L329" s="1"/>
      <c r="M329" s="1"/>
      <c r="N329" s="1"/>
      <c r="O329" s="1"/>
      <c r="P329" s="1"/>
      <c r="Q329" s="1"/>
      <c r="R329" s="1"/>
      <c r="S329" s="1"/>
      <c r="T329" s="1"/>
      <c r="U329" s="1"/>
      <c r="V329" s="1"/>
      <c r="W329" s="1"/>
      <c r="X329" s="1"/>
      <c r="Y329" s="1"/>
    </row>
    <row r="330" spans="1:25">
      <c r="A330" s="1"/>
      <c r="B330" s="1"/>
      <c r="C330" s="1"/>
      <c r="D330" s="1"/>
      <c r="E330" s="1"/>
      <c r="F330" s="1"/>
      <c r="G330" s="1"/>
      <c r="H330" s="3"/>
      <c r="I330" s="1"/>
      <c r="J330" s="1"/>
      <c r="K330" s="1"/>
      <c r="L330" s="1"/>
      <c r="M330" s="1"/>
      <c r="N330" s="1"/>
      <c r="O330" s="1"/>
      <c r="P330" s="1"/>
      <c r="Q330" s="1"/>
      <c r="R330" s="1"/>
      <c r="S330" s="1"/>
      <c r="T330" s="1"/>
      <c r="U330" s="1"/>
      <c r="V330" s="1"/>
      <c r="W330" s="1"/>
      <c r="X330" s="1"/>
      <c r="Y330" s="1"/>
    </row>
    <row r="331" spans="1:25">
      <c r="A331" s="1"/>
      <c r="B331" s="1"/>
      <c r="C331" s="1"/>
      <c r="D331" s="1"/>
      <c r="E331" s="1"/>
      <c r="F331" s="1"/>
      <c r="G331" s="1"/>
      <c r="H331" s="3"/>
      <c r="I331" s="1"/>
      <c r="J331" s="1"/>
      <c r="K331" s="1"/>
      <c r="L331" s="1"/>
      <c r="M331" s="1"/>
      <c r="N331" s="1"/>
      <c r="O331" s="1"/>
      <c r="P331" s="1"/>
      <c r="Q331" s="1"/>
      <c r="R331" s="1"/>
      <c r="S331" s="1"/>
      <c r="T331" s="1"/>
      <c r="U331" s="1"/>
      <c r="V331" s="1"/>
      <c r="W331" s="1"/>
      <c r="X331" s="1"/>
      <c r="Y331" s="1"/>
    </row>
    <row r="332" spans="1:25">
      <c r="A332" s="1"/>
      <c r="B332" s="1"/>
      <c r="C332" s="1"/>
      <c r="D332" s="1"/>
      <c r="E332" s="1"/>
      <c r="F332" s="1"/>
      <c r="G332" s="1"/>
      <c r="H332" s="3"/>
      <c r="I332" s="1"/>
      <c r="J332" s="1"/>
      <c r="K332" s="1"/>
      <c r="L332" s="1"/>
      <c r="M332" s="1"/>
      <c r="N332" s="1"/>
      <c r="O332" s="1"/>
      <c r="P332" s="1"/>
      <c r="Q332" s="1"/>
      <c r="R332" s="1"/>
      <c r="S332" s="1"/>
      <c r="T332" s="1"/>
      <c r="U332" s="1"/>
      <c r="V332" s="1"/>
      <c r="W332" s="1"/>
      <c r="X332" s="1"/>
      <c r="Y332" s="1"/>
    </row>
    <row r="333" spans="1:25">
      <c r="A333" s="1"/>
      <c r="B333" s="1"/>
      <c r="C333" s="1"/>
      <c r="D333" s="1"/>
      <c r="E333" s="1"/>
      <c r="F333" s="1"/>
      <c r="G333" s="1"/>
      <c r="H333" s="3"/>
      <c r="I333" s="1"/>
      <c r="J333" s="1"/>
      <c r="K333" s="1"/>
      <c r="L333" s="1"/>
      <c r="M333" s="1"/>
      <c r="N333" s="1"/>
      <c r="O333" s="1"/>
      <c r="P333" s="1"/>
      <c r="Q333" s="1"/>
      <c r="R333" s="1"/>
      <c r="S333" s="1"/>
      <c r="T333" s="1"/>
      <c r="U333" s="1"/>
      <c r="V333" s="1"/>
      <c r="W333" s="1"/>
      <c r="X333" s="1"/>
      <c r="Y333" s="1"/>
    </row>
    <row r="334" spans="1:25">
      <c r="A334" s="1"/>
      <c r="B334" s="1"/>
      <c r="C334" s="1"/>
      <c r="D334" s="1"/>
      <c r="E334" s="1"/>
      <c r="F334" s="1"/>
      <c r="G334" s="1"/>
      <c r="H334" s="3"/>
      <c r="I334" s="1"/>
      <c r="J334" s="1"/>
      <c r="K334" s="1"/>
      <c r="L334" s="1"/>
      <c r="M334" s="1"/>
      <c r="N334" s="1"/>
      <c r="O334" s="1"/>
      <c r="P334" s="1"/>
      <c r="Q334" s="1"/>
      <c r="R334" s="1"/>
      <c r="S334" s="1"/>
      <c r="T334" s="1"/>
      <c r="U334" s="1"/>
      <c r="V334" s="1"/>
      <c r="W334" s="1"/>
      <c r="X334" s="1"/>
      <c r="Y334" s="1"/>
    </row>
    <row r="335" spans="1:25">
      <c r="A335" s="1"/>
      <c r="B335" s="1"/>
      <c r="C335" s="1"/>
      <c r="D335" s="1"/>
      <c r="E335" s="1"/>
      <c r="F335" s="1"/>
      <c r="G335" s="1"/>
      <c r="H335" s="3"/>
      <c r="I335" s="1"/>
      <c r="J335" s="1"/>
      <c r="K335" s="1"/>
      <c r="L335" s="1"/>
      <c r="M335" s="1"/>
      <c r="N335" s="1"/>
      <c r="O335" s="1"/>
      <c r="P335" s="1"/>
      <c r="Q335" s="1"/>
      <c r="R335" s="1"/>
      <c r="S335" s="1"/>
      <c r="T335" s="1"/>
      <c r="U335" s="1"/>
      <c r="V335" s="1"/>
      <c r="W335" s="1"/>
      <c r="X335" s="1"/>
      <c r="Y335" s="1"/>
    </row>
    <row r="336" spans="1:25">
      <c r="A336" s="1"/>
      <c r="B336" s="1"/>
      <c r="C336" s="1"/>
      <c r="D336" s="1"/>
      <c r="E336" s="1"/>
      <c r="F336" s="1"/>
      <c r="G336" s="1"/>
      <c r="H336" s="3"/>
      <c r="I336" s="1"/>
      <c r="J336" s="1"/>
      <c r="K336" s="1"/>
      <c r="L336" s="1"/>
      <c r="M336" s="1"/>
      <c r="N336" s="1"/>
      <c r="O336" s="1"/>
      <c r="P336" s="1"/>
      <c r="Q336" s="1"/>
      <c r="R336" s="1"/>
      <c r="S336" s="1"/>
      <c r="T336" s="1"/>
      <c r="U336" s="1"/>
      <c r="V336" s="1"/>
      <c r="W336" s="1"/>
      <c r="X336" s="1"/>
      <c r="Y336" s="1"/>
    </row>
    <row r="337" spans="1:25">
      <c r="A337" s="1"/>
      <c r="B337" s="1"/>
      <c r="C337" s="1"/>
      <c r="D337" s="1"/>
      <c r="E337" s="1"/>
      <c r="F337" s="1"/>
      <c r="G337" s="1"/>
      <c r="H337" s="3"/>
      <c r="I337" s="1"/>
      <c r="J337" s="1"/>
      <c r="K337" s="1"/>
      <c r="L337" s="1"/>
      <c r="M337" s="1"/>
      <c r="N337" s="1"/>
      <c r="O337" s="1"/>
      <c r="P337" s="1"/>
      <c r="Q337" s="1"/>
      <c r="R337" s="1"/>
      <c r="S337" s="1"/>
      <c r="T337" s="1"/>
      <c r="U337" s="1"/>
      <c r="V337" s="1"/>
      <c r="W337" s="1"/>
      <c r="X337" s="1"/>
      <c r="Y337" s="1"/>
    </row>
    <row r="338" spans="1:25">
      <c r="A338" s="1"/>
      <c r="B338" s="1"/>
      <c r="C338" s="1"/>
      <c r="D338" s="1"/>
      <c r="E338" s="1"/>
      <c r="F338" s="1"/>
      <c r="G338" s="1"/>
      <c r="H338" s="3"/>
      <c r="I338" s="1"/>
      <c r="J338" s="1"/>
      <c r="K338" s="1"/>
      <c r="L338" s="1"/>
      <c r="M338" s="1"/>
      <c r="N338" s="1"/>
      <c r="O338" s="1"/>
      <c r="P338" s="1"/>
      <c r="Q338" s="1"/>
      <c r="R338" s="1"/>
      <c r="S338" s="1"/>
      <c r="T338" s="1"/>
      <c r="U338" s="1"/>
      <c r="V338" s="1"/>
      <c r="W338" s="1"/>
      <c r="X338" s="1"/>
      <c r="Y338" s="1"/>
    </row>
    <row r="339" spans="1:25">
      <c r="A339" s="1"/>
      <c r="B339" s="1"/>
      <c r="C339" s="1"/>
      <c r="D339" s="1"/>
      <c r="E339" s="1"/>
      <c r="F339" s="1"/>
      <c r="G339" s="1"/>
      <c r="H339" s="3"/>
      <c r="I339" s="1"/>
      <c r="J339" s="1"/>
      <c r="K339" s="1"/>
      <c r="L339" s="1"/>
      <c r="M339" s="1"/>
      <c r="N339" s="1"/>
      <c r="O339" s="1"/>
      <c r="P339" s="1"/>
      <c r="Q339" s="1"/>
      <c r="R339" s="1"/>
      <c r="S339" s="1"/>
      <c r="T339" s="1"/>
      <c r="U339" s="1"/>
      <c r="V339" s="1"/>
      <c r="W339" s="1"/>
      <c r="X339" s="1"/>
      <c r="Y339" s="1"/>
    </row>
    <row r="340" spans="1:25">
      <c r="A340" s="1"/>
      <c r="B340" s="1"/>
      <c r="C340" s="1"/>
      <c r="D340" s="1"/>
      <c r="E340" s="1"/>
      <c r="F340" s="1"/>
      <c r="G340" s="1"/>
      <c r="H340" s="3"/>
      <c r="I340" s="1"/>
      <c r="J340" s="1"/>
      <c r="K340" s="1"/>
      <c r="L340" s="1"/>
      <c r="M340" s="1"/>
      <c r="N340" s="1"/>
      <c r="O340" s="1"/>
      <c r="P340" s="1"/>
      <c r="Q340" s="1"/>
      <c r="R340" s="1"/>
      <c r="S340" s="1"/>
      <c r="T340" s="1"/>
      <c r="U340" s="1"/>
      <c r="V340" s="1"/>
      <c r="W340" s="1"/>
      <c r="X340" s="1"/>
      <c r="Y340" s="1"/>
    </row>
    <row r="341" spans="1:25">
      <c r="A341" s="1"/>
      <c r="B341" s="1"/>
      <c r="C341" s="1"/>
      <c r="D341" s="1"/>
      <c r="E341" s="1"/>
      <c r="F341" s="1"/>
      <c r="G341" s="1"/>
      <c r="H341" s="3"/>
      <c r="I341" s="1"/>
      <c r="J341" s="1"/>
      <c r="K341" s="1"/>
      <c r="L341" s="1"/>
      <c r="M341" s="1"/>
      <c r="N341" s="1"/>
      <c r="O341" s="1"/>
      <c r="P341" s="1"/>
      <c r="Q341" s="1"/>
      <c r="R341" s="1"/>
      <c r="S341" s="1"/>
      <c r="T341" s="1"/>
      <c r="U341" s="1"/>
      <c r="V341" s="1"/>
      <c r="W341" s="1"/>
      <c r="X341" s="1"/>
      <c r="Y341" s="1"/>
    </row>
    <row r="342" spans="1:25">
      <c r="A342" s="1"/>
      <c r="B342" s="1"/>
      <c r="C342" s="1"/>
      <c r="D342" s="1"/>
      <c r="E342" s="1"/>
      <c r="F342" s="1"/>
      <c r="G342" s="1"/>
      <c r="H342" s="3"/>
      <c r="I342" s="1"/>
      <c r="J342" s="1"/>
      <c r="K342" s="1"/>
      <c r="L342" s="1"/>
      <c r="M342" s="1"/>
      <c r="N342" s="1"/>
      <c r="O342" s="1"/>
      <c r="P342" s="1"/>
      <c r="Q342" s="1"/>
      <c r="R342" s="1"/>
      <c r="S342" s="1"/>
      <c r="T342" s="1"/>
      <c r="U342" s="1"/>
      <c r="V342" s="1"/>
      <c r="W342" s="1"/>
      <c r="X342" s="1"/>
      <c r="Y342" s="1"/>
    </row>
    <row r="343" spans="1:25">
      <c r="A343" s="1"/>
      <c r="B343" s="1"/>
      <c r="C343" s="1"/>
      <c r="D343" s="1"/>
      <c r="E343" s="1"/>
      <c r="F343" s="1"/>
      <c r="G343" s="1"/>
      <c r="H343" s="3"/>
      <c r="I343" s="1"/>
      <c r="J343" s="1"/>
      <c r="K343" s="1"/>
      <c r="L343" s="1"/>
      <c r="M343" s="1"/>
      <c r="N343" s="1"/>
      <c r="O343" s="1"/>
      <c r="P343" s="1"/>
      <c r="Q343" s="1"/>
      <c r="R343" s="1"/>
      <c r="S343" s="1"/>
      <c r="T343" s="1"/>
      <c r="U343" s="1"/>
      <c r="V343" s="1"/>
      <c r="W343" s="1"/>
      <c r="X343" s="1"/>
      <c r="Y343" s="1"/>
    </row>
    <row r="344" spans="1:25">
      <c r="A344" s="1"/>
      <c r="B344" s="1"/>
      <c r="C344" s="1"/>
      <c r="D344" s="1"/>
      <c r="E344" s="1"/>
      <c r="F344" s="1"/>
      <c r="G344" s="1"/>
      <c r="H344" s="3"/>
      <c r="I344" s="1"/>
      <c r="J344" s="1"/>
      <c r="K344" s="1"/>
      <c r="L344" s="1"/>
      <c r="M344" s="1"/>
      <c r="N344" s="1"/>
      <c r="O344" s="1"/>
      <c r="P344" s="1"/>
      <c r="Q344" s="1"/>
      <c r="R344" s="1"/>
      <c r="S344" s="1"/>
      <c r="T344" s="1"/>
      <c r="U344" s="1"/>
      <c r="V344" s="1"/>
      <c r="W344" s="1"/>
      <c r="X344" s="1"/>
      <c r="Y344" s="1"/>
    </row>
    <row r="345" spans="1:25">
      <c r="A345" s="1"/>
      <c r="B345" s="1"/>
      <c r="C345" s="1"/>
      <c r="D345" s="1"/>
      <c r="E345" s="1"/>
      <c r="F345" s="1"/>
      <c r="G345" s="1"/>
      <c r="H345" s="3"/>
      <c r="I345" s="1"/>
      <c r="J345" s="1"/>
      <c r="K345" s="1"/>
      <c r="L345" s="1"/>
      <c r="M345" s="1"/>
      <c r="N345" s="1"/>
      <c r="O345" s="1"/>
      <c r="P345" s="1"/>
      <c r="Q345" s="1"/>
      <c r="R345" s="1"/>
      <c r="S345" s="1"/>
      <c r="T345" s="1"/>
      <c r="U345" s="1"/>
      <c r="V345" s="1"/>
      <c r="W345" s="1"/>
      <c r="X345" s="1"/>
      <c r="Y345" s="1"/>
    </row>
    <row r="346" spans="1:25">
      <c r="A346" s="1"/>
      <c r="B346" s="1"/>
      <c r="C346" s="1"/>
      <c r="D346" s="1"/>
      <c r="E346" s="1"/>
      <c r="F346" s="1"/>
      <c r="G346" s="1"/>
      <c r="H346" s="3"/>
      <c r="I346" s="1"/>
      <c r="J346" s="1"/>
      <c r="K346" s="1"/>
      <c r="L346" s="1"/>
      <c r="M346" s="1"/>
      <c r="N346" s="1"/>
      <c r="O346" s="1"/>
      <c r="P346" s="1"/>
      <c r="Q346" s="1"/>
      <c r="R346" s="1"/>
      <c r="S346" s="1"/>
      <c r="T346" s="1"/>
      <c r="U346" s="1"/>
      <c r="V346" s="1"/>
      <c r="W346" s="1"/>
      <c r="X346" s="1"/>
      <c r="Y346" s="1"/>
    </row>
    <row r="347" spans="1:25">
      <c r="A347" s="1"/>
      <c r="B347" s="1"/>
      <c r="C347" s="1"/>
      <c r="D347" s="1"/>
      <c r="E347" s="1"/>
      <c r="F347" s="1"/>
      <c r="G347" s="1"/>
      <c r="H347" s="3"/>
      <c r="I347" s="1"/>
      <c r="J347" s="1"/>
      <c r="K347" s="1"/>
      <c r="L347" s="1"/>
      <c r="M347" s="1"/>
      <c r="N347" s="1"/>
      <c r="O347" s="1"/>
      <c r="P347" s="1"/>
      <c r="Q347" s="1"/>
      <c r="R347" s="1"/>
      <c r="S347" s="1"/>
      <c r="T347" s="1"/>
      <c r="U347" s="1"/>
      <c r="V347" s="1"/>
      <c r="W347" s="1"/>
      <c r="X347" s="1"/>
      <c r="Y347" s="1"/>
    </row>
    <row r="348" spans="1:25">
      <c r="A348" s="1"/>
      <c r="B348" s="1"/>
      <c r="C348" s="1"/>
      <c r="D348" s="1"/>
      <c r="E348" s="1"/>
      <c r="F348" s="1"/>
      <c r="G348" s="1"/>
      <c r="H348" s="3"/>
      <c r="I348" s="1"/>
      <c r="J348" s="1"/>
      <c r="K348" s="1"/>
      <c r="L348" s="1"/>
      <c r="M348" s="1"/>
      <c r="N348" s="1"/>
      <c r="O348" s="1"/>
      <c r="P348" s="1"/>
      <c r="Q348" s="1"/>
      <c r="R348" s="1"/>
      <c r="S348" s="1"/>
      <c r="T348" s="1"/>
      <c r="U348" s="1"/>
      <c r="V348" s="1"/>
      <c r="W348" s="1"/>
      <c r="X348" s="1"/>
      <c r="Y348" s="1"/>
    </row>
    <row r="349" spans="1:25">
      <c r="A349" s="1"/>
      <c r="B349" s="1"/>
      <c r="C349" s="1"/>
      <c r="D349" s="1"/>
      <c r="E349" s="1"/>
      <c r="F349" s="1"/>
      <c r="G349" s="1"/>
      <c r="H349" s="3"/>
      <c r="I349" s="1"/>
      <c r="J349" s="1"/>
      <c r="K349" s="1"/>
      <c r="L349" s="1"/>
      <c r="M349" s="1"/>
      <c r="N349" s="1"/>
      <c r="O349" s="1"/>
      <c r="P349" s="1"/>
      <c r="Q349" s="1"/>
      <c r="R349" s="1"/>
      <c r="S349" s="1"/>
      <c r="T349" s="1"/>
      <c r="U349" s="1"/>
      <c r="V349" s="1"/>
      <c r="W349" s="1"/>
      <c r="X349" s="1"/>
      <c r="Y349" s="1"/>
    </row>
    <row r="350" spans="1:25">
      <c r="A350" s="1"/>
      <c r="B350" s="1"/>
      <c r="C350" s="1"/>
      <c r="D350" s="1"/>
      <c r="E350" s="1"/>
      <c r="F350" s="1"/>
      <c r="G350" s="1"/>
      <c r="H350" s="3"/>
      <c r="I350" s="1"/>
      <c r="J350" s="1"/>
      <c r="K350" s="1"/>
      <c r="L350" s="1"/>
      <c r="M350" s="1"/>
      <c r="N350" s="1"/>
      <c r="O350" s="1"/>
      <c r="P350" s="1"/>
      <c r="Q350" s="1"/>
      <c r="R350" s="1"/>
      <c r="S350" s="1"/>
      <c r="T350" s="1"/>
      <c r="U350" s="1"/>
      <c r="V350" s="1"/>
      <c r="W350" s="1"/>
      <c r="X350" s="1"/>
      <c r="Y350" s="1"/>
    </row>
    <row r="351" spans="1:25">
      <c r="A351" s="1"/>
      <c r="B351" s="1"/>
      <c r="C351" s="1"/>
      <c r="D351" s="1"/>
      <c r="E351" s="1"/>
      <c r="F351" s="1"/>
      <c r="G351" s="1"/>
      <c r="H351" s="3"/>
      <c r="I351" s="1"/>
      <c r="J351" s="1"/>
      <c r="K351" s="1"/>
      <c r="L351" s="1"/>
      <c r="M351" s="1"/>
      <c r="N351" s="1"/>
      <c r="O351" s="1"/>
      <c r="P351" s="1"/>
      <c r="Q351" s="1"/>
      <c r="R351" s="1"/>
      <c r="S351" s="1"/>
      <c r="T351" s="1"/>
      <c r="U351" s="1"/>
      <c r="V351" s="1"/>
      <c r="W351" s="1"/>
      <c r="X351" s="1"/>
      <c r="Y351" s="1"/>
    </row>
    <row r="352" spans="1:25">
      <c r="A352" s="1"/>
      <c r="B352" s="1"/>
      <c r="C352" s="1"/>
      <c r="D352" s="1"/>
      <c r="E352" s="1"/>
      <c r="F352" s="1"/>
      <c r="G352" s="1"/>
      <c r="H352" s="3"/>
      <c r="I352" s="1"/>
      <c r="J352" s="1"/>
      <c r="K352" s="1"/>
      <c r="L352" s="1"/>
      <c r="M352" s="1"/>
      <c r="N352" s="1"/>
      <c r="O352" s="1"/>
      <c r="P352" s="1"/>
      <c r="Q352" s="1"/>
      <c r="R352" s="1"/>
      <c r="S352" s="1"/>
      <c r="T352" s="1"/>
      <c r="U352" s="1"/>
      <c r="V352" s="1"/>
      <c r="W352" s="1"/>
      <c r="X352" s="1"/>
      <c r="Y352" s="1"/>
    </row>
    <row r="353" spans="1:25">
      <c r="A353" s="1"/>
      <c r="B353" s="1"/>
      <c r="C353" s="1"/>
      <c r="D353" s="1"/>
      <c r="E353" s="1"/>
      <c r="F353" s="1"/>
      <c r="G353" s="1"/>
      <c r="H353" s="3"/>
      <c r="I353" s="1"/>
      <c r="J353" s="1"/>
      <c r="K353" s="1"/>
      <c r="L353" s="1"/>
      <c r="M353" s="1"/>
      <c r="N353" s="1"/>
      <c r="O353" s="1"/>
      <c r="P353" s="1"/>
      <c r="Q353" s="1"/>
      <c r="R353" s="1"/>
      <c r="S353" s="1"/>
      <c r="T353" s="1"/>
      <c r="U353" s="1"/>
      <c r="V353" s="1"/>
      <c r="W353" s="1"/>
      <c r="X353" s="1"/>
      <c r="Y353" s="1"/>
    </row>
    <row r="354" spans="1:25">
      <c r="A354" s="1"/>
      <c r="B354" s="1"/>
      <c r="C354" s="1"/>
      <c r="D354" s="1"/>
      <c r="E354" s="1"/>
      <c r="F354" s="1"/>
      <c r="G354" s="1"/>
      <c r="H354" s="3"/>
      <c r="I354" s="1"/>
      <c r="J354" s="1"/>
      <c r="K354" s="1"/>
      <c r="L354" s="1"/>
      <c r="M354" s="1"/>
      <c r="N354" s="1"/>
      <c r="O354" s="1"/>
      <c r="P354" s="1"/>
      <c r="Q354" s="1"/>
      <c r="R354" s="1"/>
      <c r="S354" s="1"/>
      <c r="T354" s="1"/>
      <c r="U354" s="1"/>
      <c r="V354" s="1"/>
      <c r="W354" s="1"/>
      <c r="X354" s="1"/>
      <c r="Y354" s="1"/>
    </row>
    <row r="355" spans="1:25">
      <c r="A355" s="1"/>
      <c r="B355" s="1"/>
      <c r="C355" s="1"/>
      <c r="D355" s="1"/>
      <c r="E355" s="1"/>
      <c r="F355" s="1"/>
      <c r="G355" s="1"/>
      <c r="H355" s="3"/>
      <c r="I355" s="1"/>
      <c r="J355" s="1"/>
      <c r="K355" s="1"/>
      <c r="L355" s="1"/>
      <c r="M355" s="1"/>
      <c r="N355" s="1"/>
      <c r="O355" s="1"/>
      <c r="P355" s="1"/>
      <c r="Q355" s="1"/>
      <c r="R355" s="1"/>
      <c r="S355" s="1"/>
      <c r="T355" s="1"/>
      <c r="U355" s="1"/>
      <c r="V355" s="1"/>
      <c r="W355" s="1"/>
      <c r="X355" s="1"/>
      <c r="Y355" s="1"/>
    </row>
    <row r="356" spans="1:25">
      <c r="A356" s="1"/>
      <c r="B356" s="1"/>
      <c r="C356" s="1"/>
      <c r="D356" s="1"/>
      <c r="E356" s="1"/>
      <c r="F356" s="1"/>
      <c r="G356" s="1"/>
      <c r="H356" s="3"/>
      <c r="I356" s="1"/>
      <c r="J356" s="1"/>
      <c r="K356" s="1"/>
      <c r="L356" s="1"/>
      <c r="M356" s="1"/>
      <c r="N356" s="1"/>
      <c r="O356" s="1"/>
      <c r="P356" s="1"/>
      <c r="Q356" s="1"/>
      <c r="R356" s="1"/>
      <c r="S356" s="1"/>
      <c r="T356" s="1"/>
      <c r="U356" s="1"/>
      <c r="V356" s="1"/>
      <c r="W356" s="1"/>
      <c r="X356" s="1"/>
      <c r="Y356" s="1"/>
    </row>
    <row r="357" spans="1:25">
      <c r="A357" s="1"/>
      <c r="B357" s="1"/>
      <c r="C357" s="1"/>
      <c r="D357" s="1"/>
      <c r="E357" s="1"/>
      <c r="F357" s="1"/>
      <c r="G357" s="1"/>
      <c r="H357" s="3"/>
      <c r="I357" s="1"/>
      <c r="J357" s="1"/>
      <c r="K357" s="1"/>
      <c r="L357" s="1"/>
      <c r="M357" s="1"/>
      <c r="N357" s="1"/>
      <c r="O357" s="1"/>
      <c r="P357" s="1"/>
      <c r="Q357" s="1"/>
      <c r="R357" s="1"/>
      <c r="S357" s="1"/>
      <c r="T357" s="1"/>
      <c r="U357" s="1"/>
      <c r="V357" s="1"/>
      <c r="W357" s="1"/>
      <c r="X357" s="1"/>
      <c r="Y357" s="1"/>
    </row>
    <row r="358" spans="1:25">
      <c r="A358" s="1"/>
      <c r="B358" s="1"/>
      <c r="C358" s="1"/>
      <c r="D358" s="1"/>
      <c r="E358" s="1"/>
      <c r="F358" s="1"/>
      <c r="G358" s="1"/>
      <c r="H358" s="3"/>
      <c r="I358" s="1"/>
      <c r="J358" s="1"/>
      <c r="K358" s="1"/>
      <c r="L358" s="1"/>
      <c r="M358" s="1"/>
      <c r="N358" s="1"/>
      <c r="O358" s="1"/>
      <c r="P358" s="1"/>
      <c r="Q358" s="1"/>
      <c r="R358" s="1"/>
      <c r="S358" s="1"/>
      <c r="T358" s="1"/>
      <c r="U358" s="1"/>
      <c r="V358" s="1"/>
      <c r="W358" s="1"/>
      <c r="X358" s="1"/>
      <c r="Y358" s="1"/>
    </row>
    <row r="359" spans="1:25">
      <c r="A359" s="1"/>
      <c r="B359" s="1"/>
      <c r="C359" s="1"/>
      <c r="D359" s="1"/>
      <c r="E359" s="1"/>
      <c r="F359" s="1"/>
      <c r="G359" s="1"/>
      <c r="H359" s="3"/>
      <c r="I359" s="1"/>
      <c r="J359" s="1"/>
      <c r="K359" s="1"/>
      <c r="L359" s="1"/>
      <c r="M359" s="1"/>
      <c r="N359" s="1"/>
      <c r="O359" s="1"/>
      <c r="P359" s="1"/>
      <c r="Q359" s="1"/>
      <c r="R359" s="1"/>
      <c r="S359" s="1"/>
      <c r="T359" s="1"/>
      <c r="U359" s="1"/>
      <c r="V359" s="1"/>
      <c r="W359" s="1"/>
      <c r="X359" s="1"/>
      <c r="Y359" s="1"/>
    </row>
    <row r="360" spans="1:25">
      <c r="A360" s="1"/>
      <c r="B360" s="1"/>
      <c r="C360" s="1"/>
      <c r="D360" s="1"/>
      <c r="E360" s="1"/>
      <c r="F360" s="1"/>
      <c r="G360" s="1"/>
      <c r="H360" s="3"/>
      <c r="I360" s="1"/>
      <c r="J360" s="1"/>
      <c r="K360" s="1"/>
      <c r="L360" s="1"/>
      <c r="M360" s="1"/>
      <c r="N360" s="1"/>
      <c r="O360" s="1"/>
      <c r="P360" s="1"/>
      <c r="Q360" s="1"/>
      <c r="R360" s="1"/>
      <c r="S360" s="1"/>
      <c r="T360" s="1"/>
      <c r="U360" s="1"/>
      <c r="V360" s="1"/>
      <c r="W360" s="1"/>
      <c r="X360" s="1"/>
      <c r="Y360" s="1"/>
    </row>
    <row r="361" spans="1:25">
      <c r="A361" s="1"/>
      <c r="B361" s="1"/>
      <c r="C361" s="1"/>
      <c r="D361" s="1"/>
      <c r="E361" s="1"/>
      <c r="F361" s="1"/>
      <c r="G361" s="1"/>
      <c r="H361" s="3"/>
      <c r="I361" s="1"/>
      <c r="J361" s="1"/>
      <c r="K361" s="1"/>
      <c r="L361" s="1"/>
      <c r="M361" s="1"/>
      <c r="N361" s="1"/>
      <c r="O361" s="1"/>
      <c r="P361" s="1"/>
      <c r="Q361" s="1"/>
      <c r="R361" s="1"/>
      <c r="S361" s="1"/>
      <c r="T361" s="1"/>
      <c r="U361" s="1"/>
      <c r="V361" s="1"/>
      <c r="W361" s="1"/>
      <c r="X361" s="1"/>
      <c r="Y361" s="1"/>
    </row>
    <row r="362" spans="1:25">
      <c r="A362" s="1"/>
      <c r="B362" s="1"/>
      <c r="C362" s="1"/>
      <c r="D362" s="1"/>
      <c r="E362" s="1"/>
      <c r="F362" s="1"/>
      <c r="G362" s="1"/>
      <c r="H362" s="3"/>
      <c r="I362" s="1"/>
      <c r="J362" s="1"/>
      <c r="K362" s="1"/>
      <c r="L362" s="1"/>
      <c r="M362" s="1"/>
      <c r="N362" s="1"/>
      <c r="O362" s="1"/>
      <c r="P362" s="1"/>
      <c r="Q362" s="1"/>
      <c r="R362" s="1"/>
      <c r="S362" s="1"/>
      <c r="T362" s="1"/>
      <c r="U362" s="1"/>
      <c r="V362" s="1"/>
      <c r="W362" s="1"/>
      <c r="X362" s="1"/>
      <c r="Y362" s="1"/>
    </row>
    <row r="363" spans="1:25">
      <c r="A363" s="1"/>
      <c r="B363" s="1"/>
      <c r="C363" s="1"/>
      <c r="D363" s="1"/>
      <c r="E363" s="1"/>
      <c r="F363" s="1"/>
      <c r="G363" s="1"/>
      <c r="H363" s="3"/>
      <c r="I363" s="1"/>
      <c r="J363" s="1"/>
      <c r="K363" s="1"/>
      <c r="L363" s="1"/>
      <c r="M363" s="1"/>
      <c r="N363" s="1"/>
      <c r="O363" s="1"/>
      <c r="P363" s="1"/>
      <c r="Q363" s="1"/>
      <c r="R363" s="1"/>
      <c r="S363" s="1"/>
      <c r="T363" s="1"/>
      <c r="U363" s="1"/>
      <c r="V363" s="1"/>
      <c r="W363" s="1"/>
      <c r="X363" s="1"/>
      <c r="Y363" s="1"/>
    </row>
    <row r="364" spans="1:25">
      <c r="A364" s="1"/>
      <c r="B364" s="1"/>
      <c r="C364" s="1"/>
      <c r="D364" s="1"/>
      <c r="E364" s="1"/>
      <c r="F364" s="1"/>
      <c r="G364" s="1"/>
      <c r="H364" s="3"/>
      <c r="I364" s="1"/>
      <c r="J364" s="1"/>
      <c r="K364" s="1"/>
      <c r="L364" s="1"/>
      <c r="M364" s="1"/>
      <c r="N364" s="1"/>
      <c r="O364" s="1"/>
      <c r="P364" s="1"/>
      <c r="Q364" s="1"/>
      <c r="R364" s="1"/>
      <c r="S364" s="1"/>
      <c r="T364" s="1"/>
      <c r="U364" s="1"/>
      <c r="V364" s="1"/>
      <c r="W364" s="1"/>
      <c r="X364" s="1"/>
      <c r="Y364" s="1"/>
    </row>
    <row r="365" spans="1:25">
      <c r="A365" s="1"/>
      <c r="B365" s="1"/>
      <c r="C365" s="1"/>
      <c r="D365" s="1"/>
      <c r="E365" s="1"/>
      <c r="F365" s="1"/>
      <c r="G365" s="1"/>
      <c r="H365" s="3"/>
      <c r="I365" s="1"/>
      <c r="J365" s="1"/>
      <c r="K365" s="1"/>
      <c r="L365" s="1"/>
      <c r="M365" s="1"/>
      <c r="N365" s="1"/>
      <c r="O365" s="1"/>
      <c r="P365" s="1"/>
      <c r="Q365" s="1"/>
      <c r="R365" s="1"/>
      <c r="S365" s="1"/>
      <c r="T365" s="1"/>
      <c r="U365" s="1"/>
      <c r="V365" s="1"/>
      <c r="W365" s="1"/>
      <c r="X365" s="1"/>
      <c r="Y365" s="1"/>
    </row>
    <row r="366" spans="1:25">
      <c r="A366" s="1"/>
      <c r="B366" s="1"/>
      <c r="C366" s="1"/>
      <c r="D366" s="1"/>
      <c r="E366" s="1"/>
      <c r="F366" s="1"/>
      <c r="G366" s="1"/>
      <c r="H366" s="3"/>
      <c r="I366" s="1"/>
      <c r="J366" s="1"/>
      <c r="K366" s="1"/>
      <c r="L366" s="1"/>
      <c r="M366" s="1"/>
      <c r="N366" s="1"/>
      <c r="O366" s="1"/>
      <c r="P366" s="1"/>
      <c r="Q366" s="1"/>
      <c r="R366" s="1"/>
      <c r="S366" s="1"/>
      <c r="T366" s="1"/>
      <c r="U366" s="1"/>
      <c r="V366" s="1"/>
      <c r="W366" s="1"/>
      <c r="X366" s="1"/>
      <c r="Y366" s="1"/>
    </row>
    <row r="367" spans="1:25">
      <c r="A367" s="1"/>
      <c r="B367" s="1"/>
      <c r="C367" s="1"/>
      <c r="D367" s="1"/>
      <c r="E367" s="1"/>
      <c r="F367" s="1"/>
      <c r="G367" s="1"/>
      <c r="H367" s="3"/>
      <c r="I367" s="1"/>
      <c r="J367" s="1"/>
      <c r="K367" s="1"/>
      <c r="L367" s="1"/>
      <c r="M367" s="1"/>
      <c r="N367" s="1"/>
      <c r="O367" s="1"/>
      <c r="P367" s="1"/>
      <c r="Q367" s="1"/>
      <c r="R367" s="1"/>
      <c r="S367" s="1"/>
      <c r="T367" s="1"/>
      <c r="U367" s="1"/>
      <c r="V367" s="1"/>
      <c r="W367" s="1"/>
      <c r="X367" s="1"/>
      <c r="Y367" s="1"/>
    </row>
    <row r="368" spans="1:25">
      <c r="A368" s="1"/>
      <c r="B368" s="1"/>
      <c r="C368" s="1"/>
      <c r="D368" s="1"/>
      <c r="E368" s="1"/>
      <c r="F368" s="1"/>
      <c r="G368" s="1"/>
      <c r="H368" s="3"/>
      <c r="I368" s="1"/>
      <c r="J368" s="1"/>
      <c r="K368" s="1"/>
      <c r="L368" s="1"/>
      <c r="M368" s="1"/>
      <c r="N368" s="1"/>
      <c r="O368" s="1"/>
      <c r="P368" s="1"/>
      <c r="Q368" s="1"/>
      <c r="R368" s="1"/>
      <c r="S368" s="1"/>
      <c r="T368" s="1"/>
      <c r="U368" s="1"/>
      <c r="V368" s="1"/>
      <c r="W368" s="1"/>
      <c r="X368" s="1"/>
      <c r="Y368" s="1"/>
    </row>
    <row r="369" spans="1:25">
      <c r="A369" s="1"/>
      <c r="B369" s="1"/>
      <c r="C369" s="1"/>
      <c r="D369" s="1"/>
      <c r="E369" s="1"/>
      <c r="F369" s="1"/>
      <c r="G369" s="1"/>
      <c r="H369" s="3"/>
      <c r="I369" s="1"/>
      <c r="J369" s="1"/>
      <c r="K369" s="1"/>
      <c r="L369" s="1"/>
      <c r="M369" s="1"/>
      <c r="N369" s="1"/>
      <c r="O369" s="1"/>
      <c r="P369" s="1"/>
      <c r="Q369" s="1"/>
      <c r="R369" s="1"/>
      <c r="S369" s="1"/>
      <c r="T369" s="1"/>
      <c r="U369" s="1"/>
      <c r="V369" s="1"/>
      <c r="W369" s="1"/>
      <c r="X369" s="1"/>
      <c r="Y369" s="1"/>
    </row>
    <row r="370" spans="1:25">
      <c r="A370" s="1"/>
      <c r="B370" s="1"/>
      <c r="C370" s="1"/>
      <c r="D370" s="1"/>
      <c r="E370" s="1"/>
      <c r="F370" s="1"/>
      <c r="G370" s="1"/>
      <c r="H370" s="3"/>
      <c r="I370" s="1"/>
      <c r="J370" s="1"/>
      <c r="K370" s="1"/>
      <c r="L370" s="1"/>
      <c r="M370" s="1"/>
      <c r="N370" s="1"/>
      <c r="O370" s="1"/>
      <c r="P370" s="1"/>
      <c r="Q370" s="1"/>
      <c r="R370" s="1"/>
      <c r="S370" s="1"/>
      <c r="T370" s="1"/>
      <c r="U370" s="1"/>
      <c r="V370" s="1"/>
      <c r="W370" s="1"/>
      <c r="X370" s="1"/>
      <c r="Y370" s="1"/>
    </row>
    <row r="371" spans="1:25">
      <c r="A371" s="1"/>
      <c r="B371" s="1"/>
      <c r="C371" s="1"/>
      <c r="D371" s="1"/>
      <c r="E371" s="1"/>
      <c r="F371" s="1"/>
      <c r="G371" s="1"/>
      <c r="H371" s="3"/>
      <c r="I371" s="1"/>
      <c r="J371" s="1"/>
      <c r="K371" s="1"/>
      <c r="L371" s="1"/>
      <c r="M371" s="1"/>
      <c r="N371" s="1"/>
      <c r="O371" s="1"/>
      <c r="P371" s="1"/>
      <c r="Q371" s="1"/>
      <c r="R371" s="1"/>
      <c r="S371" s="1"/>
      <c r="T371" s="1"/>
      <c r="U371" s="1"/>
      <c r="V371" s="1"/>
      <c r="W371" s="1"/>
      <c r="X371" s="1"/>
      <c r="Y371" s="1"/>
    </row>
    <row r="372" spans="1:25">
      <c r="A372" s="1"/>
      <c r="B372" s="1"/>
      <c r="C372" s="1"/>
      <c r="D372" s="1"/>
      <c r="E372" s="1"/>
      <c r="F372" s="1"/>
      <c r="G372" s="1"/>
      <c r="H372" s="3"/>
      <c r="I372" s="1"/>
      <c r="J372" s="1"/>
      <c r="K372" s="1"/>
      <c r="L372" s="1"/>
      <c r="M372" s="1"/>
      <c r="N372" s="1"/>
      <c r="O372" s="1"/>
      <c r="P372" s="1"/>
      <c r="Q372" s="1"/>
      <c r="R372" s="1"/>
      <c r="S372" s="1"/>
      <c r="T372" s="1"/>
      <c r="U372" s="1"/>
      <c r="V372" s="1"/>
      <c r="W372" s="1"/>
      <c r="X372" s="1"/>
      <c r="Y372" s="1"/>
    </row>
    <row r="373" spans="1:25">
      <c r="A373" s="1"/>
      <c r="B373" s="1"/>
      <c r="C373" s="1"/>
      <c r="D373" s="1"/>
      <c r="E373" s="1"/>
      <c r="F373" s="1"/>
      <c r="G373" s="1"/>
      <c r="H373" s="3"/>
      <c r="I373" s="1"/>
      <c r="J373" s="1"/>
      <c r="K373" s="1"/>
      <c r="L373" s="1"/>
      <c r="M373" s="1"/>
      <c r="N373" s="1"/>
      <c r="O373" s="1"/>
      <c r="P373" s="1"/>
      <c r="Q373" s="1"/>
      <c r="R373" s="1"/>
      <c r="S373" s="1"/>
      <c r="T373" s="1"/>
      <c r="U373" s="1"/>
      <c r="V373" s="1"/>
      <c r="W373" s="1"/>
      <c r="X373" s="1"/>
      <c r="Y373" s="1"/>
    </row>
    <row r="374" spans="1:25">
      <c r="A374" s="1"/>
      <c r="B374" s="1"/>
      <c r="C374" s="1"/>
      <c r="D374" s="1"/>
      <c r="E374" s="1"/>
      <c r="F374" s="1"/>
      <c r="G374" s="1"/>
      <c r="H374" s="3"/>
      <c r="I374" s="1"/>
      <c r="J374" s="1"/>
      <c r="K374" s="1"/>
      <c r="L374" s="1"/>
      <c r="M374" s="1"/>
      <c r="N374" s="1"/>
      <c r="O374" s="1"/>
      <c r="P374" s="1"/>
      <c r="Q374" s="1"/>
      <c r="R374" s="1"/>
      <c r="S374" s="1"/>
      <c r="T374" s="1"/>
      <c r="U374" s="1"/>
      <c r="V374" s="1"/>
      <c r="W374" s="1"/>
      <c r="X374" s="1"/>
      <c r="Y374" s="1"/>
    </row>
    <row r="375" spans="1:25">
      <c r="A375" s="1"/>
      <c r="B375" s="1"/>
      <c r="C375" s="1"/>
      <c r="D375" s="1"/>
      <c r="E375" s="1"/>
      <c r="F375" s="1"/>
      <c r="G375" s="1"/>
      <c r="H375" s="3"/>
      <c r="I375" s="1"/>
      <c r="J375" s="1"/>
      <c r="K375" s="1"/>
      <c r="L375" s="1"/>
      <c r="M375" s="1"/>
      <c r="N375" s="1"/>
      <c r="O375" s="1"/>
      <c r="P375" s="1"/>
      <c r="Q375" s="1"/>
      <c r="R375" s="1"/>
      <c r="S375" s="1"/>
      <c r="T375" s="1"/>
      <c r="U375" s="1"/>
      <c r="V375" s="1"/>
      <c r="W375" s="1"/>
      <c r="X375" s="1"/>
      <c r="Y375" s="1"/>
    </row>
    <row r="376" spans="1:25">
      <c r="A376" s="1"/>
      <c r="B376" s="1"/>
      <c r="C376" s="1"/>
      <c r="D376" s="1"/>
      <c r="E376" s="1"/>
      <c r="F376" s="1"/>
      <c r="G376" s="1"/>
      <c r="H376" s="3"/>
      <c r="I376" s="1"/>
      <c r="J376" s="1"/>
      <c r="K376" s="1"/>
      <c r="L376" s="1"/>
      <c r="M376" s="1"/>
      <c r="N376" s="1"/>
      <c r="O376" s="1"/>
      <c r="P376" s="1"/>
      <c r="Q376" s="1"/>
      <c r="R376" s="1"/>
      <c r="S376" s="1"/>
      <c r="T376" s="1"/>
      <c r="U376" s="1"/>
      <c r="V376" s="1"/>
      <c r="W376" s="1"/>
      <c r="X376" s="1"/>
      <c r="Y376" s="1"/>
    </row>
    <row r="377" spans="1:25">
      <c r="A377" s="1"/>
      <c r="B377" s="1"/>
      <c r="C377" s="1"/>
      <c r="D377" s="1"/>
      <c r="E377" s="1"/>
      <c r="F377" s="1"/>
      <c r="G377" s="1"/>
      <c r="H377" s="3"/>
      <c r="I377" s="1"/>
      <c r="J377" s="1"/>
      <c r="K377" s="1"/>
      <c r="L377" s="1"/>
      <c r="M377" s="1"/>
      <c r="N377" s="1"/>
      <c r="O377" s="1"/>
      <c r="P377" s="1"/>
      <c r="Q377" s="1"/>
      <c r="R377" s="1"/>
      <c r="S377" s="1"/>
      <c r="T377" s="1"/>
      <c r="U377" s="1"/>
      <c r="V377" s="1"/>
      <c r="W377" s="1"/>
      <c r="X377" s="1"/>
      <c r="Y377" s="1"/>
    </row>
    <row r="378" spans="1:25">
      <c r="A378" s="1"/>
      <c r="B378" s="1"/>
      <c r="C378" s="1"/>
      <c r="D378" s="1"/>
      <c r="E378" s="1"/>
      <c r="F378" s="1"/>
      <c r="G378" s="1"/>
      <c r="H378" s="3"/>
      <c r="I378" s="1"/>
      <c r="J378" s="1"/>
      <c r="K378" s="1"/>
      <c r="L378" s="1"/>
      <c r="M378" s="1"/>
      <c r="N378" s="1"/>
      <c r="O378" s="1"/>
      <c r="P378" s="1"/>
      <c r="Q378" s="1"/>
      <c r="R378" s="1"/>
      <c r="S378" s="1"/>
      <c r="T378" s="1"/>
      <c r="U378" s="1"/>
      <c r="V378" s="1"/>
      <c r="W378" s="1"/>
      <c r="X378" s="1"/>
      <c r="Y378" s="1"/>
    </row>
    <row r="379" spans="1:25">
      <c r="A379" s="1"/>
      <c r="B379" s="1"/>
      <c r="C379" s="1"/>
      <c r="D379" s="1"/>
      <c r="E379" s="1"/>
      <c r="F379" s="1"/>
      <c r="G379" s="1"/>
      <c r="H379" s="3"/>
      <c r="I379" s="1"/>
      <c r="J379" s="1"/>
      <c r="K379" s="1"/>
      <c r="L379" s="1"/>
      <c r="M379" s="1"/>
      <c r="N379" s="1"/>
      <c r="O379" s="1"/>
      <c r="P379" s="1"/>
      <c r="Q379" s="1"/>
      <c r="R379" s="1"/>
      <c r="S379" s="1"/>
      <c r="T379" s="1"/>
      <c r="U379" s="1"/>
      <c r="V379" s="1"/>
      <c r="W379" s="1"/>
      <c r="X379" s="1"/>
      <c r="Y379" s="1"/>
    </row>
    <row r="380" spans="1:25">
      <c r="A380" s="1"/>
      <c r="B380" s="1"/>
      <c r="C380" s="1"/>
      <c r="D380" s="1"/>
      <c r="E380" s="1"/>
      <c r="F380" s="1"/>
      <c r="G380" s="1"/>
      <c r="H380" s="3"/>
      <c r="I380" s="1"/>
      <c r="J380" s="1"/>
      <c r="K380" s="1"/>
      <c r="L380" s="1"/>
      <c r="M380" s="1"/>
      <c r="N380" s="1"/>
      <c r="O380" s="1"/>
      <c r="P380" s="1"/>
      <c r="Q380" s="1"/>
      <c r="R380" s="1"/>
      <c r="S380" s="1"/>
      <c r="T380" s="1"/>
      <c r="U380" s="1"/>
      <c r="V380" s="1"/>
      <c r="W380" s="1"/>
      <c r="X380" s="1"/>
      <c r="Y380" s="1"/>
    </row>
    <row r="381" spans="1:25">
      <c r="A381" s="1"/>
      <c r="B381" s="1"/>
      <c r="C381" s="1"/>
      <c r="D381" s="1"/>
      <c r="E381" s="1"/>
      <c r="F381" s="1"/>
      <c r="G381" s="1"/>
      <c r="H381" s="3"/>
      <c r="I381" s="1"/>
      <c r="J381" s="1"/>
      <c r="K381" s="1"/>
      <c r="L381" s="1"/>
      <c r="M381" s="1"/>
      <c r="N381" s="1"/>
      <c r="O381" s="1"/>
      <c r="P381" s="1"/>
      <c r="Q381" s="1"/>
      <c r="R381" s="1"/>
      <c r="S381" s="1"/>
      <c r="T381" s="1"/>
      <c r="U381" s="1"/>
      <c r="V381" s="1"/>
      <c r="W381" s="1"/>
      <c r="X381" s="1"/>
      <c r="Y381" s="1"/>
    </row>
    <row r="382" spans="1:25">
      <c r="A382" s="1"/>
      <c r="B382" s="1"/>
      <c r="C382" s="1"/>
      <c r="D382" s="1"/>
      <c r="E382" s="1"/>
      <c r="F382" s="1"/>
      <c r="G382" s="1"/>
      <c r="H382" s="3"/>
      <c r="I382" s="1"/>
      <c r="J382" s="1"/>
      <c r="K382" s="1"/>
      <c r="L382" s="1"/>
      <c r="M382" s="1"/>
      <c r="N382" s="1"/>
      <c r="O382" s="1"/>
      <c r="P382" s="1"/>
      <c r="Q382" s="1"/>
      <c r="R382" s="1"/>
      <c r="S382" s="1"/>
      <c r="T382" s="1"/>
      <c r="U382" s="1"/>
      <c r="V382" s="1"/>
      <c r="W382" s="1"/>
      <c r="X382" s="1"/>
      <c r="Y382" s="1"/>
    </row>
    <row r="383" spans="1:25">
      <c r="A383" s="1"/>
      <c r="B383" s="1"/>
      <c r="C383" s="1"/>
      <c r="D383" s="1"/>
      <c r="E383" s="1"/>
      <c r="F383" s="1"/>
      <c r="G383" s="1"/>
      <c r="H383" s="3"/>
      <c r="I383" s="1"/>
      <c r="J383" s="1"/>
      <c r="K383" s="1"/>
      <c r="L383" s="1"/>
      <c r="M383" s="1"/>
      <c r="N383" s="1"/>
      <c r="O383" s="1"/>
      <c r="P383" s="1"/>
      <c r="Q383" s="1"/>
      <c r="R383" s="1"/>
      <c r="S383" s="1"/>
      <c r="T383" s="1"/>
      <c r="U383" s="1"/>
      <c r="V383" s="1"/>
      <c r="W383" s="1"/>
      <c r="X383" s="1"/>
      <c r="Y383" s="1"/>
    </row>
    <row r="384" spans="1:25">
      <c r="A384" s="1"/>
      <c r="B384" s="1"/>
      <c r="C384" s="1"/>
      <c r="D384" s="1"/>
      <c r="E384" s="1"/>
      <c r="F384" s="1"/>
      <c r="G384" s="1"/>
      <c r="H384" s="3"/>
      <c r="I384" s="1"/>
      <c r="J384" s="1"/>
      <c r="K384" s="1"/>
      <c r="L384" s="1"/>
      <c r="M384" s="1"/>
      <c r="N384" s="1"/>
      <c r="O384" s="1"/>
      <c r="P384" s="1"/>
      <c r="Q384" s="1"/>
      <c r="R384" s="1"/>
      <c r="S384" s="1"/>
      <c r="T384" s="1"/>
      <c r="U384" s="1"/>
      <c r="V384" s="1"/>
      <c r="W384" s="1"/>
      <c r="X384" s="1"/>
      <c r="Y384" s="1"/>
    </row>
    <row r="385" spans="1:25">
      <c r="A385" s="1"/>
      <c r="B385" s="1"/>
      <c r="C385" s="1"/>
      <c r="D385" s="1"/>
      <c r="E385" s="1"/>
      <c r="F385" s="1"/>
      <c r="G385" s="1"/>
      <c r="H385" s="3"/>
      <c r="I385" s="1"/>
      <c r="J385" s="1"/>
      <c r="K385" s="1"/>
      <c r="L385" s="1"/>
      <c r="M385" s="1"/>
      <c r="N385" s="1"/>
      <c r="O385" s="1"/>
      <c r="P385" s="1"/>
      <c r="Q385" s="1"/>
      <c r="R385" s="1"/>
      <c r="S385" s="1"/>
      <c r="T385" s="1"/>
      <c r="U385" s="1"/>
      <c r="V385" s="1"/>
      <c r="W385" s="1"/>
      <c r="X385" s="1"/>
      <c r="Y385" s="1"/>
    </row>
    <row r="386" spans="1:25">
      <c r="A386" s="1"/>
      <c r="B386" s="1"/>
      <c r="C386" s="1"/>
      <c r="D386" s="1"/>
      <c r="E386" s="1"/>
      <c r="F386" s="1"/>
      <c r="G386" s="1"/>
      <c r="H386" s="3"/>
      <c r="I386" s="1"/>
      <c r="J386" s="1"/>
      <c r="K386" s="1"/>
      <c r="L386" s="1"/>
      <c r="M386" s="1"/>
      <c r="N386" s="1"/>
      <c r="O386" s="1"/>
      <c r="P386" s="1"/>
      <c r="Q386" s="1"/>
      <c r="R386" s="1"/>
      <c r="S386" s="1"/>
      <c r="T386" s="1"/>
      <c r="U386" s="1"/>
      <c r="V386" s="1"/>
      <c r="W386" s="1"/>
      <c r="X386" s="1"/>
      <c r="Y386" s="1"/>
    </row>
    <row r="387" spans="1:25">
      <c r="A387" s="1"/>
      <c r="B387" s="1"/>
      <c r="C387" s="1"/>
      <c r="D387" s="1"/>
      <c r="E387" s="1"/>
      <c r="F387" s="1"/>
      <c r="G387" s="1"/>
      <c r="H387" s="3"/>
      <c r="I387" s="1"/>
      <c r="J387" s="1"/>
      <c r="K387" s="1"/>
      <c r="L387" s="1"/>
      <c r="M387" s="1"/>
      <c r="N387" s="1"/>
      <c r="O387" s="1"/>
      <c r="P387" s="1"/>
      <c r="Q387" s="1"/>
      <c r="R387" s="1"/>
      <c r="S387" s="1"/>
      <c r="T387" s="1"/>
      <c r="U387" s="1"/>
      <c r="V387" s="1"/>
      <c r="W387" s="1"/>
      <c r="X387" s="1"/>
      <c r="Y387" s="1"/>
    </row>
    <row r="388" spans="1:25">
      <c r="A388" s="1"/>
      <c r="B388" s="1"/>
      <c r="C388" s="1"/>
      <c r="D388" s="1"/>
      <c r="E388" s="1"/>
      <c r="F388" s="1"/>
      <c r="G388" s="1"/>
      <c r="H388" s="3"/>
      <c r="I388" s="1"/>
      <c r="J388" s="1"/>
      <c r="K388" s="1"/>
      <c r="L388" s="1"/>
      <c r="M388" s="1"/>
      <c r="N388" s="1"/>
      <c r="O388" s="1"/>
      <c r="P388" s="1"/>
      <c r="Q388" s="1"/>
      <c r="R388" s="1"/>
      <c r="S388" s="1"/>
      <c r="T388" s="1"/>
      <c r="U388" s="1"/>
      <c r="V388" s="1"/>
      <c r="W388" s="1"/>
      <c r="X388" s="1"/>
      <c r="Y388" s="1"/>
    </row>
    <row r="389" spans="1:25">
      <c r="A389" s="1"/>
      <c r="B389" s="1"/>
      <c r="C389" s="1"/>
      <c r="D389" s="1"/>
      <c r="E389" s="1"/>
      <c r="F389" s="1"/>
      <c r="G389" s="1"/>
      <c r="H389" s="3"/>
      <c r="I389" s="1"/>
      <c r="J389" s="1"/>
      <c r="K389" s="1"/>
      <c r="L389" s="1"/>
      <c r="M389" s="1"/>
      <c r="N389" s="1"/>
      <c r="O389" s="1"/>
      <c r="P389" s="1"/>
      <c r="Q389" s="1"/>
      <c r="R389" s="1"/>
      <c r="S389" s="1"/>
      <c r="T389" s="1"/>
      <c r="U389" s="1"/>
      <c r="V389" s="1"/>
      <c r="W389" s="1"/>
      <c r="X389" s="1"/>
      <c r="Y389" s="1"/>
    </row>
    <row r="390" spans="1:25">
      <c r="A390" s="1"/>
      <c r="B390" s="1"/>
      <c r="C390" s="1"/>
      <c r="D390" s="1"/>
      <c r="E390" s="1"/>
      <c r="F390" s="1"/>
      <c r="G390" s="1"/>
      <c r="H390" s="3"/>
      <c r="I390" s="1"/>
      <c r="J390" s="1"/>
      <c r="K390" s="1"/>
      <c r="L390" s="1"/>
      <c r="M390" s="1"/>
      <c r="N390" s="1"/>
      <c r="O390" s="1"/>
      <c r="P390" s="1"/>
      <c r="Q390" s="1"/>
      <c r="R390" s="1"/>
      <c r="S390" s="1"/>
      <c r="T390" s="1"/>
      <c r="U390" s="1"/>
      <c r="V390" s="1"/>
      <c r="W390" s="1"/>
      <c r="X390" s="1"/>
      <c r="Y390" s="1"/>
    </row>
    <row r="391" spans="1:25">
      <c r="A391" s="1"/>
      <c r="B391" s="1"/>
      <c r="C391" s="1"/>
      <c r="D391" s="1"/>
      <c r="E391" s="1"/>
      <c r="F391" s="1"/>
      <c r="G391" s="1"/>
      <c r="H391" s="3"/>
      <c r="I391" s="1"/>
      <c r="J391" s="1"/>
      <c r="K391" s="1"/>
      <c r="L391" s="1"/>
      <c r="M391" s="1"/>
      <c r="N391" s="1"/>
      <c r="O391" s="1"/>
      <c r="P391" s="1"/>
      <c r="Q391" s="1"/>
      <c r="R391" s="1"/>
      <c r="S391" s="1"/>
      <c r="T391" s="1"/>
      <c r="U391" s="1"/>
      <c r="V391" s="1"/>
      <c r="W391" s="1"/>
      <c r="X391" s="1"/>
      <c r="Y391" s="1"/>
    </row>
    <row r="392" spans="1:25">
      <c r="A392" s="1"/>
      <c r="B392" s="1"/>
      <c r="C392" s="1"/>
      <c r="D392" s="1"/>
      <c r="E392" s="1"/>
      <c r="F392" s="1"/>
      <c r="G392" s="1"/>
      <c r="H392" s="3"/>
      <c r="I392" s="1"/>
      <c r="J392" s="1"/>
      <c r="K392" s="1"/>
      <c r="L392" s="1"/>
      <c r="M392" s="1"/>
      <c r="N392" s="1"/>
      <c r="O392" s="1"/>
      <c r="P392" s="1"/>
      <c r="Q392" s="1"/>
      <c r="R392" s="1"/>
      <c r="S392" s="1"/>
      <c r="T392" s="1"/>
      <c r="U392" s="1"/>
      <c r="V392" s="1"/>
      <c r="W392" s="1"/>
      <c r="X392" s="1"/>
      <c r="Y392" s="1"/>
    </row>
    <row r="393" spans="1:25">
      <c r="A393" s="1"/>
      <c r="B393" s="1"/>
      <c r="C393" s="1"/>
      <c r="D393" s="1"/>
      <c r="E393" s="1"/>
      <c r="F393" s="1"/>
      <c r="G393" s="1"/>
      <c r="H393" s="3"/>
      <c r="I393" s="1"/>
      <c r="J393" s="1"/>
      <c r="K393" s="1"/>
      <c r="L393" s="1"/>
      <c r="M393" s="1"/>
      <c r="N393" s="1"/>
      <c r="O393" s="1"/>
      <c r="P393" s="1"/>
      <c r="Q393" s="1"/>
      <c r="R393" s="1"/>
      <c r="S393" s="1"/>
      <c r="T393" s="1"/>
      <c r="U393" s="1"/>
      <c r="V393" s="1"/>
      <c r="W393" s="1"/>
      <c r="X393" s="1"/>
      <c r="Y393" s="1"/>
    </row>
    <row r="394" spans="1:25">
      <c r="A394" s="1"/>
      <c r="B394" s="1"/>
      <c r="C394" s="1"/>
      <c r="D394" s="1"/>
      <c r="E394" s="1"/>
      <c r="F394" s="1"/>
      <c r="G394" s="1"/>
      <c r="H394" s="3"/>
      <c r="I394" s="1"/>
      <c r="J394" s="1"/>
      <c r="K394" s="1"/>
      <c r="L394" s="1"/>
      <c r="M394" s="1"/>
      <c r="N394" s="1"/>
      <c r="O394" s="1"/>
      <c r="P394" s="1"/>
      <c r="Q394" s="1"/>
      <c r="R394" s="1"/>
      <c r="S394" s="1"/>
      <c r="T394" s="1"/>
      <c r="U394" s="1"/>
      <c r="V394" s="1"/>
      <c r="W394" s="1"/>
      <c r="X394" s="1"/>
      <c r="Y394" s="1"/>
    </row>
    <row r="395" spans="1:25">
      <c r="A395" s="1"/>
      <c r="B395" s="1"/>
      <c r="C395" s="1"/>
      <c r="D395" s="1"/>
      <c r="E395" s="1"/>
      <c r="F395" s="1"/>
      <c r="G395" s="1"/>
      <c r="H395" s="3"/>
      <c r="I395" s="1"/>
      <c r="J395" s="1"/>
      <c r="K395" s="1"/>
      <c r="L395" s="1"/>
      <c r="M395" s="1"/>
      <c r="N395" s="1"/>
      <c r="O395" s="1"/>
      <c r="P395" s="1"/>
      <c r="Q395" s="1"/>
      <c r="R395" s="1"/>
      <c r="S395" s="1"/>
      <c r="T395" s="1"/>
      <c r="U395" s="1"/>
      <c r="V395" s="1"/>
      <c r="W395" s="1"/>
      <c r="X395" s="1"/>
      <c r="Y395" s="1"/>
    </row>
    <row r="396" spans="1:25">
      <c r="A396" s="1"/>
      <c r="B396" s="1"/>
      <c r="C396" s="1"/>
      <c r="D396" s="1"/>
      <c r="E396" s="1"/>
      <c r="F396" s="1"/>
      <c r="G396" s="1"/>
      <c r="H396" s="3"/>
      <c r="I396" s="1"/>
      <c r="J396" s="1"/>
      <c r="K396" s="1"/>
      <c r="L396" s="1"/>
      <c r="M396" s="1"/>
      <c r="N396" s="1"/>
      <c r="O396" s="1"/>
      <c r="P396" s="1"/>
      <c r="Q396" s="1"/>
      <c r="R396" s="1"/>
      <c r="S396" s="1"/>
      <c r="T396" s="1"/>
      <c r="U396" s="1"/>
      <c r="V396" s="1"/>
      <c r="W396" s="1"/>
      <c r="X396" s="1"/>
      <c r="Y396" s="1"/>
    </row>
    <row r="397" spans="1:25">
      <c r="A397" s="1"/>
      <c r="B397" s="1"/>
      <c r="C397" s="1"/>
      <c r="D397" s="1"/>
      <c r="E397" s="1"/>
      <c r="F397" s="1"/>
      <c r="G397" s="1"/>
      <c r="H397" s="3"/>
      <c r="I397" s="1"/>
      <c r="J397" s="1"/>
      <c r="K397" s="1"/>
      <c r="L397" s="1"/>
      <c r="M397" s="1"/>
      <c r="N397" s="1"/>
      <c r="O397" s="1"/>
      <c r="P397" s="1"/>
      <c r="Q397" s="1"/>
      <c r="R397" s="1"/>
      <c r="S397" s="1"/>
      <c r="T397" s="1"/>
      <c r="U397" s="1"/>
      <c r="V397" s="1"/>
      <c r="W397" s="1"/>
      <c r="X397" s="1"/>
      <c r="Y397" s="1"/>
    </row>
    <row r="398" spans="1:25">
      <c r="A398" s="1"/>
      <c r="B398" s="1"/>
      <c r="C398" s="1"/>
      <c r="D398" s="1"/>
      <c r="E398" s="1"/>
      <c r="F398" s="1"/>
      <c r="G398" s="1"/>
      <c r="H398" s="3"/>
      <c r="I398" s="1"/>
      <c r="J398" s="1"/>
      <c r="K398" s="1"/>
      <c r="L398" s="1"/>
      <c r="M398" s="1"/>
      <c r="N398" s="1"/>
      <c r="O398" s="1"/>
      <c r="P398" s="1"/>
      <c r="Q398" s="1"/>
      <c r="R398" s="1"/>
      <c r="S398" s="1"/>
      <c r="T398" s="1"/>
      <c r="U398" s="1"/>
      <c r="V398" s="1"/>
      <c r="W398" s="1"/>
      <c r="X398" s="1"/>
      <c r="Y398" s="1"/>
    </row>
    <row r="399" spans="1:25">
      <c r="A399" s="1"/>
      <c r="B399" s="1"/>
      <c r="C399" s="1"/>
      <c r="D399" s="1"/>
      <c r="E399" s="1"/>
      <c r="F399" s="1"/>
      <c r="G399" s="1"/>
      <c r="H399" s="3"/>
      <c r="I399" s="1"/>
      <c r="J399" s="1"/>
      <c r="K399" s="1"/>
      <c r="L399" s="1"/>
      <c r="M399" s="1"/>
      <c r="N399" s="1"/>
      <c r="O399" s="1"/>
      <c r="P399" s="1"/>
      <c r="Q399" s="1"/>
      <c r="R399" s="1"/>
      <c r="S399" s="1"/>
      <c r="T399" s="1"/>
      <c r="U399" s="1"/>
      <c r="V399" s="1"/>
      <c r="W399" s="1"/>
      <c r="X399" s="1"/>
      <c r="Y399" s="1"/>
    </row>
    <row r="400" spans="1:25">
      <c r="A400" s="1"/>
      <c r="B400" s="1"/>
      <c r="C400" s="1"/>
      <c r="D400" s="1"/>
      <c r="E400" s="1"/>
      <c r="F400" s="1"/>
      <c r="G400" s="1"/>
      <c r="H400" s="3"/>
      <c r="I400" s="1"/>
      <c r="J400" s="1"/>
      <c r="K400" s="1"/>
      <c r="L400" s="1"/>
      <c r="M400" s="1"/>
      <c r="N400" s="1"/>
      <c r="O400" s="1"/>
      <c r="P400" s="1"/>
      <c r="Q400" s="1"/>
      <c r="R400" s="1"/>
      <c r="S400" s="1"/>
      <c r="T400" s="1"/>
      <c r="U400" s="1"/>
      <c r="V400" s="1"/>
      <c r="W400" s="1"/>
      <c r="X400" s="1"/>
      <c r="Y400" s="1"/>
    </row>
    <row r="401" spans="1:25">
      <c r="A401" s="1"/>
      <c r="B401" s="1"/>
      <c r="C401" s="1"/>
      <c r="D401" s="1"/>
      <c r="E401" s="1"/>
      <c r="F401" s="1"/>
      <c r="G401" s="1"/>
      <c r="H401" s="3"/>
      <c r="I401" s="1"/>
      <c r="J401" s="1"/>
      <c r="K401" s="1"/>
      <c r="L401" s="1"/>
      <c r="M401" s="1"/>
      <c r="N401" s="1"/>
      <c r="O401" s="1"/>
      <c r="P401" s="1"/>
      <c r="Q401" s="1"/>
      <c r="R401" s="1"/>
      <c r="S401" s="1"/>
      <c r="T401" s="1"/>
      <c r="U401" s="1"/>
      <c r="V401" s="1"/>
      <c r="W401" s="1"/>
      <c r="X401" s="1"/>
      <c r="Y401" s="1"/>
    </row>
    <row r="402" spans="1:25">
      <c r="A402" s="1"/>
      <c r="B402" s="1"/>
      <c r="C402" s="1"/>
      <c r="D402" s="1"/>
      <c r="E402" s="1"/>
      <c r="F402" s="1"/>
      <c r="G402" s="1"/>
      <c r="H402" s="3"/>
      <c r="I402" s="1"/>
      <c r="J402" s="1"/>
      <c r="K402" s="1"/>
      <c r="L402" s="1"/>
      <c r="M402" s="1"/>
      <c r="N402" s="1"/>
      <c r="O402" s="1"/>
      <c r="P402" s="1"/>
      <c r="Q402" s="1"/>
      <c r="R402" s="1"/>
      <c r="S402" s="1"/>
      <c r="T402" s="1"/>
      <c r="U402" s="1"/>
      <c r="V402" s="1"/>
      <c r="W402" s="1"/>
      <c r="X402" s="1"/>
      <c r="Y402" s="1"/>
    </row>
    <row r="403" spans="1:25">
      <c r="A403" s="1"/>
      <c r="B403" s="1"/>
      <c r="C403" s="1"/>
      <c r="D403" s="1"/>
      <c r="E403" s="1"/>
      <c r="F403" s="1"/>
      <c r="G403" s="1"/>
      <c r="H403" s="3"/>
      <c r="I403" s="1"/>
      <c r="J403" s="1"/>
      <c r="K403" s="1"/>
      <c r="L403" s="1"/>
      <c r="M403" s="1"/>
      <c r="N403" s="1"/>
      <c r="O403" s="1"/>
      <c r="P403" s="1"/>
      <c r="Q403" s="1"/>
      <c r="R403" s="1"/>
      <c r="S403" s="1"/>
      <c r="T403" s="1"/>
      <c r="U403" s="1"/>
      <c r="V403" s="1"/>
      <c r="W403" s="1"/>
      <c r="X403" s="1"/>
      <c r="Y403" s="1"/>
    </row>
    <row r="404" spans="1:25">
      <c r="A404" s="1"/>
      <c r="B404" s="1"/>
      <c r="C404" s="1"/>
      <c r="D404" s="1"/>
      <c r="E404" s="1"/>
      <c r="F404" s="1"/>
      <c r="G404" s="1"/>
      <c r="H404" s="3"/>
      <c r="I404" s="1"/>
      <c r="J404" s="1"/>
      <c r="K404" s="1"/>
      <c r="L404" s="1"/>
      <c r="M404" s="1"/>
      <c r="N404" s="1"/>
      <c r="O404" s="1"/>
      <c r="P404" s="1"/>
      <c r="Q404" s="1"/>
      <c r="R404" s="1"/>
      <c r="S404" s="1"/>
      <c r="T404" s="1"/>
      <c r="U404" s="1"/>
      <c r="V404" s="1"/>
      <c r="W404" s="1"/>
      <c r="X404" s="1"/>
      <c r="Y404" s="1"/>
    </row>
    <row r="405" spans="1:25">
      <c r="A405" s="1"/>
      <c r="B405" s="1"/>
      <c r="C405" s="1"/>
      <c r="D405" s="1"/>
      <c r="E405" s="1"/>
      <c r="F405" s="1"/>
      <c r="G405" s="1"/>
      <c r="H405" s="3"/>
      <c r="I405" s="1"/>
      <c r="J405" s="1"/>
      <c r="K405" s="1"/>
      <c r="L405" s="1"/>
      <c r="M405" s="1"/>
      <c r="N405" s="1"/>
      <c r="O405" s="1"/>
      <c r="P405" s="1"/>
      <c r="Q405" s="1"/>
      <c r="R405" s="1"/>
      <c r="S405" s="1"/>
      <c r="T405" s="1"/>
      <c r="U405" s="1"/>
      <c r="V405" s="1"/>
      <c r="W405" s="1"/>
      <c r="X405" s="1"/>
      <c r="Y405" s="1"/>
    </row>
    <row r="406" spans="1:25">
      <c r="A406" s="1"/>
      <c r="B406" s="1"/>
      <c r="C406" s="1"/>
      <c r="D406" s="1"/>
      <c r="E406" s="1"/>
      <c r="F406" s="1"/>
      <c r="G406" s="1"/>
      <c r="H406" s="3"/>
      <c r="I406" s="1"/>
      <c r="J406" s="1"/>
      <c r="K406" s="1"/>
      <c r="L406" s="1"/>
      <c r="M406" s="1"/>
      <c r="N406" s="1"/>
      <c r="O406" s="1"/>
      <c r="P406" s="1"/>
      <c r="Q406" s="1"/>
      <c r="R406" s="1"/>
      <c r="S406" s="1"/>
      <c r="T406" s="1"/>
      <c r="U406" s="1"/>
      <c r="V406" s="1"/>
      <c r="W406" s="1"/>
      <c r="X406" s="1"/>
      <c r="Y406" s="1"/>
    </row>
    <row r="407" spans="1:25">
      <c r="A407" s="1"/>
      <c r="B407" s="1"/>
      <c r="C407" s="1"/>
      <c r="D407" s="1"/>
      <c r="E407" s="1"/>
      <c r="F407" s="1"/>
      <c r="G407" s="1"/>
      <c r="H407" s="3"/>
      <c r="I407" s="1"/>
      <c r="J407" s="1"/>
      <c r="K407" s="1"/>
      <c r="L407" s="1"/>
      <c r="M407" s="1"/>
      <c r="N407" s="1"/>
      <c r="O407" s="1"/>
      <c r="P407" s="1"/>
      <c r="Q407" s="1"/>
      <c r="R407" s="1"/>
      <c r="S407" s="1"/>
      <c r="T407" s="1"/>
      <c r="U407" s="1"/>
      <c r="V407" s="1"/>
      <c r="W407" s="1"/>
      <c r="X407" s="1"/>
      <c r="Y407" s="1"/>
    </row>
    <row r="408" spans="1:25">
      <c r="A408" s="1"/>
      <c r="B408" s="1"/>
      <c r="C408" s="1"/>
      <c r="D408" s="1"/>
      <c r="E408" s="1"/>
      <c r="F408" s="1"/>
      <c r="G408" s="1"/>
      <c r="H408" s="3"/>
      <c r="I408" s="1"/>
      <c r="J408" s="1"/>
      <c r="K408" s="1"/>
      <c r="L408" s="1"/>
      <c r="M408" s="1"/>
      <c r="N408" s="1"/>
      <c r="O408" s="1"/>
      <c r="P408" s="1"/>
      <c r="Q408" s="1"/>
      <c r="R408" s="1"/>
      <c r="S408" s="1"/>
      <c r="T408" s="1"/>
      <c r="U408" s="1"/>
      <c r="V408" s="1"/>
      <c r="W408" s="1"/>
      <c r="X408" s="1"/>
      <c r="Y408" s="1"/>
    </row>
    <row r="409" spans="1:25">
      <c r="A409" s="1"/>
      <c r="B409" s="1"/>
      <c r="C409" s="1"/>
      <c r="D409" s="1"/>
      <c r="E409" s="1"/>
      <c r="F409" s="1"/>
      <c r="G409" s="1"/>
      <c r="H409" s="3"/>
      <c r="I409" s="1"/>
      <c r="J409" s="1"/>
      <c r="K409" s="1"/>
      <c r="L409" s="1"/>
      <c r="M409" s="1"/>
      <c r="N409" s="1"/>
      <c r="O409" s="1"/>
      <c r="P409" s="1"/>
      <c r="Q409" s="1"/>
      <c r="R409" s="1"/>
      <c r="S409" s="1"/>
      <c r="T409" s="1"/>
      <c r="U409" s="1"/>
      <c r="V409" s="1"/>
      <c r="W409" s="1"/>
      <c r="X409" s="1"/>
      <c r="Y409" s="1"/>
    </row>
    <row r="410" spans="1:25">
      <c r="A410" s="1"/>
      <c r="B410" s="1"/>
      <c r="C410" s="1"/>
      <c r="D410" s="1"/>
      <c r="E410" s="1"/>
      <c r="F410" s="1"/>
      <c r="G410" s="1"/>
      <c r="H410" s="3"/>
      <c r="I410" s="1"/>
      <c r="J410" s="1"/>
      <c r="K410" s="1"/>
      <c r="L410" s="1"/>
      <c r="M410" s="1"/>
      <c r="N410" s="1"/>
      <c r="O410" s="1"/>
      <c r="P410" s="1"/>
      <c r="Q410" s="1"/>
      <c r="R410" s="1"/>
      <c r="S410" s="1"/>
      <c r="T410" s="1"/>
      <c r="U410" s="1"/>
      <c r="V410" s="1"/>
      <c r="W410" s="1"/>
      <c r="X410" s="1"/>
      <c r="Y410" s="1"/>
    </row>
    <row r="411" spans="1:25">
      <c r="A411" s="1"/>
      <c r="B411" s="1"/>
      <c r="C411" s="1"/>
      <c r="D411" s="1"/>
      <c r="E411" s="1"/>
      <c r="F411" s="1"/>
      <c r="G411" s="1"/>
      <c r="H411" s="3"/>
      <c r="I411" s="1"/>
      <c r="J411" s="1"/>
      <c r="K411" s="1"/>
      <c r="L411" s="1"/>
      <c r="M411" s="1"/>
      <c r="N411" s="1"/>
      <c r="O411" s="1"/>
      <c r="P411" s="1"/>
      <c r="Q411" s="1"/>
      <c r="R411" s="1"/>
      <c r="S411" s="1"/>
      <c r="T411" s="1"/>
      <c r="U411" s="1"/>
      <c r="V411" s="1"/>
      <c r="W411" s="1"/>
      <c r="X411" s="1"/>
      <c r="Y411" s="1"/>
    </row>
    <row r="412" spans="1:25">
      <c r="A412" s="1"/>
      <c r="B412" s="1"/>
      <c r="C412" s="1"/>
      <c r="D412" s="1"/>
      <c r="E412" s="1"/>
      <c r="F412" s="1"/>
      <c r="G412" s="1"/>
      <c r="H412" s="3"/>
      <c r="I412" s="1"/>
      <c r="J412" s="1"/>
      <c r="K412" s="1"/>
      <c r="L412" s="1"/>
      <c r="M412" s="1"/>
      <c r="N412" s="1"/>
      <c r="O412" s="1"/>
      <c r="P412" s="1"/>
      <c r="Q412" s="1"/>
      <c r="R412" s="1"/>
      <c r="S412" s="1"/>
      <c r="T412" s="1"/>
      <c r="U412" s="1"/>
      <c r="V412" s="1"/>
      <c r="W412" s="1"/>
      <c r="X412" s="1"/>
      <c r="Y412" s="1"/>
    </row>
    <row r="413" spans="1:25">
      <c r="A413" s="1"/>
      <c r="B413" s="1"/>
      <c r="C413" s="1"/>
      <c r="D413" s="1"/>
      <c r="E413" s="1"/>
      <c r="F413" s="1"/>
      <c r="G413" s="1"/>
      <c r="H413" s="3"/>
      <c r="I413" s="1"/>
      <c r="J413" s="1"/>
      <c r="K413" s="1"/>
      <c r="L413" s="1"/>
      <c r="M413" s="1"/>
      <c r="N413" s="1"/>
      <c r="O413" s="1"/>
      <c r="P413" s="1"/>
      <c r="Q413" s="1"/>
      <c r="R413" s="1"/>
      <c r="S413" s="1"/>
      <c r="T413" s="1"/>
      <c r="U413" s="1"/>
      <c r="V413" s="1"/>
      <c r="W413" s="1"/>
      <c r="X413" s="1"/>
      <c r="Y413" s="1"/>
    </row>
    <row r="414" spans="1:25">
      <c r="A414" s="1"/>
      <c r="B414" s="1"/>
      <c r="C414" s="1"/>
      <c r="D414" s="1"/>
      <c r="E414" s="1"/>
      <c r="F414" s="1"/>
      <c r="G414" s="1"/>
      <c r="H414" s="3"/>
      <c r="I414" s="1"/>
      <c r="J414" s="1"/>
      <c r="K414" s="1"/>
      <c r="L414" s="1"/>
      <c r="M414" s="1"/>
      <c r="N414" s="1"/>
      <c r="O414" s="1"/>
      <c r="P414" s="1"/>
      <c r="Q414" s="1"/>
      <c r="R414" s="1"/>
      <c r="S414" s="1"/>
      <c r="T414" s="1"/>
      <c r="U414" s="1"/>
      <c r="V414" s="1"/>
      <c r="W414" s="1"/>
      <c r="X414" s="1"/>
      <c r="Y414" s="1"/>
    </row>
    <row r="415" spans="1:25">
      <c r="A415" s="1"/>
      <c r="B415" s="1"/>
      <c r="C415" s="1"/>
      <c r="D415" s="1"/>
      <c r="E415" s="1"/>
      <c r="F415" s="1"/>
      <c r="G415" s="1"/>
      <c r="H415" s="3"/>
      <c r="I415" s="1"/>
      <c r="J415" s="1"/>
      <c r="K415" s="1"/>
      <c r="L415" s="1"/>
      <c r="M415" s="1"/>
      <c r="N415" s="1"/>
      <c r="O415" s="1"/>
      <c r="P415" s="1"/>
      <c r="Q415" s="1"/>
      <c r="R415" s="1"/>
      <c r="S415" s="1"/>
      <c r="T415" s="1"/>
      <c r="U415" s="1"/>
      <c r="V415" s="1"/>
      <c r="W415" s="1"/>
      <c r="X415" s="1"/>
      <c r="Y415" s="1"/>
    </row>
    <row r="416" spans="1:25">
      <c r="A416" s="1"/>
      <c r="B416" s="1"/>
      <c r="C416" s="1"/>
      <c r="D416" s="1"/>
      <c r="E416" s="1"/>
      <c r="F416" s="1"/>
      <c r="G416" s="1"/>
      <c r="H416" s="3"/>
      <c r="I416" s="1"/>
      <c r="J416" s="1"/>
      <c r="K416" s="1"/>
      <c r="L416" s="1"/>
      <c r="M416" s="1"/>
      <c r="N416" s="1"/>
      <c r="O416" s="1"/>
      <c r="P416" s="1"/>
      <c r="Q416" s="1"/>
      <c r="R416" s="1"/>
      <c r="S416" s="1"/>
      <c r="T416" s="1"/>
      <c r="U416" s="1"/>
      <c r="V416" s="1"/>
      <c r="W416" s="1"/>
      <c r="X416" s="1"/>
      <c r="Y416" s="1"/>
    </row>
    <row r="417" spans="1:25">
      <c r="A417" s="1"/>
      <c r="B417" s="1"/>
      <c r="C417" s="1"/>
      <c r="D417" s="1"/>
      <c r="E417" s="1"/>
      <c r="F417" s="1"/>
      <c r="G417" s="1"/>
      <c r="H417" s="3"/>
      <c r="I417" s="1"/>
      <c r="J417" s="1"/>
      <c r="K417" s="1"/>
      <c r="L417" s="1"/>
      <c r="M417" s="1"/>
      <c r="N417" s="1"/>
      <c r="O417" s="1"/>
      <c r="P417" s="1"/>
      <c r="Q417" s="1"/>
      <c r="R417" s="1"/>
      <c r="S417" s="1"/>
      <c r="T417" s="1"/>
      <c r="U417" s="1"/>
      <c r="V417" s="1"/>
      <c r="W417" s="1"/>
      <c r="X417" s="1"/>
      <c r="Y417" s="1"/>
    </row>
    <row r="418" spans="1:25">
      <c r="A418" s="1"/>
      <c r="B418" s="1"/>
      <c r="C418" s="1"/>
      <c r="D418" s="1"/>
      <c r="E418" s="1"/>
      <c r="F418" s="1"/>
      <c r="G418" s="1"/>
      <c r="H418" s="3"/>
      <c r="I418" s="1"/>
      <c r="J418" s="1"/>
      <c r="K418" s="1"/>
      <c r="L418" s="1"/>
      <c r="M418" s="1"/>
      <c r="N418" s="1"/>
      <c r="O418" s="1"/>
      <c r="P418" s="1"/>
      <c r="Q418" s="1"/>
      <c r="R418" s="1"/>
      <c r="S418" s="1"/>
      <c r="T418" s="1"/>
      <c r="U418" s="1"/>
      <c r="V418" s="1"/>
      <c r="W418" s="1"/>
      <c r="X418" s="1"/>
      <c r="Y418" s="1"/>
    </row>
    <row r="419" spans="1:25">
      <c r="A419" s="1"/>
      <c r="B419" s="1"/>
      <c r="C419" s="1"/>
      <c r="D419" s="1"/>
      <c r="E419" s="1"/>
      <c r="F419" s="1"/>
      <c r="G419" s="1"/>
      <c r="H419" s="3"/>
      <c r="I419" s="1"/>
      <c r="J419" s="1"/>
      <c r="K419" s="1"/>
      <c r="L419" s="1"/>
      <c r="M419" s="1"/>
      <c r="N419" s="1"/>
      <c r="O419" s="1"/>
      <c r="P419" s="1"/>
      <c r="Q419" s="1"/>
      <c r="R419" s="1"/>
      <c r="S419" s="1"/>
      <c r="T419" s="1"/>
      <c r="U419" s="1"/>
      <c r="V419" s="1"/>
      <c r="W419" s="1"/>
      <c r="X419" s="1"/>
      <c r="Y419" s="1"/>
    </row>
    <row r="420" spans="1:25">
      <c r="A420" s="1"/>
      <c r="B420" s="1"/>
      <c r="C420" s="1"/>
      <c r="D420" s="1"/>
      <c r="E420" s="1"/>
      <c r="F420" s="1"/>
      <c r="G420" s="1"/>
      <c r="H420" s="3"/>
      <c r="I420" s="1"/>
      <c r="J420" s="1"/>
      <c r="K420" s="1"/>
      <c r="L420" s="1"/>
      <c r="M420" s="1"/>
      <c r="N420" s="1"/>
      <c r="O420" s="1"/>
      <c r="P420" s="1"/>
      <c r="Q420" s="1"/>
      <c r="R420" s="1"/>
      <c r="S420" s="1"/>
      <c r="T420" s="1"/>
      <c r="U420" s="1"/>
      <c r="V420" s="1"/>
      <c r="W420" s="1"/>
      <c r="X420" s="1"/>
      <c r="Y420" s="1"/>
    </row>
    <row r="421" spans="1:25">
      <c r="A421" s="1"/>
      <c r="B421" s="1"/>
      <c r="C421" s="1"/>
      <c r="D421" s="1"/>
      <c r="E421" s="1"/>
      <c r="F421" s="1"/>
      <c r="G421" s="1"/>
      <c r="H421" s="3"/>
      <c r="I421" s="1"/>
      <c r="J421" s="1"/>
      <c r="K421" s="1"/>
      <c r="L421" s="1"/>
      <c r="M421" s="1"/>
      <c r="N421" s="1"/>
      <c r="O421" s="1"/>
      <c r="P421" s="1"/>
      <c r="Q421" s="1"/>
      <c r="R421" s="1"/>
      <c r="S421" s="1"/>
      <c r="T421" s="1"/>
      <c r="U421" s="1"/>
      <c r="V421" s="1"/>
      <c r="W421" s="1"/>
      <c r="X421" s="1"/>
      <c r="Y421" s="1"/>
    </row>
    <row r="422" spans="1:25">
      <c r="A422" s="1"/>
      <c r="B422" s="1"/>
      <c r="C422" s="1"/>
      <c r="D422" s="1"/>
      <c r="E422" s="1"/>
      <c r="F422" s="1"/>
      <c r="G422" s="1"/>
      <c r="H422" s="3"/>
      <c r="I422" s="1"/>
      <c r="J422" s="1"/>
      <c r="K422" s="1"/>
      <c r="L422" s="1"/>
      <c r="M422" s="1"/>
      <c r="N422" s="1"/>
      <c r="O422" s="1"/>
      <c r="P422" s="1"/>
      <c r="Q422" s="1"/>
      <c r="R422" s="1"/>
      <c r="S422" s="1"/>
      <c r="T422" s="1"/>
      <c r="U422" s="1"/>
      <c r="V422" s="1"/>
      <c r="W422" s="1"/>
      <c r="X422" s="1"/>
      <c r="Y422" s="1"/>
    </row>
    <row r="423" spans="1:25">
      <c r="A423" s="1"/>
      <c r="B423" s="1"/>
      <c r="C423" s="1"/>
      <c r="D423" s="1"/>
      <c r="E423" s="1"/>
      <c r="F423" s="1"/>
      <c r="G423" s="1"/>
      <c r="H423" s="3"/>
      <c r="I423" s="1"/>
      <c r="J423" s="1"/>
      <c r="K423" s="1"/>
      <c r="L423" s="1"/>
      <c r="M423" s="1"/>
      <c r="N423" s="1"/>
      <c r="O423" s="1"/>
      <c r="P423" s="1"/>
      <c r="Q423" s="1"/>
      <c r="R423" s="1"/>
      <c r="S423" s="1"/>
      <c r="T423" s="1"/>
      <c r="U423" s="1"/>
      <c r="V423" s="1"/>
      <c r="W423" s="1"/>
      <c r="X423" s="1"/>
      <c r="Y423" s="1"/>
    </row>
    <row r="424" spans="1:25">
      <c r="A424" s="1"/>
      <c r="B424" s="1"/>
      <c r="C424" s="1"/>
      <c r="D424" s="1"/>
      <c r="E424" s="1"/>
      <c r="F424" s="1"/>
      <c r="G424" s="1"/>
      <c r="H424" s="3"/>
      <c r="I424" s="1"/>
      <c r="J424" s="1"/>
      <c r="K424" s="1"/>
      <c r="L424" s="1"/>
      <c r="M424" s="1"/>
      <c r="N424" s="1"/>
      <c r="O424" s="1"/>
      <c r="P424" s="1"/>
      <c r="Q424" s="1"/>
      <c r="R424" s="1"/>
      <c r="S424" s="1"/>
      <c r="T424" s="1"/>
      <c r="U424" s="1"/>
      <c r="V424" s="1"/>
      <c r="W424" s="1"/>
      <c r="X424" s="1"/>
      <c r="Y424" s="1"/>
    </row>
    <row r="425" spans="1:25">
      <c r="A425" s="1"/>
      <c r="B425" s="1"/>
      <c r="C425" s="1"/>
      <c r="D425" s="1"/>
      <c r="E425" s="1"/>
      <c r="F425" s="1"/>
      <c r="G425" s="1"/>
      <c r="H425" s="3"/>
      <c r="I425" s="1"/>
      <c r="J425" s="1"/>
      <c r="K425" s="1"/>
      <c r="L425" s="1"/>
      <c r="M425" s="1"/>
      <c r="N425" s="1"/>
      <c r="O425" s="1"/>
      <c r="P425" s="1"/>
      <c r="Q425" s="1"/>
      <c r="R425" s="1"/>
      <c r="S425" s="1"/>
      <c r="T425" s="1"/>
      <c r="U425" s="1"/>
      <c r="V425" s="1"/>
      <c r="W425" s="1"/>
      <c r="X425" s="1"/>
      <c r="Y425" s="1"/>
    </row>
    <row r="426" spans="1:25">
      <c r="A426" s="1"/>
      <c r="B426" s="1"/>
      <c r="C426" s="1"/>
      <c r="D426" s="1"/>
      <c r="E426" s="1"/>
      <c r="F426" s="1"/>
      <c r="G426" s="1"/>
      <c r="H426" s="3"/>
      <c r="I426" s="1"/>
      <c r="J426" s="1"/>
      <c r="K426" s="1"/>
      <c r="L426" s="1"/>
      <c r="M426" s="1"/>
      <c r="N426" s="1"/>
      <c r="O426" s="1"/>
      <c r="P426" s="1"/>
      <c r="Q426" s="1"/>
      <c r="R426" s="1"/>
      <c r="S426" s="1"/>
      <c r="T426" s="1"/>
      <c r="U426" s="1"/>
      <c r="V426" s="1"/>
      <c r="W426" s="1"/>
      <c r="X426" s="1"/>
      <c r="Y426" s="1"/>
    </row>
    <row r="427" spans="1:25">
      <c r="A427" s="1"/>
      <c r="B427" s="1"/>
      <c r="C427" s="1"/>
      <c r="D427" s="1"/>
      <c r="E427" s="1"/>
      <c r="F427" s="1"/>
      <c r="G427" s="1"/>
      <c r="H427" s="3"/>
      <c r="I427" s="1"/>
      <c r="J427" s="1"/>
      <c r="K427" s="1"/>
      <c r="L427" s="1"/>
      <c r="M427" s="1"/>
      <c r="N427" s="1"/>
      <c r="O427" s="1"/>
      <c r="P427" s="1"/>
      <c r="Q427" s="1"/>
      <c r="R427" s="1"/>
      <c r="S427" s="1"/>
      <c r="T427" s="1"/>
      <c r="U427" s="1"/>
      <c r="V427" s="1"/>
      <c r="W427" s="1"/>
      <c r="X427" s="1"/>
      <c r="Y427" s="1"/>
    </row>
    <row r="428" spans="1:25">
      <c r="A428" s="1"/>
      <c r="B428" s="1"/>
      <c r="C428" s="1"/>
      <c r="D428" s="1"/>
      <c r="E428" s="1"/>
      <c r="F428" s="1"/>
      <c r="G428" s="1"/>
      <c r="H428" s="3"/>
      <c r="I428" s="1"/>
      <c r="J428" s="1"/>
      <c r="K428" s="1"/>
      <c r="L428" s="1"/>
      <c r="M428" s="1"/>
      <c r="N428" s="1"/>
      <c r="O428" s="1"/>
      <c r="P428" s="1"/>
      <c r="Q428" s="1"/>
      <c r="R428" s="1"/>
      <c r="S428" s="1"/>
      <c r="T428" s="1"/>
      <c r="U428" s="1"/>
      <c r="V428" s="1"/>
      <c r="W428" s="1"/>
      <c r="X428" s="1"/>
      <c r="Y428" s="1"/>
    </row>
    <row r="429" spans="1:25">
      <c r="A429" s="1"/>
      <c r="B429" s="1"/>
      <c r="C429" s="1"/>
      <c r="D429" s="1"/>
      <c r="E429" s="1"/>
      <c r="F429" s="1"/>
      <c r="G429" s="1"/>
      <c r="H429" s="3"/>
      <c r="I429" s="1"/>
      <c r="J429" s="1"/>
      <c r="K429" s="1"/>
      <c r="L429" s="1"/>
      <c r="M429" s="1"/>
      <c r="N429" s="1"/>
      <c r="O429" s="1"/>
      <c r="P429" s="1"/>
      <c r="Q429" s="1"/>
      <c r="R429" s="1"/>
      <c r="S429" s="1"/>
      <c r="T429" s="1"/>
      <c r="U429" s="1"/>
      <c r="V429" s="1"/>
      <c r="W429" s="1"/>
      <c r="X429" s="1"/>
      <c r="Y429" s="1"/>
    </row>
    <row r="430" spans="1:25">
      <c r="A430" s="1"/>
      <c r="B430" s="1"/>
      <c r="C430" s="1"/>
      <c r="D430" s="1"/>
      <c r="E430" s="1"/>
      <c r="F430" s="1"/>
      <c r="G430" s="1"/>
      <c r="H430" s="3"/>
      <c r="I430" s="1"/>
      <c r="J430" s="1"/>
      <c r="K430" s="1"/>
      <c r="L430" s="1"/>
      <c r="M430" s="1"/>
      <c r="N430" s="1"/>
      <c r="O430" s="1"/>
      <c r="P430" s="1"/>
      <c r="Q430" s="1"/>
      <c r="R430" s="1"/>
      <c r="S430" s="1"/>
      <c r="T430" s="1"/>
      <c r="U430" s="1"/>
      <c r="V430" s="1"/>
      <c r="W430" s="1"/>
      <c r="X430" s="1"/>
      <c r="Y430" s="1"/>
    </row>
    <row r="431" spans="1:25">
      <c r="A431" s="1"/>
      <c r="B431" s="1"/>
      <c r="C431" s="1"/>
      <c r="D431" s="1"/>
      <c r="E431" s="1"/>
      <c r="F431" s="1"/>
      <c r="G431" s="1"/>
      <c r="H431" s="3"/>
      <c r="I431" s="1"/>
      <c r="J431" s="1"/>
      <c r="K431" s="1"/>
      <c r="L431" s="1"/>
      <c r="M431" s="1"/>
      <c r="N431" s="1"/>
      <c r="O431" s="1"/>
      <c r="P431" s="1"/>
      <c r="Q431" s="1"/>
      <c r="R431" s="1"/>
      <c r="S431" s="1"/>
      <c r="T431" s="1"/>
      <c r="U431" s="1"/>
      <c r="V431" s="1"/>
      <c r="W431" s="1"/>
      <c r="X431" s="1"/>
      <c r="Y431" s="1"/>
    </row>
    <row r="432" spans="1:25">
      <c r="A432" s="1"/>
      <c r="B432" s="1"/>
      <c r="C432" s="1"/>
      <c r="D432" s="1"/>
      <c r="E432" s="1"/>
      <c r="F432" s="1"/>
      <c r="G432" s="1"/>
      <c r="H432" s="3"/>
      <c r="I432" s="1"/>
      <c r="J432" s="1"/>
      <c r="K432" s="1"/>
      <c r="L432" s="1"/>
      <c r="M432" s="1"/>
      <c r="N432" s="1"/>
      <c r="O432" s="1"/>
      <c r="P432" s="1"/>
      <c r="Q432" s="1"/>
      <c r="R432" s="1"/>
      <c r="S432" s="1"/>
      <c r="T432" s="1"/>
      <c r="U432" s="1"/>
      <c r="V432" s="1"/>
      <c r="W432" s="1"/>
      <c r="X432" s="1"/>
      <c r="Y432" s="1"/>
    </row>
    <row r="433" spans="1:25">
      <c r="A433" s="1"/>
      <c r="B433" s="1"/>
      <c r="C433" s="1"/>
      <c r="D433" s="1"/>
      <c r="E433" s="1"/>
      <c r="F433" s="1"/>
      <c r="G433" s="1"/>
      <c r="H433" s="3"/>
      <c r="I433" s="1"/>
      <c r="J433" s="1"/>
      <c r="K433" s="1"/>
      <c r="L433" s="1"/>
      <c r="M433" s="1"/>
      <c r="N433" s="1"/>
      <c r="O433" s="1"/>
      <c r="P433" s="1"/>
      <c r="Q433" s="1"/>
      <c r="R433" s="1"/>
      <c r="S433" s="1"/>
      <c r="T433" s="1"/>
      <c r="U433" s="1"/>
      <c r="V433" s="1"/>
      <c r="W433" s="1"/>
      <c r="X433" s="1"/>
      <c r="Y433" s="1"/>
    </row>
    <row r="434" spans="1:25">
      <c r="A434" s="1"/>
      <c r="B434" s="1"/>
      <c r="C434" s="1"/>
      <c r="D434" s="1"/>
      <c r="E434" s="1"/>
      <c r="F434" s="1"/>
      <c r="G434" s="1"/>
      <c r="H434" s="3"/>
      <c r="I434" s="1"/>
      <c r="J434" s="1"/>
      <c r="K434" s="1"/>
      <c r="L434" s="1"/>
      <c r="M434" s="1"/>
      <c r="N434" s="1"/>
      <c r="O434" s="1"/>
      <c r="P434" s="1"/>
      <c r="Q434" s="1"/>
      <c r="R434" s="1"/>
      <c r="S434" s="1"/>
      <c r="T434" s="1"/>
      <c r="U434" s="1"/>
      <c r="V434" s="1"/>
      <c r="W434" s="1"/>
      <c r="X434" s="1"/>
      <c r="Y434" s="1"/>
    </row>
    <row r="435" spans="1:25">
      <c r="A435" s="1"/>
      <c r="B435" s="1"/>
      <c r="C435" s="1"/>
      <c r="D435" s="1"/>
      <c r="E435" s="1"/>
      <c r="F435" s="1"/>
      <c r="G435" s="1"/>
      <c r="H435" s="3"/>
      <c r="I435" s="1"/>
      <c r="J435" s="1"/>
      <c r="K435" s="1"/>
      <c r="L435" s="1"/>
      <c r="M435" s="1"/>
      <c r="N435" s="1"/>
      <c r="O435" s="1"/>
      <c r="P435" s="1"/>
      <c r="Q435" s="1"/>
      <c r="R435" s="1"/>
      <c r="S435" s="1"/>
      <c r="T435" s="1"/>
      <c r="U435" s="1"/>
      <c r="V435" s="1"/>
      <c r="W435" s="1"/>
      <c r="X435" s="1"/>
      <c r="Y435" s="1"/>
    </row>
    <row r="436" spans="1:25">
      <c r="A436" s="1"/>
      <c r="B436" s="1"/>
      <c r="C436" s="1"/>
      <c r="D436" s="1"/>
      <c r="E436" s="1"/>
      <c r="F436" s="1"/>
      <c r="G436" s="1"/>
      <c r="H436" s="3"/>
      <c r="I436" s="1"/>
      <c r="J436" s="1"/>
      <c r="K436" s="1"/>
      <c r="L436" s="1"/>
      <c r="M436" s="1"/>
      <c r="N436" s="1"/>
      <c r="O436" s="1"/>
      <c r="P436" s="1"/>
      <c r="Q436" s="1"/>
      <c r="R436" s="1"/>
      <c r="S436" s="1"/>
      <c r="T436" s="1"/>
      <c r="U436" s="1"/>
      <c r="V436" s="1"/>
      <c r="W436" s="1"/>
      <c r="X436" s="1"/>
      <c r="Y436" s="1"/>
    </row>
    <row r="437" spans="1:25">
      <c r="A437" s="1"/>
      <c r="B437" s="1"/>
      <c r="C437" s="1"/>
      <c r="D437" s="1"/>
      <c r="E437" s="1"/>
      <c r="F437" s="1"/>
      <c r="G437" s="1"/>
      <c r="H437" s="3"/>
      <c r="I437" s="1"/>
      <c r="J437" s="1"/>
      <c r="K437" s="1"/>
      <c r="L437" s="1"/>
      <c r="M437" s="1"/>
      <c r="N437" s="1"/>
      <c r="O437" s="1"/>
      <c r="P437" s="1"/>
      <c r="Q437" s="1"/>
      <c r="R437" s="1"/>
      <c r="S437" s="1"/>
      <c r="T437" s="1"/>
      <c r="U437" s="1"/>
      <c r="V437" s="1"/>
      <c r="W437" s="1"/>
      <c r="X437" s="1"/>
      <c r="Y437" s="1"/>
    </row>
    <row r="438" spans="1:25">
      <c r="A438" s="1"/>
      <c r="B438" s="1"/>
      <c r="C438" s="1"/>
      <c r="D438" s="1"/>
      <c r="E438" s="1"/>
      <c r="F438" s="1"/>
      <c r="G438" s="1"/>
      <c r="H438" s="3"/>
      <c r="I438" s="1"/>
      <c r="J438" s="1"/>
      <c r="K438" s="1"/>
      <c r="L438" s="1"/>
      <c r="M438" s="1"/>
      <c r="N438" s="1"/>
      <c r="O438" s="1"/>
      <c r="P438" s="1"/>
      <c r="Q438" s="1"/>
      <c r="R438" s="1"/>
      <c r="S438" s="1"/>
      <c r="T438" s="1"/>
      <c r="U438" s="1"/>
      <c r="V438" s="1"/>
      <c r="W438" s="1"/>
      <c r="X438" s="1"/>
      <c r="Y438" s="1"/>
    </row>
    <row r="439" spans="1:25">
      <c r="A439" s="1"/>
      <c r="B439" s="1"/>
      <c r="C439" s="1"/>
      <c r="D439" s="1"/>
      <c r="E439" s="1"/>
      <c r="F439" s="1"/>
      <c r="G439" s="1"/>
      <c r="H439" s="3"/>
      <c r="I439" s="1"/>
      <c r="J439" s="1"/>
      <c r="K439" s="1"/>
      <c r="L439" s="1"/>
      <c r="M439" s="1"/>
      <c r="N439" s="1"/>
      <c r="O439" s="1"/>
      <c r="P439" s="1"/>
      <c r="Q439" s="1"/>
      <c r="R439" s="1"/>
      <c r="S439" s="1"/>
      <c r="T439" s="1"/>
      <c r="U439" s="1"/>
      <c r="V439" s="1"/>
      <c r="W439" s="1"/>
      <c r="X439" s="1"/>
      <c r="Y439" s="1"/>
    </row>
    <row r="440" spans="1:25">
      <c r="A440" s="1"/>
      <c r="B440" s="1"/>
      <c r="C440" s="1"/>
      <c r="D440" s="1"/>
      <c r="E440" s="1"/>
      <c r="F440" s="1"/>
      <c r="G440" s="1"/>
      <c r="H440" s="3"/>
      <c r="I440" s="1"/>
      <c r="J440" s="1"/>
      <c r="K440" s="1"/>
      <c r="L440" s="1"/>
      <c r="M440" s="1"/>
      <c r="N440" s="1"/>
      <c r="O440" s="1"/>
      <c r="P440" s="1"/>
      <c r="Q440" s="1"/>
      <c r="R440" s="1"/>
      <c r="S440" s="1"/>
      <c r="T440" s="1"/>
      <c r="U440" s="1"/>
      <c r="V440" s="1"/>
      <c r="W440" s="1"/>
      <c r="X440" s="1"/>
      <c r="Y440" s="1"/>
    </row>
    <row r="441" spans="1:25">
      <c r="A441" s="1"/>
      <c r="B441" s="1"/>
      <c r="C441" s="1"/>
      <c r="D441" s="1"/>
      <c r="E441" s="1"/>
      <c r="F441" s="1"/>
      <c r="G441" s="1"/>
      <c r="H441" s="3"/>
      <c r="I441" s="1"/>
      <c r="J441" s="1"/>
      <c r="K441" s="1"/>
      <c r="L441" s="1"/>
      <c r="M441" s="1"/>
      <c r="N441" s="1"/>
      <c r="O441" s="1"/>
      <c r="P441" s="1"/>
      <c r="Q441" s="1"/>
      <c r="R441" s="1"/>
      <c r="S441" s="1"/>
      <c r="T441" s="1"/>
      <c r="U441" s="1"/>
      <c r="V441" s="1"/>
      <c r="W441" s="1"/>
      <c r="X441" s="1"/>
      <c r="Y441" s="1"/>
    </row>
    <row r="442" spans="1:25">
      <c r="A442" s="1"/>
      <c r="B442" s="1"/>
      <c r="C442" s="1"/>
      <c r="D442" s="1"/>
      <c r="E442" s="1"/>
      <c r="F442" s="1"/>
      <c r="G442" s="1"/>
      <c r="H442" s="3"/>
      <c r="I442" s="1"/>
      <c r="J442" s="1"/>
      <c r="K442" s="1"/>
      <c r="L442" s="1"/>
      <c r="M442" s="1"/>
      <c r="N442" s="1"/>
      <c r="O442" s="1"/>
      <c r="P442" s="1"/>
      <c r="Q442" s="1"/>
      <c r="R442" s="1"/>
      <c r="S442" s="1"/>
      <c r="T442" s="1"/>
      <c r="U442" s="1"/>
      <c r="V442" s="1"/>
      <c r="W442" s="1"/>
      <c r="X442" s="1"/>
      <c r="Y442" s="1"/>
    </row>
    <row r="443" spans="1:25">
      <c r="A443" s="1"/>
      <c r="B443" s="1"/>
      <c r="C443" s="1"/>
      <c r="D443" s="1"/>
      <c r="E443" s="1"/>
      <c r="F443" s="1"/>
      <c r="G443" s="1"/>
      <c r="H443" s="3"/>
      <c r="I443" s="1"/>
      <c r="J443" s="1"/>
      <c r="K443" s="1"/>
      <c r="L443" s="1"/>
      <c r="M443" s="1"/>
      <c r="N443" s="1"/>
      <c r="O443" s="1"/>
      <c r="P443" s="1"/>
      <c r="Q443" s="1"/>
      <c r="R443" s="1"/>
      <c r="S443" s="1"/>
      <c r="T443" s="1"/>
      <c r="U443" s="1"/>
      <c r="V443" s="1"/>
      <c r="W443" s="1"/>
      <c r="X443" s="1"/>
      <c r="Y443" s="1"/>
    </row>
    <row r="444" spans="1:25">
      <c r="A444" s="1"/>
      <c r="B444" s="1"/>
      <c r="C444" s="1"/>
      <c r="D444" s="1"/>
      <c r="E444" s="1"/>
      <c r="F444" s="1"/>
      <c r="G444" s="1"/>
      <c r="H444" s="3"/>
      <c r="I444" s="1"/>
      <c r="J444" s="1"/>
      <c r="K444" s="1"/>
      <c r="L444" s="1"/>
      <c r="M444" s="1"/>
      <c r="N444" s="1"/>
      <c r="O444" s="1"/>
      <c r="P444" s="1"/>
      <c r="Q444" s="1"/>
      <c r="R444" s="1"/>
      <c r="S444" s="1"/>
      <c r="T444" s="1"/>
      <c r="U444" s="1"/>
      <c r="V444" s="1"/>
      <c r="W444" s="1"/>
      <c r="X444" s="1"/>
      <c r="Y444" s="1"/>
    </row>
    <row r="445" spans="1:25">
      <c r="A445" s="1"/>
      <c r="B445" s="1"/>
      <c r="C445" s="1"/>
      <c r="D445" s="1"/>
      <c r="E445" s="1"/>
      <c r="F445" s="1"/>
      <c r="G445" s="1"/>
      <c r="H445" s="3"/>
      <c r="I445" s="1"/>
      <c r="J445" s="1"/>
      <c r="K445" s="1"/>
      <c r="L445" s="1"/>
      <c r="M445" s="1"/>
      <c r="N445" s="1"/>
      <c r="O445" s="1"/>
      <c r="P445" s="1"/>
      <c r="Q445" s="1"/>
      <c r="R445" s="1"/>
      <c r="S445" s="1"/>
      <c r="T445" s="1"/>
      <c r="U445" s="1"/>
      <c r="V445" s="1"/>
      <c r="W445" s="1"/>
      <c r="X445" s="1"/>
      <c r="Y445" s="1"/>
    </row>
    <row r="446" spans="1:25">
      <c r="A446" s="1"/>
      <c r="B446" s="1"/>
      <c r="C446" s="1"/>
      <c r="D446" s="1"/>
      <c r="E446" s="1"/>
      <c r="F446" s="1"/>
      <c r="G446" s="1"/>
      <c r="H446" s="3"/>
      <c r="I446" s="1"/>
      <c r="J446" s="1"/>
      <c r="K446" s="1"/>
      <c r="L446" s="1"/>
      <c r="M446" s="1"/>
      <c r="N446" s="1"/>
      <c r="O446" s="1"/>
      <c r="P446" s="1"/>
      <c r="Q446" s="1"/>
      <c r="R446" s="1"/>
      <c r="S446" s="1"/>
      <c r="T446" s="1"/>
      <c r="U446" s="1"/>
      <c r="V446" s="1"/>
      <c r="W446" s="1"/>
      <c r="X446" s="1"/>
      <c r="Y446" s="1"/>
    </row>
    <row r="447" spans="1:25">
      <c r="A447" s="1"/>
      <c r="B447" s="1"/>
      <c r="C447" s="1"/>
      <c r="D447" s="1"/>
      <c r="E447" s="1"/>
      <c r="F447" s="1"/>
      <c r="G447" s="1"/>
      <c r="H447" s="3"/>
      <c r="I447" s="1"/>
      <c r="J447" s="1"/>
      <c r="K447" s="1"/>
      <c r="L447" s="1"/>
      <c r="M447" s="1"/>
      <c r="N447" s="1"/>
      <c r="O447" s="1"/>
      <c r="P447" s="1"/>
      <c r="Q447" s="1"/>
      <c r="R447" s="1"/>
      <c r="S447" s="1"/>
      <c r="T447" s="1"/>
      <c r="U447" s="1"/>
      <c r="V447" s="1"/>
      <c r="W447" s="1"/>
      <c r="X447" s="1"/>
      <c r="Y447" s="1"/>
    </row>
    <row r="448" spans="1:25">
      <c r="A448" s="1"/>
      <c r="B448" s="1"/>
      <c r="C448" s="1"/>
      <c r="D448" s="1"/>
      <c r="E448" s="1"/>
      <c r="F448" s="1"/>
      <c r="G448" s="1"/>
      <c r="H448" s="3"/>
      <c r="I448" s="1"/>
      <c r="J448" s="1"/>
      <c r="K448" s="1"/>
      <c r="L448" s="1"/>
      <c r="M448" s="1"/>
      <c r="N448" s="1"/>
      <c r="O448" s="1"/>
      <c r="P448" s="1"/>
      <c r="Q448" s="1"/>
      <c r="R448" s="1"/>
      <c r="S448" s="1"/>
      <c r="T448" s="1"/>
      <c r="U448" s="1"/>
      <c r="V448" s="1"/>
      <c r="W448" s="1"/>
      <c r="X448" s="1"/>
      <c r="Y448" s="1"/>
    </row>
    <row r="449" spans="1:25">
      <c r="A449" s="1"/>
      <c r="B449" s="1"/>
      <c r="C449" s="1"/>
      <c r="D449" s="1"/>
      <c r="E449" s="1"/>
      <c r="F449" s="1"/>
      <c r="G449" s="1"/>
      <c r="H449" s="3"/>
      <c r="I449" s="1"/>
      <c r="J449" s="1"/>
      <c r="K449" s="1"/>
      <c r="L449" s="1"/>
      <c r="M449" s="1"/>
      <c r="N449" s="1"/>
      <c r="O449" s="1"/>
      <c r="P449" s="1"/>
      <c r="Q449" s="1"/>
      <c r="R449" s="1"/>
      <c r="S449" s="1"/>
      <c r="T449" s="1"/>
      <c r="U449" s="1"/>
      <c r="V449" s="1"/>
      <c r="W449" s="1"/>
      <c r="X449" s="1"/>
      <c r="Y449" s="1"/>
    </row>
    <row r="450" spans="1:25">
      <c r="A450" s="1"/>
      <c r="B450" s="1"/>
      <c r="C450" s="1"/>
      <c r="D450" s="1"/>
      <c r="E450" s="1"/>
      <c r="F450" s="1"/>
      <c r="G450" s="1"/>
      <c r="H450" s="3"/>
      <c r="I450" s="1"/>
      <c r="J450" s="1"/>
      <c r="K450" s="1"/>
      <c r="L450" s="1"/>
      <c r="M450" s="1"/>
      <c r="N450" s="1"/>
      <c r="O450" s="1"/>
      <c r="P450" s="1"/>
      <c r="Q450" s="1"/>
      <c r="R450" s="1"/>
      <c r="S450" s="1"/>
      <c r="T450" s="1"/>
      <c r="U450" s="1"/>
      <c r="V450" s="1"/>
      <c r="W450" s="1"/>
      <c r="X450" s="1"/>
      <c r="Y450" s="1"/>
    </row>
    <row r="451" spans="1:25">
      <c r="A451" s="1"/>
      <c r="B451" s="1"/>
      <c r="C451" s="1"/>
      <c r="D451" s="1"/>
      <c r="E451" s="1"/>
      <c r="F451" s="1"/>
      <c r="G451" s="1"/>
      <c r="H451" s="3"/>
      <c r="I451" s="1"/>
      <c r="J451" s="1"/>
      <c r="K451" s="1"/>
      <c r="L451" s="1"/>
      <c r="M451" s="1"/>
      <c r="N451" s="1"/>
      <c r="O451" s="1"/>
      <c r="P451" s="1"/>
      <c r="Q451" s="1"/>
      <c r="R451" s="1"/>
      <c r="S451" s="1"/>
      <c r="T451" s="1"/>
      <c r="U451" s="1"/>
      <c r="V451" s="1"/>
      <c r="W451" s="1"/>
      <c r="X451" s="1"/>
      <c r="Y451" s="1"/>
    </row>
    <row r="452" spans="1:25">
      <c r="A452" s="1"/>
      <c r="B452" s="1"/>
      <c r="C452" s="1"/>
      <c r="D452" s="1"/>
      <c r="E452" s="1"/>
      <c r="F452" s="1"/>
      <c r="G452" s="1"/>
      <c r="H452" s="3"/>
      <c r="I452" s="1"/>
      <c r="J452" s="1"/>
      <c r="K452" s="1"/>
      <c r="L452" s="1"/>
      <c r="M452" s="1"/>
      <c r="N452" s="1"/>
      <c r="O452" s="1"/>
      <c r="P452" s="1"/>
      <c r="Q452" s="1"/>
      <c r="R452" s="1"/>
      <c r="S452" s="1"/>
      <c r="T452" s="1"/>
      <c r="U452" s="1"/>
      <c r="V452" s="1"/>
      <c r="W452" s="1"/>
      <c r="X452" s="1"/>
      <c r="Y452" s="1"/>
    </row>
    <row r="453" spans="1:25">
      <c r="A453" s="1"/>
      <c r="B453" s="1"/>
      <c r="C453" s="1"/>
      <c r="D453" s="1"/>
      <c r="E453" s="1"/>
      <c r="F453" s="1"/>
      <c r="G453" s="1"/>
      <c r="H453" s="3"/>
      <c r="I453" s="1"/>
      <c r="J453" s="1"/>
      <c r="K453" s="1"/>
      <c r="L453" s="1"/>
      <c r="M453" s="1"/>
      <c r="N453" s="1"/>
      <c r="O453" s="1"/>
      <c r="P453" s="1"/>
      <c r="Q453" s="1"/>
      <c r="R453" s="1"/>
      <c r="S453" s="1"/>
      <c r="T453" s="1"/>
      <c r="U453" s="1"/>
      <c r="V453" s="1"/>
      <c r="W453" s="1"/>
      <c r="X453" s="1"/>
      <c r="Y453" s="1"/>
    </row>
    <row r="454" spans="1:25">
      <c r="A454" s="1"/>
      <c r="B454" s="1"/>
      <c r="C454" s="1"/>
      <c r="D454" s="1"/>
      <c r="E454" s="1"/>
      <c r="F454" s="1"/>
      <c r="G454" s="1"/>
      <c r="H454" s="3"/>
      <c r="I454" s="1"/>
      <c r="J454" s="1"/>
      <c r="K454" s="1"/>
      <c r="L454" s="1"/>
      <c r="M454" s="1"/>
      <c r="N454" s="1"/>
      <c r="O454" s="1"/>
      <c r="P454" s="1"/>
      <c r="Q454" s="1"/>
      <c r="R454" s="1"/>
      <c r="S454" s="1"/>
      <c r="T454" s="1"/>
      <c r="U454" s="1"/>
      <c r="V454" s="1"/>
      <c r="W454" s="1"/>
      <c r="X454" s="1"/>
      <c r="Y454" s="1"/>
    </row>
    <row r="455" spans="1:25">
      <c r="A455" s="1"/>
      <c r="B455" s="1"/>
      <c r="C455" s="1"/>
      <c r="D455" s="1"/>
      <c r="E455" s="1"/>
      <c r="F455" s="1"/>
      <c r="G455" s="1"/>
      <c r="H455" s="3"/>
      <c r="I455" s="1"/>
      <c r="J455" s="1"/>
      <c r="K455" s="1"/>
      <c r="L455" s="1"/>
      <c r="M455" s="1"/>
      <c r="N455" s="1"/>
      <c r="O455" s="1"/>
      <c r="P455" s="1"/>
      <c r="Q455" s="1"/>
      <c r="R455" s="1"/>
      <c r="S455" s="1"/>
      <c r="T455" s="1"/>
      <c r="U455" s="1"/>
      <c r="V455" s="1"/>
      <c r="W455" s="1"/>
      <c r="X455" s="1"/>
      <c r="Y455" s="1"/>
    </row>
    <row r="456" spans="1:25">
      <c r="A456" s="1"/>
      <c r="B456" s="1"/>
      <c r="C456" s="1"/>
      <c r="D456" s="1"/>
      <c r="E456" s="1"/>
      <c r="F456" s="1"/>
      <c r="G456" s="1"/>
      <c r="H456" s="3"/>
      <c r="I456" s="1"/>
      <c r="J456" s="1"/>
      <c r="K456" s="1"/>
      <c r="L456" s="1"/>
      <c r="M456" s="1"/>
      <c r="N456" s="1"/>
      <c r="O456" s="1"/>
      <c r="P456" s="1"/>
      <c r="Q456" s="1"/>
      <c r="R456" s="1"/>
      <c r="S456" s="1"/>
      <c r="T456" s="1"/>
      <c r="U456" s="1"/>
      <c r="V456" s="1"/>
      <c r="W456" s="1"/>
      <c r="X456" s="1"/>
      <c r="Y456" s="1"/>
    </row>
    <row r="457" spans="1:25">
      <c r="A457" s="1"/>
      <c r="B457" s="1"/>
      <c r="C457" s="1"/>
      <c r="D457" s="1"/>
      <c r="E457" s="1"/>
      <c r="F457" s="1"/>
      <c r="G457" s="1"/>
      <c r="H457" s="3"/>
      <c r="I457" s="1"/>
      <c r="J457" s="1"/>
      <c r="K457" s="1"/>
      <c r="L457" s="1"/>
      <c r="M457" s="1"/>
      <c r="N457" s="1"/>
      <c r="O457" s="1"/>
      <c r="P457" s="1"/>
      <c r="Q457" s="1"/>
      <c r="R457" s="1"/>
      <c r="S457" s="1"/>
      <c r="T457" s="1"/>
      <c r="U457" s="1"/>
      <c r="V457" s="1"/>
      <c r="W457" s="1"/>
      <c r="X457" s="1"/>
      <c r="Y457" s="1"/>
    </row>
    <row r="458" spans="1:25">
      <c r="A458" s="1"/>
      <c r="B458" s="1"/>
      <c r="C458" s="1"/>
      <c r="D458" s="1"/>
      <c r="E458" s="1"/>
      <c r="F458" s="1"/>
      <c r="G458" s="1"/>
      <c r="H458" s="3"/>
      <c r="I458" s="1"/>
      <c r="J458" s="1"/>
      <c r="K458" s="1"/>
      <c r="L458" s="1"/>
      <c r="M458" s="1"/>
      <c r="N458" s="1"/>
      <c r="O458" s="1"/>
      <c r="P458" s="1"/>
      <c r="Q458" s="1"/>
      <c r="R458" s="1"/>
      <c r="S458" s="1"/>
      <c r="T458" s="1"/>
      <c r="U458" s="1"/>
      <c r="V458" s="1"/>
      <c r="W458" s="1"/>
      <c r="X458" s="1"/>
      <c r="Y458" s="1"/>
    </row>
    <row r="459" spans="1:25">
      <c r="A459" s="1"/>
      <c r="B459" s="1"/>
      <c r="C459" s="1"/>
      <c r="D459" s="1"/>
      <c r="E459" s="1"/>
      <c r="F459" s="1"/>
      <c r="G459" s="1"/>
      <c r="H459" s="3"/>
      <c r="I459" s="1"/>
      <c r="J459" s="1"/>
      <c r="K459" s="1"/>
      <c r="L459" s="1"/>
      <c r="M459" s="1"/>
      <c r="N459" s="1"/>
      <c r="O459" s="1"/>
      <c r="P459" s="1"/>
      <c r="Q459" s="1"/>
      <c r="R459" s="1"/>
      <c r="S459" s="1"/>
      <c r="T459" s="1"/>
      <c r="U459" s="1"/>
      <c r="V459" s="1"/>
      <c r="W459" s="1"/>
      <c r="X459" s="1"/>
      <c r="Y459" s="1"/>
    </row>
    <row r="460" spans="1:25">
      <c r="A460" s="1"/>
      <c r="B460" s="1"/>
      <c r="C460" s="1"/>
      <c r="D460" s="1"/>
      <c r="E460" s="1"/>
      <c r="F460" s="1"/>
      <c r="G460" s="1"/>
      <c r="H460" s="3"/>
      <c r="I460" s="1"/>
      <c r="J460" s="1"/>
      <c r="K460" s="1"/>
      <c r="L460" s="1"/>
      <c r="M460" s="1"/>
      <c r="N460" s="1"/>
      <c r="O460" s="1"/>
      <c r="P460" s="1"/>
      <c r="Q460" s="1"/>
      <c r="R460" s="1"/>
      <c r="S460" s="1"/>
      <c r="T460" s="1"/>
      <c r="U460" s="1"/>
      <c r="V460" s="1"/>
      <c r="W460" s="1"/>
      <c r="X460" s="1"/>
      <c r="Y460" s="1"/>
    </row>
    <row r="461" spans="1:25">
      <c r="A461" s="1"/>
      <c r="B461" s="1"/>
      <c r="C461" s="1"/>
      <c r="D461" s="1"/>
      <c r="E461" s="1"/>
      <c r="F461" s="1"/>
      <c r="G461" s="1"/>
      <c r="H461" s="3"/>
      <c r="I461" s="1"/>
      <c r="J461" s="1"/>
      <c r="K461" s="1"/>
      <c r="L461" s="1"/>
      <c r="M461" s="1"/>
      <c r="N461" s="1"/>
      <c r="O461" s="1"/>
      <c r="P461" s="1"/>
      <c r="Q461" s="1"/>
      <c r="R461" s="1"/>
      <c r="S461" s="1"/>
      <c r="T461" s="1"/>
      <c r="U461" s="1"/>
      <c r="V461" s="1"/>
      <c r="W461" s="1"/>
      <c r="X461" s="1"/>
      <c r="Y461" s="1"/>
    </row>
    <row r="462" spans="1:25">
      <c r="A462" s="1"/>
      <c r="B462" s="1"/>
      <c r="C462" s="1"/>
      <c r="D462" s="1"/>
      <c r="E462" s="1"/>
      <c r="F462" s="1"/>
      <c r="G462" s="1"/>
      <c r="H462" s="3"/>
      <c r="I462" s="1"/>
      <c r="J462" s="1"/>
      <c r="K462" s="1"/>
      <c r="L462" s="1"/>
      <c r="M462" s="1"/>
      <c r="N462" s="1"/>
      <c r="O462" s="1"/>
      <c r="P462" s="1"/>
      <c r="Q462" s="1"/>
      <c r="R462" s="1"/>
      <c r="S462" s="1"/>
      <c r="T462" s="1"/>
      <c r="U462" s="1"/>
      <c r="V462" s="1"/>
      <c r="W462" s="1"/>
      <c r="X462" s="1"/>
      <c r="Y462" s="1"/>
    </row>
    <row r="463" spans="1:25">
      <c r="A463" s="1"/>
      <c r="B463" s="1"/>
      <c r="C463" s="1"/>
      <c r="D463" s="1"/>
      <c r="E463" s="1"/>
      <c r="F463" s="1"/>
      <c r="G463" s="1"/>
      <c r="H463" s="3"/>
      <c r="I463" s="1"/>
      <c r="J463" s="1"/>
      <c r="K463" s="1"/>
      <c r="L463" s="1"/>
      <c r="M463" s="1"/>
      <c r="N463" s="1"/>
      <c r="O463" s="1"/>
      <c r="P463" s="1"/>
      <c r="Q463" s="1"/>
      <c r="R463" s="1"/>
      <c r="S463" s="1"/>
      <c r="T463" s="1"/>
      <c r="U463" s="1"/>
      <c r="V463" s="1"/>
      <c r="W463" s="1"/>
      <c r="X463" s="1"/>
      <c r="Y463" s="1"/>
    </row>
    <row r="464" spans="1:25">
      <c r="A464" s="1"/>
      <c r="B464" s="1"/>
      <c r="C464" s="1"/>
      <c r="D464" s="1"/>
      <c r="E464" s="1"/>
      <c r="F464" s="1"/>
      <c r="G464" s="1"/>
      <c r="H464" s="3"/>
      <c r="I464" s="1"/>
      <c r="J464" s="1"/>
      <c r="K464" s="1"/>
      <c r="L464" s="1"/>
      <c r="M464" s="1"/>
      <c r="N464" s="1"/>
      <c r="O464" s="1"/>
      <c r="P464" s="1"/>
      <c r="Q464" s="1"/>
      <c r="R464" s="1"/>
      <c r="S464" s="1"/>
      <c r="T464" s="1"/>
      <c r="U464" s="1"/>
      <c r="V464" s="1"/>
      <c r="W464" s="1"/>
      <c r="X464" s="1"/>
      <c r="Y464" s="1"/>
    </row>
    <row r="465" spans="1:25">
      <c r="A465" s="1"/>
      <c r="B465" s="1"/>
      <c r="C465" s="1"/>
      <c r="D465" s="1"/>
      <c r="E465" s="1"/>
      <c r="F465" s="1"/>
      <c r="G465" s="1"/>
      <c r="H465" s="3"/>
      <c r="I465" s="1"/>
      <c r="J465" s="1"/>
      <c r="K465" s="1"/>
      <c r="L465" s="1"/>
      <c r="M465" s="1"/>
      <c r="N465" s="1"/>
      <c r="O465" s="1"/>
      <c r="P465" s="1"/>
      <c r="Q465" s="1"/>
      <c r="R465" s="1"/>
      <c r="S465" s="1"/>
      <c r="T465" s="1"/>
      <c r="U465" s="1"/>
      <c r="V465" s="1"/>
      <c r="W465" s="1"/>
      <c r="X465" s="1"/>
      <c r="Y465" s="1"/>
    </row>
    <row r="466" spans="1:25">
      <c r="A466" s="1"/>
      <c r="B466" s="1"/>
      <c r="C466" s="1"/>
      <c r="D466" s="1"/>
      <c r="E466" s="1"/>
      <c r="F466" s="1"/>
      <c r="G466" s="1"/>
      <c r="H466" s="3"/>
      <c r="I466" s="1"/>
      <c r="J466" s="1"/>
      <c r="K466" s="1"/>
      <c r="L466" s="1"/>
      <c r="M466" s="1"/>
      <c r="N466" s="1"/>
      <c r="O466" s="1"/>
      <c r="P466" s="1"/>
      <c r="Q466" s="1"/>
      <c r="R466" s="1"/>
      <c r="S466" s="1"/>
      <c r="T466" s="1"/>
      <c r="U466" s="1"/>
      <c r="V466" s="1"/>
      <c r="W466" s="1"/>
      <c r="X466" s="1"/>
      <c r="Y466" s="1"/>
    </row>
    <row r="467" spans="1:25">
      <c r="A467" s="1"/>
      <c r="B467" s="1"/>
      <c r="C467" s="1"/>
      <c r="D467" s="1"/>
      <c r="E467" s="1"/>
      <c r="F467" s="1"/>
      <c r="G467" s="1"/>
      <c r="H467" s="3"/>
      <c r="I467" s="1"/>
      <c r="J467" s="1"/>
      <c r="K467" s="1"/>
      <c r="L467" s="1"/>
      <c r="M467" s="1"/>
      <c r="N467" s="1"/>
      <c r="O467" s="1"/>
      <c r="P467" s="1"/>
      <c r="Q467" s="1"/>
      <c r="R467" s="1"/>
      <c r="S467" s="1"/>
      <c r="T467" s="1"/>
      <c r="U467" s="1"/>
      <c r="V467" s="1"/>
      <c r="W467" s="1"/>
      <c r="X467" s="1"/>
      <c r="Y467" s="1"/>
    </row>
    <row r="468" spans="1:25">
      <c r="A468" s="1"/>
      <c r="B468" s="1"/>
      <c r="C468" s="1"/>
      <c r="D468" s="1"/>
      <c r="E468" s="1"/>
      <c r="F468" s="1"/>
      <c r="G468" s="1"/>
      <c r="H468" s="3"/>
      <c r="I468" s="1"/>
      <c r="J468" s="1"/>
      <c r="K468" s="1"/>
      <c r="L468" s="1"/>
      <c r="M468" s="1"/>
      <c r="N468" s="1"/>
      <c r="O468" s="1"/>
      <c r="P468" s="1"/>
      <c r="Q468" s="1"/>
      <c r="R468" s="1"/>
      <c r="S468" s="1"/>
      <c r="T468" s="1"/>
      <c r="U468" s="1"/>
      <c r="V468" s="1"/>
      <c r="W468" s="1"/>
      <c r="X468" s="1"/>
      <c r="Y468" s="1"/>
    </row>
    <row r="469" spans="1:25">
      <c r="A469" s="1"/>
      <c r="B469" s="1"/>
      <c r="C469" s="1"/>
      <c r="D469" s="1"/>
      <c r="E469" s="1"/>
      <c r="F469" s="1"/>
      <c r="G469" s="1"/>
      <c r="H469" s="3"/>
      <c r="I469" s="1"/>
      <c r="J469" s="1"/>
      <c r="K469" s="1"/>
      <c r="L469" s="1"/>
      <c r="M469" s="1"/>
      <c r="N469" s="1"/>
      <c r="O469" s="1"/>
      <c r="P469" s="1"/>
      <c r="Q469" s="1"/>
      <c r="R469" s="1"/>
      <c r="S469" s="1"/>
      <c r="T469" s="1"/>
      <c r="U469" s="1"/>
      <c r="V469" s="1"/>
      <c r="W469" s="1"/>
      <c r="X469" s="1"/>
      <c r="Y469" s="1"/>
    </row>
    <row r="470" spans="1:25">
      <c r="A470" s="1"/>
      <c r="B470" s="1"/>
      <c r="C470" s="1"/>
      <c r="D470" s="1"/>
      <c r="E470" s="1"/>
      <c r="F470" s="1"/>
      <c r="G470" s="1"/>
      <c r="H470" s="3"/>
      <c r="I470" s="1"/>
      <c r="J470" s="1"/>
      <c r="K470" s="1"/>
      <c r="L470" s="1"/>
      <c r="M470" s="1"/>
      <c r="N470" s="1"/>
      <c r="O470" s="1"/>
      <c r="P470" s="1"/>
      <c r="Q470" s="1"/>
      <c r="R470" s="1"/>
      <c r="S470" s="1"/>
      <c r="T470" s="1"/>
      <c r="U470" s="1"/>
      <c r="V470" s="1"/>
      <c r="W470" s="1"/>
      <c r="X470" s="1"/>
      <c r="Y470" s="1"/>
    </row>
    <row r="471" spans="1:25">
      <c r="A471" s="1"/>
      <c r="B471" s="1"/>
      <c r="C471" s="1"/>
      <c r="D471" s="1"/>
      <c r="E471" s="1"/>
      <c r="F471" s="1"/>
      <c r="G471" s="1"/>
      <c r="H471" s="3"/>
      <c r="I471" s="1"/>
      <c r="J471" s="1"/>
      <c r="K471" s="1"/>
      <c r="L471" s="1"/>
      <c r="M471" s="1"/>
      <c r="N471" s="1"/>
      <c r="O471" s="1"/>
      <c r="P471" s="1"/>
      <c r="Q471" s="1"/>
      <c r="R471" s="1"/>
      <c r="S471" s="1"/>
      <c r="T471" s="1"/>
      <c r="U471" s="1"/>
      <c r="V471" s="1"/>
      <c r="W471" s="1"/>
      <c r="X471" s="1"/>
      <c r="Y471" s="1"/>
    </row>
    <row r="472" spans="1:25">
      <c r="A472" s="1"/>
      <c r="B472" s="1"/>
      <c r="C472" s="1"/>
      <c r="D472" s="1"/>
      <c r="E472" s="1"/>
      <c r="F472" s="1"/>
      <c r="G472" s="1"/>
      <c r="H472" s="3"/>
      <c r="I472" s="1"/>
      <c r="J472" s="1"/>
      <c r="K472" s="1"/>
      <c r="L472" s="1"/>
      <c r="M472" s="1"/>
      <c r="N472" s="1"/>
      <c r="O472" s="1"/>
      <c r="P472" s="1"/>
      <c r="Q472" s="1"/>
      <c r="R472" s="1"/>
      <c r="S472" s="1"/>
      <c r="T472" s="1"/>
      <c r="U472" s="1"/>
      <c r="V472" s="1"/>
      <c r="W472" s="1"/>
      <c r="X472" s="1"/>
      <c r="Y472" s="1"/>
    </row>
    <row r="473" spans="1:25">
      <c r="A473" s="1"/>
      <c r="B473" s="1"/>
      <c r="C473" s="1"/>
      <c r="D473" s="1"/>
      <c r="E473" s="1"/>
      <c r="F473" s="1"/>
      <c r="G473" s="1"/>
      <c r="H473" s="3"/>
      <c r="I473" s="1"/>
      <c r="J473" s="1"/>
      <c r="K473" s="1"/>
      <c r="L473" s="1"/>
      <c r="M473" s="1"/>
      <c r="N473" s="1"/>
      <c r="O473" s="1"/>
      <c r="P473" s="1"/>
      <c r="Q473" s="1"/>
      <c r="R473" s="1"/>
      <c r="S473" s="1"/>
      <c r="T473" s="1"/>
      <c r="U473" s="1"/>
      <c r="V473" s="1"/>
      <c r="W473" s="1"/>
      <c r="X473" s="1"/>
      <c r="Y473" s="1"/>
    </row>
    <row r="474" spans="1:25">
      <c r="A474" s="1"/>
      <c r="B474" s="1"/>
      <c r="C474" s="1"/>
      <c r="D474" s="1"/>
      <c r="E474" s="1"/>
      <c r="F474" s="1"/>
      <c r="G474" s="1"/>
      <c r="H474" s="3"/>
      <c r="I474" s="1"/>
      <c r="J474" s="1"/>
      <c r="K474" s="1"/>
      <c r="L474" s="1"/>
      <c r="M474" s="1"/>
      <c r="N474" s="1"/>
      <c r="O474" s="1"/>
      <c r="P474" s="1"/>
      <c r="Q474" s="1"/>
      <c r="R474" s="1"/>
      <c r="S474" s="1"/>
      <c r="T474" s="1"/>
      <c r="U474" s="1"/>
      <c r="V474" s="1"/>
      <c r="W474" s="1"/>
      <c r="X474" s="1"/>
      <c r="Y474" s="1"/>
    </row>
    <row r="475" spans="1:25">
      <c r="A475" s="1"/>
      <c r="B475" s="1"/>
      <c r="C475" s="1"/>
      <c r="D475" s="1"/>
      <c r="E475" s="1"/>
      <c r="F475" s="1"/>
      <c r="G475" s="1"/>
      <c r="H475" s="3"/>
      <c r="I475" s="1"/>
      <c r="J475" s="1"/>
      <c r="K475" s="1"/>
      <c r="L475" s="1"/>
      <c r="M475" s="1"/>
      <c r="N475" s="1"/>
      <c r="O475" s="1"/>
      <c r="P475" s="1"/>
      <c r="Q475" s="1"/>
      <c r="R475" s="1"/>
      <c r="S475" s="1"/>
      <c r="T475" s="1"/>
      <c r="U475" s="1"/>
      <c r="V475" s="1"/>
      <c r="W475" s="1"/>
      <c r="X475" s="1"/>
      <c r="Y475" s="1"/>
    </row>
    <row r="476" spans="1:25">
      <c r="A476" s="1"/>
      <c r="B476" s="1"/>
      <c r="C476" s="1"/>
      <c r="D476" s="1"/>
      <c r="E476" s="1"/>
      <c r="F476" s="1"/>
      <c r="G476" s="1"/>
      <c r="H476" s="3"/>
      <c r="I476" s="1"/>
      <c r="J476" s="1"/>
      <c r="K476" s="1"/>
      <c r="L476" s="1"/>
      <c r="M476" s="1"/>
      <c r="N476" s="1"/>
      <c r="O476" s="1"/>
      <c r="P476" s="1"/>
      <c r="Q476" s="1"/>
      <c r="R476" s="1"/>
      <c r="S476" s="1"/>
      <c r="T476" s="1"/>
      <c r="U476" s="1"/>
      <c r="V476" s="1"/>
      <c r="W476" s="1"/>
      <c r="X476" s="1"/>
      <c r="Y476" s="1"/>
    </row>
    <row r="477" spans="1:25">
      <c r="A477" s="1"/>
      <c r="B477" s="1"/>
      <c r="C477" s="1"/>
      <c r="D477" s="1"/>
      <c r="E477" s="1"/>
      <c r="F477" s="1"/>
      <c r="G477" s="1"/>
      <c r="H477" s="3"/>
      <c r="I477" s="1"/>
      <c r="J477" s="1"/>
      <c r="K477" s="1"/>
      <c r="L477" s="1"/>
      <c r="M477" s="1"/>
      <c r="N477" s="1"/>
      <c r="O477" s="1"/>
      <c r="P477" s="1"/>
      <c r="Q477" s="1"/>
      <c r="R477" s="1"/>
      <c r="S477" s="1"/>
      <c r="T477" s="1"/>
      <c r="U477" s="1"/>
      <c r="V477" s="1"/>
      <c r="W477" s="1"/>
      <c r="X477" s="1"/>
      <c r="Y477" s="1"/>
    </row>
    <row r="478" spans="1:25">
      <c r="A478" s="1"/>
      <c r="B478" s="1"/>
      <c r="C478" s="1"/>
      <c r="D478" s="1"/>
      <c r="E478" s="1"/>
      <c r="F478" s="1"/>
      <c r="G478" s="1"/>
      <c r="H478" s="3"/>
      <c r="I478" s="1"/>
      <c r="J478" s="1"/>
      <c r="K478" s="1"/>
      <c r="L478" s="1"/>
      <c r="M478" s="1"/>
      <c r="N478" s="1"/>
      <c r="O478" s="1"/>
      <c r="P478" s="1"/>
      <c r="Q478" s="1"/>
      <c r="R478" s="1"/>
      <c r="S478" s="1"/>
      <c r="T478" s="1"/>
      <c r="U478" s="1"/>
      <c r="V478" s="1"/>
      <c r="W478" s="1"/>
      <c r="X478" s="1"/>
      <c r="Y478" s="1"/>
    </row>
    <row r="479" spans="1:25">
      <c r="A479" s="1"/>
      <c r="B479" s="1"/>
      <c r="C479" s="1"/>
      <c r="D479" s="1"/>
      <c r="E479" s="1"/>
      <c r="F479" s="1"/>
      <c r="G479" s="1"/>
      <c r="H479" s="3"/>
      <c r="I479" s="1"/>
      <c r="J479" s="1"/>
      <c r="K479" s="1"/>
      <c r="L479" s="1"/>
      <c r="M479" s="1"/>
      <c r="N479" s="1"/>
      <c r="O479" s="1"/>
      <c r="P479" s="1"/>
      <c r="Q479" s="1"/>
      <c r="R479" s="1"/>
      <c r="S479" s="1"/>
      <c r="T479" s="1"/>
      <c r="U479" s="1"/>
      <c r="V479" s="1"/>
      <c r="W479" s="1"/>
      <c r="X479" s="1"/>
      <c r="Y479" s="1"/>
    </row>
    <row r="480" spans="1:25">
      <c r="A480" s="1"/>
      <c r="B480" s="1"/>
      <c r="C480" s="1"/>
      <c r="D480" s="1"/>
      <c r="E480" s="1"/>
      <c r="F480" s="1"/>
      <c r="G480" s="1"/>
      <c r="H480" s="3"/>
      <c r="I480" s="1"/>
      <c r="J480" s="1"/>
      <c r="K480" s="1"/>
      <c r="L480" s="1"/>
      <c r="M480" s="1"/>
      <c r="N480" s="1"/>
      <c r="O480" s="1"/>
      <c r="P480" s="1"/>
      <c r="Q480" s="1"/>
      <c r="R480" s="1"/>
      <c r="S480" s="1"/>
      <c r="T480" s="1"/>
      <c r="U480" s="1"/>
      <c r="V480" s="1"/>
      <c r="W480" s="1"/>
      <c r="X480" s="1"/>
      <c r="Y480" s="1"/>
    </row>
    <row r="481" spans="1:25">
      <c r="A481" s="1"/>
      <c r="B481" s="1"/>
      <c r="C481" s="1"/>
      <c r="D481" s="1"/>
      <c r="E481" s="1"/>
      <c r="F481" s="1"/>
      <c r="G481" s="1"/>
      <c r="H481" s="3"/>
      <c r="I481" s="1"/>
      <c r="J481" s="1"/>
      <c r="K481" s="1"/>
      <c r="L481" s="1"/>
      <c r="M481" s="1"/>
      <c r="N481" s="1"/>
      <c r="O481" s="1"/>
      <c r="P481" s="1"/>
      <c r="Q481" s="1"/>
      <c r="R481" s="1"/>
      <c r="S481" s="1"/>
      <c r="T481" s="1"/>
      <c r="U481" s="1"/>
      <c r="V481" s="1"/>
      <c r="W481" s="1"/>
      <c r="X481" s="1"/>
      <c r="Y481" s="1"/>
    </row>
    <row r="482" spans="1:25">
      <c r="A482" s="1"/>
      <c r="B482" s="1"/>
      <c r="C482" s="1"/>
      <c r="D482" s="1"/>
      <c r="E482" s="1"/>
      <c r="F482" s="1"/>
      <c r="G482" s="1"/>
      <c r="H482" s="3"/>
      <c r="I482" s="1"/>
      <c r="J482" s="1"/>
      <c r="K482" s="1"/>
      <c r="L482" s="1"/>
      <c r="M482" s="1"/>
      <c r="N482" s="1"/>
      <c r="O482" s="1"/>
      <c r="P482" s="1"/>
      <c r="Q482" s="1"/>
      <c r="R482" s="1"/>
      <c r="S482" s="1"/>
      <c r="T482" s="1"/>
      <c r="U482" s="1"/>
      <c r="V482" s="1"/>
      <c r="W482" s="1"/>
      <c r="X482" s="1"/>
      <c r="Y482" s="1"/>
    </row>
    <row r="483" spans="1:25">
      <c r="A483" s="1"/>
      <c r="B483" s="1"/>
      <c r="C483" s="1"/>
      <c r="D483" s="1"/>
      <c r="E483" s="1"/>
      <c r="F483" s="1"/>
      <c r="G483" s="1"/>
      <c r="H483" s="3"/>
      <c r="I483" s="1"/>
      <c r="J483" s="1"/>
      <c r="K483" s="1"/>
      <c r="L483" s="1"/>
      <c r="M483" s="1"/>
      <c r="N483" s="1"/>
      <c r="O483" s="1"/>
      <c r="P483" s="1"/>
      <c r="Q483" s="1"/>
      <c r="R483" s="1"/>
      <c r="S483" s="1"/>
      <c r="T483" s="1"/>
      <c r="U483" s="1"/>
      <c r="V483" s="1"/>
      <c r="W483" s="1"/>
      <c r="X483" s="1"/>
      <c r="Y483" s="1"/>
    </row>
    <row r="484" spans="1:25">
      <c r="A484" s="1"/>
      <c r="B484" s="1"/>
      <c r="C484" s="1"/>
      <c r="D484" s="1"/>
      <c r="E484" s="1"/>
      <c r="F484" s="1"/>
      <c r="G484" s="1"/>
      <c r="H484" s="3"/>
      <c r="I484" s="1"/>
      <c r="J484" s="1"/>
      <c r="K484" s="1"/>
      <c r="L484" s="1"/>
      <c r="M484" s="1"/>
      <c r="N484" s="1"/>
      <c r="O484" s="1"/>
      <c r="P484" s="1"/>
      <c r="Q484" s="1"/>
      <c r="R484" s="1"/>
      <c r="S484" s="1"/>
      <c r="T484" s="1"/>
      <c r="U484" s="1"/>
      <c r="V484" s="1"/>
      <c r="W484" s="1"/>
      <c r="X484" s="1"/>
      <c r="Y484" s="1"/>
    </row>
    <row r="485" spans="1:25">
      <c r="A485" s="1"/>
      <c r="B485" s="1"/>
      <c r="C485" s="1"/>
      <c r="D485" s="1"/>
      <c r="E485" s="1"/>
      <c r="F485" s="1"/>
      <c r="G485" s="1"/>
      <c r="H485" s="3"/>
      <c r="I485" s="1"/>
      <c r="J485" s="1"/>
      <c r="K485" s="1"/>
      <c r="L485" s="1"/>
      <c r="M485" s="1"/>
      <c r="N485" s="1"/>
      <c r="O485" s="1"/>
      <c r="P485" s="1"/>
      <c r="Q485" s="1"/>
      <c r="R485" s="1"/>
      <c r="S485" s="1"/>
      <c r="T485" s="1"/>
      <c r="U485" s="1"/>
      <c r="V485" s="1"/>
      <c r="W485" s="1"/>
      <c r="X485" s="1"/>
      <c r="Y485" s="1"/>
    </row>
    <row r="486" spans="1:25">
      <c r="A486" s="1"/>
      <c r="B486" s="1"/>
      <c r="C486" s="1"/>
      <c r="D486" s="1"/>
      <c r="E486" s="1"/>
      <c r="F486" s="1"/>
      <c r="G486" s="1"/>
      <c r="H486" s="3"/>
      <c r="I486" s="1"/>
      <c r="J486" s="1"/>
      <c r="K486" s="1"/>
      <c r="L486" s="1"/>
      <c r="M486" s="1"/>
      <c r="N486" s="1"/>
      <c r="O486" s="1"/>
      <c r="P486" s="1"/>
      <c r="Q486" s="1"/>
      <c r="R486" s="1"/>
      <c r="S486" s="1"/>
      <c r="T486" s="1"/>
      <c r="U486" s="1"/>
      <c r="V486" s="1"/>
      <c r="W486" s="1"/>
      <c r="X486" s="1"/>
      <c r="Y486" s="1"/>
    </row>
    <row r="487" spans="1:25">
      <c r="A487" s="1"/>
      <c r="B487" s="1"/>
      <c r="C487" s="1"/>
      <c r="D487" s="1"/>
      <c r="E487" s="1"/>
      <c r="F487" s="1"/>
      <c r="G487" s="1"/>
      <c r="H487" s="3"/>
      <c r="I487" s="1"/>
      <c r="J487" s="1"/>
      <c r="K487" s="1"/>
      <c r="L487" s="1"/>
      <c r="M487" s="1"/>
      <c r="N487" s="1"/>
      <c r="O487" s="1"/>
      <c r="P487" s="1"/>
      <c r="Q487" s="1"/>
      <c r="R487" s="1"/>
      <c r="S487" s="1"/>
      <c r="T487" s="1"/>
      <c r="U487" s="1"/>
      <c r="V487" s="1"/>
      <c r="W487" s="1"/>
      <c r="X487" s="1"/>
      <c r="Y487" s="1"/>
    </row>
    <row r="488" spans="1:25">
      <c r="A488" s="1"/>
      <c r="B488" s="1"/>
      <c r="C488" s="1"/>
      <c r="D488" s="1"/>
      <c r="E488" s="1"/>
      <c r="F488" s="1"/>
      <c r="G488" s="1"/>
      <c r="H488" s="3"/>
      <c r="I488" s="1"/>
      <c r="J488" s="1"/>
      <c r="K488" s="1"/>
      <c r="L488" s="1"/>
      <c r="M488" s="1"/>
      <c r="N488" s="1"/>
      <c r="O488" s="1"/>
      <c r="P488" s="1"/>
      <c r="Q488" s="1"/>
      <c r="R488" s="1"/>
      <c r="S488" s="1"/>
      <c r="T488" s="1"/>
      <c r="U488" s="1"/>
      <c r="V488" s="1"/>
      <c r="W488" s="1"/>
      <c r="X488" s="1"/>
      <c r="Y488" s="1"/>
    </row>
    <row r="489" spans="1:25">
      <c r="A489" s="1"/>
      <c r="B489" s="1"/>
      <c r="C489" s="1"/>
      <c r="D489" s="1"/>
      <c r="E489" s="1"/>
      <c r="F489" s="1"/>
      <c r="G489" s="1"/>
      <c r="H489" s="3"/>
      <c r="I489" s="1"/>
      <c r="J489" s="1"/>
      <c r="K489" s="1"/>
      <c r="L489" s="1"/>
      <c r="M489" s="1"/>
      <c r="N489" s="1"/>
      <c r="O489" s="1"/>
      <c r="P489" s="1"/>
      <c r="Q489" s="1"/>
      <c r="R489" s="1"/>
      <c r="S489" s="1"/>
      <c r="T489" s="1"/>
      <c r="U489" s="1"/>
      <c r="V489" s="1"/>
      <c r="W489" s="1"/>
      <c r="X489" s="1"/>
      <c r="Y489" s="1"/>
    </row>
    <row r="490" spans="1:25">
      <c r="A490" s="1"/>
      <c r="B490" s="1"/>
      <c r="C490" s="1"/>
      <c r="D490" s="1"/>
      <c r="E490" s="1"/>
      <c r="F490" s="1"/>
      <c r="G490" s="1"/>
      <c r="H490" s="3"/>
      <c r="I490" s="1"/>
      <c r="J490" s="1"/>
      <c r="K490" s="1"/>
      <c r="L490" s="1"/>
      <c r="M490" s="1"/>
      <c r="N490" s="1"/>
      <c r="O490" s="1"/>
      <c r="P490" s="1"/>
      <c r="Q490" s="1"/>
      <c r="R490" s="1"/>
      <c r="S490" s="1"/>
      <c r="T490" s="1"/>
      <c r="U490" s="1"/>
      <c r="V490" s="1"/>
      <c r="W490" s="1"/>
      <c r="X490" s="1"/>
      <c r="Y490" s="1"/>
    </row>
    <row r="491" spans="1:25">
      <c r="A491" s="1"/>
      <c r="B491" s="1"/>
      <c r="C491" s="1"/>
      <c r="D491" s="1"/>
      <c r="E491" s="1"/>
      <c r="F491" s="1"/>
      <c r="G491" s="1"/>
      <c r="H491" s="3"/>
      <c r="I491" s="1"/>
      <c r="J491" s="1"/>
      <c r="K491" s="1"/>
      <c r="L491" s="1"/>
      <c r="M491" s="1"/>
      <c r="N491" s="1"/>
      <c r="O491" s="1"/>
      <c r="P491" s="1"/>
      <c r="Q491" s="1"/>
      <c r="R491" s="1"/>
      <c r="S491" s="1"/>
      <c r="T491" s="1"/>
      <c r="U491" s="1"/>
      <c r="V491" s="1"/>
      <c r="W491" s="1"/>
      <c r="X491" s="1"/>
      <c r="Y491" s="1"/>
    </row>
    <row r="492" spans="1:25">
      <c r="A492" s="1"/>
      <c r="B492" s="1"/>
      <c r="C492" s="1"/>
      <c r="D492" s="1"/>
      <c r="E492" s="1"/>
      <c r="F492" s="1"/>
      <c r="G492" s="1"/>
      <c r="H492" s="3"/>
      <c r="I492" s="1"/>
      <c r="J492" s="1"/>
      <c r="K492" s="1"/>
      <c r="L492" s="1"/>
      <c r="M492" s="1"/>
      <c r="N492" s="1"/>
      <c r="O492" s="1"/>
      <c r="P492" s="1"/>
      <c r="Q492" s="1"/>
      <c r="R492" s="1"/>
      <c r="S492" s="1"/>
      <c r="T492" s="1"/>
      <c r="U492" s="1"/>
      <c r="V492" s="1"/>
      <c r="W492" s="1"/>
      <c r="X492" s="1"/>
      <c r="Y492" s="1"/>
    </row>
    <row r="493" spans="1:25">
      <c r="A493" s="1"/>
      <c r="B493" s="1"/>
      <c r="C493" s="1"/>
      <c r="D493" s="1"/>
      <c r="E493" s="1"/>
      <c r="F493" s="1"/>
      <c r="G493" s="1"/>
      <c r="H493" s="3"/>
      <c r="I493" s="1"/>
      <c r="J493" s="1"/>
      <c r="K493" s="1"/>
      <c r="L493" s="1"/>
      <c r="M493" s="1"/>
      <c r="N493" s="1"/>
      <c r="O493" s="1"/>
      <c r="P493" s="1"/>
      <c r="Q493" s="1"/>
      <c r="R493" s="1"/>
      <c r="S493" s="1"/>
      <c r="T493" s="1"/>
      <c r="U493" s="1"/>
      <c r="V493" s="1"/>
      <c r="W493" s="1"/>
      <c r="X493" s="1"/>
      <c r="Y493" s="1"/>
    </row>
    <row r="494" spans="1:25">
      <c r="A494" s="1"/>
      <c r="B494" s="1"/>
      <c r="C494" s="1"/>
      <c r="D494" s="1"/>
      <c r="E494" s="1"/>
      <c r="F494" s="1"/>
      <c r="G494" s="1"/>
      <c r="H494" s="3"/>
      <c r="I494" s="1"/>
      <c r="J494" s="1"/>
      <c r="K494" s="1"/>
      <c r="L494" s="1"/>
      <c r="M494" s="1"/>
      <c r="N494" s="1"/>
      <c r="O494" s="1"/>
      <c r="P494" s="1"/>
      <c r="Q494" s="1"/>
      <c r="R494" s="1"/>
      <c r="S494" s="1"/>
      <c r="T494" s="1"/>
      <c r="U494" s="1"/>
      <c r="V494" s="1"/>
      <c r="W494" s="1"/>
      <c r="X494" s="1"/>
      <c r="Y494" s="1"/>
    </row>
    <row r="495" spans="1:25">
      <c r="A495" s="1"/>
      <c r="B495" s="1"/>
      <c r="C495" s="1"/>
      <c r="D495" s="1"/>
      <c r="E495" s="1"/>
      <c r="F495" s="1"/>
      <c r="G495" s="1"/>
      <c r="H495" s="3"/>
      <c r="I495" s="1"/>
      <c r="J495" s="1"/>
      <c r="K495" s="1"/>
      <c r="L495" s="1"/>
      <c r="M495" s="1"/>
      <c r="N495" s="1"/>
      <c r="O495" s="1"/>
      <c r="P495" s="1"/>
      <c r="Q495" s="1"/>
      <c r="R495" s="1"/>
      <c r="S495" s="1"/>
      <c r="T495" s="1"/>
      <c r="U495" s="1"/>
      <c r="V495" s="1"/>
      <c r="W495" s="1"/>
      <c r="X495" s="1"/>
      <c r="Y495" s="1"/>
    </row>
    <row r="496" spans="1:25">
      <c r="A496" s="1"/>
      <c r="B496" s="1"/>
      <c r="C496" s="1"/>
      <c r="D496" s="1"/>
      <c r="E496" s="1"/>
      <c r="F496" s="1"/>
      <c r="G496" s="1"/>
      <c r="H496" s="3"/>
      <c r="I496" s="1"/>
      <c r="J496" s="1"/>
      <c r="K496" s="1"/>
      <c r="L496" s="1"/>
      <c r="M496" s="1"/>
      <c r="N496" s="1"/>
      <c r="O496" s="1"/>
      <c r="P496" s="1"/>
      <c r="Q496" s="1"/>
      <c r="R496" s="1"/>
      <c r="S496" s="1"/>
      <c r="T496" s="1"/>
      <c r="U496" s="1"/>
      <c r="V496" s="1"/>
      <c r="W496" s="1"/>
      <c r="X496" s="1"/>
      <c r="Y496" s="1"/>
    </row>
    <row r="497" spans="1:25">
      <c r="A497" s="1"/>
      <c r="B497" s="1"/>
      <c r="C497" s="1"/>
      <c r="D497" s="1"/>
      <c r="E497" s="1"/>
      <c r="F497" s="1"/>
      <c r="G497" s="1"/>
      <c r="H497" s="3"/>
      <c r="I497" s="1"/>
      <c r="J497" s="1"/>
      <c r="K497" s="1"/>
      <c r="L497" s="1"/>
      <c r="M497" s="1"/>
      <c r="N497" s="1"/>
      <c r="O497" s="1"/>
      <c r="P497" s="1"/>
      <c r="Q497" s="1"/>
      <c r="R497" s="1"/>
      <c r="S497" s="1"/>
      <c r="T497" s="1"/>
      <c r="U497" s="1"/>
      <c r="V497" s="1"/>
      <c r="W497" s="1"/>
      <c r="X497" s="1"/>
      <c r="Y497" s="1"/>
    </row>
    <row r="498" spans="1:25">
      <c r="A498" s="1"/>
      <c r="B498" s="1"/>
      <c r="C498" s="1"/>
      <c r="D498" s="1"/>
      <c r="E498" s="1"/>
      <c r="F498" s="1"/>
      <c r="G498" s="1"/>
      <c r="H498" s="3"/>
      <c r="I498" s="1"/>
      <c r="J498" s="1"/>
      <c r="K498" s="1"/>
      <c r="L498" s="1"/>
      <c r="M498" s="1"/>
      <c r="N498" s="1"/>
      <c r="O498" s="1"/>
      <c r="P498" s="1"/>
      <c r="Q498" s="1"/>
      <c r="R498" s="1"/>
      <c r="S498" s="1"/>
      <c r="T498" s="1"/>
      <c r="U498" s="1"/>
      <c r="V498" s="1"/>
      <c r="W498" s="1"/>
      <c r="X498" s="1"/>
      <c r="Y498" s="1"/>
    </row>
    <row r="499" spans="1:25">
      <c r="A499" s="1"/>
      <c r="B499" s="1"/>
      <c r="C499" s="1"/>
      <c r="D499" s="1"/>
      <c r="E499" s="1"/>
      <c r="F499" s="1"/>
      <c r="G499" s="1"/>
      <c r="H499" s="3"/>
      <c r="I499" s="1"/>
      <c r="J499" s="1"/>
      <c r="K499" s="1"/>
      <c r="L499" s="1"/>
      <c r="M499" s="1"/>
      <c r="N499" s="1"/>
      <c r="O499" s="1"/>
      <c r="P499" s="1"/>
      <c r="Q499" s="1"/>
      <c r="R499" s="1"/>
      <c r="S499" s="1"/>
      <c r="T499" s="1"/>
      <c r="U499" s="1"/>
      <c r="V499" s="1"/>
      <c r="W499" s="1"/>
      <c r="X499" s="1"/>
      <c r="Y499" s="1"/>
    </row>
    <row r="500" spans="1:25">
      <c r="A500" s="1"/>
      <c r="B500" s="1"/>
      <c r="C500" s="1"/>
      <c r="D500" s="1"/>
      <c r="E500" s="1"/>
      <c r="F500" s="1"/>
      <c r="G500" s="1"/>
      <c r="H500" s="3"/>
      <c r="I500" s="1"/>
      <c r="J500" s="1"/>
      <c r="K500" s="1"/>
      <c r="L500" s="1"/>
      <c r="M500" s="1"/>
      <c r="N500" s="1"/>
      <c r="O500" s="1"/>
      <c r="P500" s="1"/>
      <c r="Q500" s="1"/>
      <c r="R500" s="1"/>
      <c r="S500" s="1"/>
      <c r="T500" s="1"/>
      <c r="U500" s="1"/>
      <c r="V500" s="1"/>
      <c r="W500" s="1"/>
      <c r="X500" s="1"/>
      <c r="Y500" s="1"/>
    </row>
    <row r="501" spans="1:25">
      <c r="A501" s="1"/>
      <c r="B501" s="1"/>
      <c r="C501" s="1"/>
      <c r="D501" s="1"/>
      <c r="E501" s="1"/>
      <c r="F501" s="1"/>
      <c r="G501" s="1"/>
      <c r="H501" s="3"/>
      <c r="I501" s="1"/>
      <c r="J501" s="1"/>
      <c r="K501" s="1"/>
      <c r="L501" s="1"/>
      <c r="M501" s="1"/>
      <c r="N501" s="1"/>
      <c r="O501" s="1"/>
      <c r="P501" s="1"/>
      <c r="Q501" s="1"/>
      <c r="R501" s="1"/>
      <c r="S501" s="1"/>
      <c r="T501" s="1"/>
      <c r="U501" s="1"/>
      <c r="V501" s="1"/>
      <c r="W501" s="1"/>
      <c r="X501" s="1"/>
      <c r="Y501" s="1"/>
    </row>
    <row r="502" spans="1:25">
      <c r="A502" s="1"/>
      <c r="B502" s="1"/>
      <c r="C502" s="1"/>
      <c r="D502" s="1"/>
      <c r="E502" s="1"/>
      <c r="F502" s="1"/>
      <c r="G502" s="1"/>
      <c r="H502" s="3"/>
      <c r="I502" s="1"/>
      <c r="J502" s="1"/>
      <c r="K502" s="1"/>
      <c r="L502" s="1"/>
      <c r="M502" s="1"/>
      <c r="N502" s="1"/>
      <c r="O502" s="1"/>
      <c r="P502" s="1"/>
      <c r="Q502" s="1"/>
      <c r="R502" s="1"/>
      <c r="S502" s="1"/>
      <c r="T502" s="1"/>
      <c r="U502" s="1"/>
      <c r="V502" s="1"/>
      <c r="W502" s="1"/>
      <c r="X502" s="1"/>
      <c r="Y502" s="1"/>
    </row>
    <row r="503" spans="1:25">
      <c r="A503" s="1"/>
      <c r="B503" s="1"/>
      <c r="C503" s="1"/>
      <c r="D503" s="1"/>
      <c r="E503" s="1"/>
      <c r="F503" s="1"/>
      <c r="G503" s="1"/>
      <c r="H503" s="3"/>
      <c r="I503" s="1"/>
      <c r="J503" s="1"/>
      <c r="K503" s="1"/>
      <c r="L503" s="1"/>
      <c r="M503" s="1"/>
      <c r="N503" s="1"/>
      <c r="O503" s="1"/>
      <c r="P503" s="1"/>
      <c r="Q503" s="1"/>
      <c r="R503" s="1"/>
      <c r="S503" s="1"/>
      <c r="T503" s="1"/>
      <c r="U503" s="1"/>
      <c r="V503" s="1"/>
      <c r="W503" s="1"/>
      <c r="X503" s="1"/>
      <c r="Y503" s="1"/>
    </row>
    <row r="504" spans="1:25">
      <c r="A504" s="1"/>
      <c r="B504" s="1"/>
      <c r="C504" s="1"/>
      <c r="D504" s="1"/>
      <c r="E504" s="1"/>
      <c r="F504" s="1"/>
      <c r="G504" s="1"/>
      <c r="H504" s="3"/>
      <c r="I504" s="1"/>
      <c r="J504" s="1"/>
      <c r="K504" s="1"/>
      <c r="L504" s="1"/>
      <c r="M504" s="1"/>
      <c r="N504" s="1"/>
      <c r="O504" s="1"/>
      <c r="P504" s="1"/>
      <c r="Q504" s="1"/>
      <c r="R504" s="1"/>
      <c r="S504" s="1"/>
      <c r="T504" s="1"/>
      <c r="U504" s="1"/>
      <c r="V504" s="1"/>
      <c r="W504" s="1"/>
      <c r="X504" s="1"/>
      <c r="Y504" s="1"/>
    </row>
    <row r="505" spans="1:25">
      <c r="A505" s="1"/>
      <c r="B505" s="1"/>
      <c r="C505" s="1"/>
      <c r="D505" s="1"/>
      <c r="E505" s="1"/>
      <c r="F505" s="1"/>
      <c r="G505" s="1"/>
      <c r="H505" s="3"/>
      <c r="I505" s="1"/>
      <c r="J505" s="1"/>
      <c r="K505" s="1"/>
      <c r="L505" s="1"/>
      <c r="M505" s="1"/>
      <c r="N505" s="1"/>
      <c r="O505" s="1"/>
      <c r="P505" s="1"/>
      <c r="Q505" s="1"/>
      <c r="R505" s="1"/>
      <c r="S505" s="1"/>
      <c r="T505" s="1"/>
      <c r="U505" s="1"/>
      <c r="V505" s="1"/>
      <c r="W505" s="1"/>
      <c r="X505" s="1"/>
      <c r="Y505" s="1"/>
    </row>
    <row r="506" spans="1:25">
      <c r="A506" s="1"/>
      <c r="B506" s="1"/>
      <c r="C506" s="1"/>
      <c r="D506" s="1"/>
      <c r="E506" s="1"/>
      <c r="F506" s="1"/>
      <c r="G506" s="1"/>
      <c r="H506" s="3"/>
      <c r="I506" s="1"/>
      <c r="J506" s="1"/>
      <c r="K506" s="1"/>
      <c r="L506" s="1"/>
      <c r="M506" s="1"/>
      <c r="N506" s="1"/>
      <c r="O506" s="1"/>
      <c r="P506" s="1"/>
      <c r="Q506" s="1"/>
      <c r="R506" s="1"/>
      <c r="S506" s="1"/>
      <c r="T506" s="1"/>
      <c r="U506" s="1"/>
      <c r="V506" s="1"/>
      <c r="W506" s="1"/>
      <c r="X506" s="1"/>
      <c r="Y506" s="1"/>
    </row>
    <row r="507" spans="1:25">
      <c r="A507" s="1"/>
      <c r="B507" s="1"/>
      <c r="C507" s="1"/>
      <c r="D507" s="1"/>
      <c r="E507" s="1"/>
      <c r="F507" s="1"/>
      <c r="G507" s="1"/>
      <c r="H507" s="3"/>
      <c r="I507" s="1"/>
      <c r="J507" s="1"/>
      <c r="K507" s="1"/>
      <c r="L507" s="1"/>
      <c r="M507" s="1"/>
      <c r="N507" s="1"/>
      <c r="O507" s="1"/>
      <c r="P507" s="1"/>
      <c r="Q507" s="1"/>
      <c r="R507" s="1"/>
      <c r="S507" s="1"/>
      <c r="T507" s="1"/>
      <c r="U507" s="1"/>
      <c r="V507" s="1"/>
      <c r="W507" s="1"/>
      <c r="X507" s="1"/>
      <c r="Y507" s="1"/>
    </row>
    <row r="508" spans="1:25">
      <c r="A508" s="1"/>
      <c r="B508" s="1"/>
      <c r="C508" s="1"/>
      <c r="D508" s="1"/>
      <c r="E508" s="1"/>
      <c r="F508" s="1"/>
      <c r="G508" s="1"/>
      <c r="H508" s="3"/>
      <c r="I508" s="1"/>
      <c r="J508" s="1"/>
      <c r="K508" s="1"/>
      <c r="L508" s="1"/>
      <c r="M508" s="1"/>
      <c r="N508" s="1"/>
      <c r="O508" s="1"/>
      <c r="P508" s="1"/>
      <c r="Q508" s="1"/>
      <c r="R508" s="1"/>
      <c r="S508" s="1"/>
      <c r="T508" s="1"/>
      <c r="U508" s="1"/>
      <c r="V508" s="1"/>
      <c r="W508" s="1"/>
      <c r="X508" s="1"/>
      <c r="Y508" s="1"/>
    </row>
    <row r="509" spans="1:25">
      <c r="A509" s="1"/>
      <c r="B509" s="1"/>
      <c r="C509" s="1"/>
      <c r="D509" s="1"/>
      <c r="E509" s="1"/>
      <c r="F509" s="1"/>
      <c r="G509" s="1"/>
      <c r="H509" s="3"/>
      <c r="I509" s="1"/>
      <c r="J509" s="1"/>
      <c r="K509" s="1"/>
      <c r="L509" s="1"/>
      <c r="M509" s="1"/>
      <c r="N509" s="1"/>
      <c r="O509" s="1"/>
      <c r="P509" s="1"/>
      <c r="Q509" s="1"/>
      <c r="R509" s="1"/>
      <c r="S509" s="1"/>
      <c r="T509" s="1"/>
      <c r="U509" s="1"/>
      <c r="V509" s="1"/>
      <c r="W509" s="1"/>
      <c r="X509" s="1"/>
      <c r="Y509" s="1"/>
    </row>
    <row r="510" spans="1:25">
      <c r="A510" s="1"/>
      <c r="B510" s="1"/>
      <c r="C510" s="1"/>
      <c r="D510" s="1"/>
      <c r="E510" s="1"/>
      <c r="F510" s="1"/>
      <c r="G510" s="1"/>
      <c r="H510" s="3"/>
      <c r="I510" s="1"/>
      <c r="J510" s="1"/>
      <c r="K510" s="1"/>
      <c r="L510" s="1"/>
      <c r="M510" s="1"/>
      <c r="N510" s="1"/>
      <c r="O510" s="1"/>
      <c r="P510" s="1"/>
      <c r="Q510" s="1"/>
      <c r="R510" s="1"/>
      <c r="S510" s="1"/>
      <c r="T510" s="1"/>
      <c r="U510" s="1"/>
      <c r="V510" s="1"/>
      <c r="W510" s="1"/>
      <c r="X510" s="1"/>
      <c r="Y510" s="1"/>
    </row>
    <row r="511" spans="1:25">
      <c r="A511" s="1"/>
      <c r="B511" s="1"/>
      <c r="C511" s="1"/>
      <c r="D511" s="1"/>
      <c r="E511" s="1"/>
      <c r="F511" s="1"/>
      <c r="G511" s="1"/>
      <c r="H511" s="3"/>
      <c r="I511" s="1"/>
      <c r="J511" s="1"/>
      <c r="K511" s="1"/>
      <c r="L511" s="1"/>
      <c r="M511" s="1"/>
      <c r="N511" s="1"/>
      <c r="O511" s="1"/>
      <c r="P511" s="1"/>
      <c r="Q511" s="1"/>
      <c r="R511" s="1"/>
      <c r="S511" s="1"/>
      <c r="T511" s="1"/>
      <c r="U511" s="1"/>
      <c r="V511" s="1"/>
      <c r="W511" s="1"/>
      <c r="X511" s="1"/>
      <c r="Y511" s="1"/>
    </row>
    <row r="512" spans="1:25">
      <c r="A512" s="1"/>
      <c r="B512" s="1"/>
      <c r="C512" s="1"/>
      <c r="D512" s="1"/>
      <c r="E512" s="1"/>
      <c r="F512" s="1"/>
      <c r="G512" s="1"/>
      <c r="H512" s="3"/>
      <c r="I512" s="1"/>
      <c r="J512" s="1"/>
      <c r="K512" s="1"/>
      <c r="L512" s="1"/>
      <c r="M512" s="1"/>
      <c r="N512" s="1"/>
      <c r="O512" s="1"/>
      <c r="P512" s="1"/>
      <c r="Q512" s="1"/>
      <c r="R512" s="1"/>
      <c r="S512" s="1"/>
      <c r="T512" s="1"/>
      <c r="U512" s="1"/>
      <c r="V512" s="1"/>
      <c r="W512" s="1"/>
      <c r="X512" s="1"/>
      <c r="Y512" s="1"/>
    </row>
    <row r="513" spans="1:25">
      <c r="A513" s="1"/>
      <c r="B513" s="1"/>
      <c r="C513" s="1"/>
      <c r="D513" s="1"/>
      <c r="E513" s="1"/>
      <c r="F513" s="1"/>
      <c r="G513" s="1"/>
      <c r="H513" s="3"/>
      <c r="I513" s="1"/>
      <c r="J513" s="1"/>
      <c r="K513" s="1"/>
      <c r="L513" s="1"/>
      <c r="M513" s="1"/>
      <c r="N513" s="1"/>
      <c r="O513" s="1"/>
      <c r="P513" s="1"/>
      <c r="Q513" s="1"/>
      <c r="R513" s="1"/>
      <c r="S513" s="1"/>
      <c r="T513" s="1"/>
      <c r="U513" s="1"/>
      <c r="V513" s="1"/>
      <c r="W513" s="1"/>
      <c r="X513" s="1"/>
      <c r="Y513" s="1"/>
    </row>
    <row r="514" spans="1:25">
      <c r="A514" s="1"/>
      <c r="B514" s="1"/>
      <c r="C514" s="1"/>
      <c r="D514" s="1"/>
      <c r="E514" s="1"/>
      <c r="F514" s="1"/>
      <c r="G514" s="1"/>
      <c r="H514" s="3"/>
      <c r="I514" s="1"/>
      <c r="J514" s="1"/>
      <c r="K514" s="1"/>
      <c r="L514" s="1"/>
      <c r="M514" s="1"/>
      <c r="N514" s="1"/>
      <c r="O514" s="1"/>
      <c r="P514" s="1"/>
      <c r="Q514" s="1"/>
      <c r="R514" s="1"/>
      <c r="S514" s="1"/>
      <c r="T514" s="1"/>
      <c r="U514" s="1"/>
      <c r="V514" s="1"/>
      <c r="W514" s="1"/>
      <c r="X514" s="1"/>
      <c r="Y514" s="1"/>
    </row>
    <row r="515" spans="1:25">
      <c r="A515" s="1"/>
      <c r="B515" s="1"/>
      <c r="C515" s="1"/>
      <c r="D515" s="1"/>
      <c r="E515" s="1"/>
      <c r="F515" s="1"/>
      <c r="G515" s="1"/>
      <c r="H515" s="3"/>
      <c r="I515" s="1"/>
      <c r="J515" s="1"/>
      <c r="K515" s="1"/>
      <c r="L515" s="1"/>
      <c r="M515" s="1"/>
      <c r="N515" s="1"/>
      <c r="O515" s="1"/>
      <c r="P515" s="1"/>
      <c r="Q515" s="1"/>
      <c r="R515" s="1"/>
      <c r="S515" s="1"/>
      <c r="T515" s="1"/>
      <c r="U515" s="1"/>
      <c r="V515" s="1"/>
      <c r="W515" s="1"/>
      <c r="X515" s="1"/>
      <c r="Y515" s="1"/>
    </row>
    <row r="516" spans="1:25">
      <c r="A516" s="1"/>
      <c r="B516" s="1"/>
      <c r="C516" s="1"/>
      <c r="D516" s="1"/>
      <c r="E516" s="1"/>
      <c r="F516" s="1"/>
      <c r="G516" s="1"/>
      <c r="H516" s="3"/>
      <c r="I516" s="1"/>
      <c r="J516" s="1"/>
      <c r="K516" s="1"/>
      <c r="L516" s="1"/>
      <c r="M516" s="1"/>
      <c r="N516" s="1"/>
      <c r="O516" s="1"/>
      <c r="P516" s="1"/>
      <c r="Q516" s="1"/>
      <c r="R516" s="1"/>
      <c r="S516" s="1"/>
      <c r="T516" s="1"/>
      <c r="U516" s="1"/>
      <c r="V516" s="1"/>
      <c r="W516" s="1"/>
      <c r="X516" s="1"/>
      <c r="Y516" s="1"/>
    </row>
    <row r="517" spans="1:25">
      <c r="A517" s="1"/>
      <c r="B517" s="1"/>
      <c r="C517" s="1"/>
      <c r="D517" s="1"/>
      <c r="E517" s="1"/>
      <c r="F517" s="1"/>
      <c r="G517" s="1"/>
      <c r="H517" s="3"/>
      <c r="I517" s="1"/>
      <c r="J517" s="1"/>
      <c r="K517" s="1"/>
      <c r="L517" s="1"/>
      <c r="M517" s="1"/>
      <c r="N517" s="1"/>
      <c r="O517" s="1"/>
      <c r="P517" s="1"/>
      <c r="Q517" s="1"/>
      <c r="R517" s="1"/>
      <c r="S517" s="1"/>
      <c r="T517" s="1"/>
      <c r="U517" s="1"/>
      <c r="V517" s="1"/>
      <c r="W517" s="1"/>
      <c r="X517" s="1"/>
      <c r="Y517" s="1"/>
    </row>
    <row r="518" spans="1:25">
      <c r="A518" s="1"/>
      <c r="B518" s="1"/>
      <c r="C518" s="1"/>
      <c r="D518" s="1"/>
      <c r="E518" s="1"/>
      <c r="F518" s="1"/>
      <c r="G518" s="1"/>
      <c r="H518" s="3"/>
      <c r="I518" s="1"/>
      <c r="J518" s="1"/>
      <c r="K518" s="1"/>
      <c r="L518" s="1"/>
      <c r="M518" s="1"/>
      <c r="N518" s="1"/>
      <c r="O518" s="1"/>
      <c r="P518" s="1"/>
      <c r="Q518" s="1"/>
      <c r="R518" s="1"/>
      <c r="S518" s="1"/>
      <c r="T518" s="1"/>
      <c r="U518" s="1"/>
      <c r="V518" s="1"/>
      <c r="W518" s="1"/>
      <c r="X518" s="1"/>
      <c r="Y518" s="1"/>
    </row>
    <row r="519" spans="1:25">
      <c r="A519" s="1"/>
      <c r="B519" s="1"/>
      <c r="C519" s="1"/>
      <c r="D519" s="1"/>
      <c r="E519" s="1"/>
      <c r="F519" s="1"/>
      <c r="G519" s="1"/>
      <c r="H519" s="3"/>
      <c r="I519" s="1"/>
      <c r="J519" s="1"/>
      <c r="K519" s="1"/>
      <c r="L519" s="1"/>
      <c r="M519" s="1"/>
      <c r="N519" s="1"/>
      <c r="O519" s="1"/>
      <c r="P519" s="1"/>
      <c r="Q519" s="1"/>
      <c r="R519" s="1"/>
      <c r="S519" s="1"/>
      <c r="T519" s="1"/>
      <c r="U519" s="1"/>
      <c r="V519" s="1"/>
      <c r="W519" s="1"/>
      <c r="X519" s="1"/>
      <c r="Y519" s="1"/>
    </row>
    <row r="520" spans="1:25">
      <c r="A520" s="1"/>
      <c r="B520" s="1"/>
      <c r="C520" s="1"/>
      <c r="D520" s="1"/>
      <c r="E520" s="1"/>
      <c r="F520" s="1"/>
      <c r="G520" s="1"/>
      <c r="H520" s="3"/>
      <c r="I520" s="1"/>
      <c r="J520" s="1"/>
      <c r="K520" s="1"/>
      <c r="L520" s="1"/>
      <c r="M520" s="1"/>
      <c r="N520" s="1"/>
      <c r="O520" s="1"/>
      <c r="P520" s="1"/>
      <c r="Q520" s="1"/>
      <c r="R520" s="1"/>
      <c r="S520" s="1"/>
      <c r="T520" s="1"/>
      <c r="U520" s="1"/>
      <c r="V520" s="1"/>
      <c r="W520" s="1"/>
      <c r="X520" s="1"/>
      <c r="Y520" s="1"/>
    </row>
    <row r="521" spans="1:25">
      <c r="A521" s="1"/>
      <c r="B521" s="1"/>
      <c r="C521" s="1"/>
      <c r="D521" s="1"/>
      <c r="E521" s="1"/>
      <c r="F521" s="1"/>
      <c r="G521" s="1"/>
      <c r="H521" s="3"/>
      <c r="I521" s="1"/>
      <c r="J521" s="1"/>
      <c r="K521" s="1"/>
      <c r="L521" s="1"/>
      <c r="M521" s="1"/>
      <c r="N521" s="1"/>
      <c r="O521" s="1"/>
      <c r="P521" s="1"/>
      <c r="Q521" s="1"/>
      <c r="R521" s="1"/>
      <c r="S521" s="1"/>
      <c r="T521" s="1"/>
      <c r="U521" s="1"/>
      <c r="V521" s="1"/>
      <c r="W521" s="1"/>
      <c r="X521" s="1"/>
      <c r="Y521" s="1"/>
    </row>
    <row r="522" spans="1:25">
      <c r="A522" s="1"/>
      <c r="B522" s="1"/>
      <c r="C522" s="1"/>
      <c r="D522" s="1"/>
      <c r="E522" s="1"/>
      <c r="F522" s="1"/>
      <c r="G522" s="1"/>
      <c r="H522" s="3"/>
      <c r="I522" s="1"/>
      <c r="J522" s="1"/>
      <c r="K522" s="1"/>
      <c r="L522" s="1"/>
      <c r="M522" s="1"/>
      <c r="N522" s="1"/>
      <c r="O522" s="1"/>
      <c r="P522" s="1"/>
      <c r="Q522" s="1"/>
      <c r="R522" s="1"/>
      <c r="S522" s="1"/>
      <c r="T522" s="1"/>
      <c r="U522" s="1"/>
      <c r="V522" s="1"/>
      <c r="W522" s="1"/>
      <c r="X522" s="1"/>
      <c r="Y522" s="1"/>
    </row>
    <row r="523" spans="1:25">
      <c r="A523" s="1"/>
      <c r="B523" s="1"/>
      <c r="C523" s="1"/>
      <c r="D523" s="1"/>
      <c r="E523" s="1"/>
      <c r="F523" s="1"/>
      <c r="G523" s="1"/>
      <c r="H523" s="3"/>
      <c r="I523" s="1"/>
      <c r="J523" s="1"/>
      <c r="K523" s="1"/>
      <c r="L523" s="1"/>
      <c r="M523" s="1"/>
      <c r="N523" s="1"/>
      <c r="O523" s="1"/>
      <c r="P523" s="1"/>
      <c r="Q523" s="1"/>
      <c r="R523" s="1"/>
      <c r="S523" s="1"/>
      <c r="T523" s="1"/>
      <c r="U523" s="1"/>
      <c r="V523" s="1"/>
      <c r="W523" s="1"/>
      <c r="X523" s="1"/>
      <c r="Y523" s="1"/>
    </row>
    <row r="524" spans="1:25">
      <c r="A524" s="1"/>
      <c r="B524" s="1"/>
      <c r="C524" s="1"/>
      <c r="D524" s="1"/>
      <c r="E524" s="1"/>
      <c r="F524" s="1"/>
      <c r="G524" s="1"/>
      <c r="H524" s="3"/>
      <c r="I524" s="1"/>
      <c r="J524" s="1"/>
      <c r="K524" s="1"/>
      <c r="L524" s="1"/>
      <c r="M524" s="1"/>
      <c r="N524" s="1"/>
      <c r="O524" s="1"/>
      <c r="P524" s="1"/>
      <c r="Q524" s="1"/>
      <c r="R524" s="1"/>
      <c r="S524" s="1"/>
      <c r="T524" s="1"/>
      <c r="U524" s="1"/>
      <c r="V524" s="1"/>
      <c r="W524" s="1"/>
      <c r="X524" s="1"/>
      <c r="Y524" s="1"/>
    </row>
    <row r="525" spans="1:25">
      <c r="A525" s="1"/>
      <c r="B525" s="1"/>
      <c r="C525" s="1"/>
      <c r="D525" s="1"/>
      <c r="E525" s="1"/>
      <c r="F525" s="1"/>
      <c r="G525" s="1"/>
      <c r="H525" s="3"/>
      <c r="I525" s="1"/>
      <c r="J525" s="1"/>
      <c r="K525" s="1"/>
      <c r="L525" s="1"/>
      <c r="M525" s="1"/>
      <c r="N525" s="1"/>
      <c r="O525" s="1"/>
      <c r="P525" s="1"/>
      <c r="Q525" s="1"/>
      <c r="R525" s="1"/>
      <c r="S525" s="1"/>
      <c r="T525" s="1"/>
      <c r="U525" s="1"/>
      <c r="V525" s="1"/>
      <c r="W525" s="1"/>
      <c r="X525" s="1"/>
      <c r="Y525" s="1"/>
    </row>
    <row r="526" spans="1:25">
      <c r="A526" s="1"/>
      <c r="B526" s="1"/>
      <c r="C526" s="1"/>
      <c r="D526" s="1"/>
      <c r="E526" s="1"/>
      <c r="F526" s="1"/>
      <c r="G526" s="1"/>
      <c r="H526" s="3"/>
      <c r="I526" s="1"/>
      <c r="J526" s="1"/>
      <c r="K526" s="1"/>
      <c r="L526" s="1"/>
      <c r="M526" s="1"/>
      <c r="N526" s="1"/>
      <c r="O526" s="1"/>
      <c r="P526" s="1"/>
      <c r="Q526" s="1"/>
      <c r="R526" s="1"/>
      <c r="S526" s="1"/>
      <c r="T526" s="1"/>
      <c r="U526" s="1"/>
      <c r="V526" s="1"/>
      <c r="W526" s="1"/>
      <c r="X526" s="1"/>
      <c r="Y526" s="1"/>
    </row>
    <row r="527" spans="1:25">
      <c r="A527" s="1"/>
      <c r="B527" s="1"/>
      <c r="C527" s="1"/>
      <c r="D527" s="1"/>
      <c r="E527" s="1"/>
      <c r="F527" s="1"/>
      <c r="G527" s="1"/>
      <c r="H527" s="3"/>
      <c r="I527" s="1"/>
      <c r="J527" s="1"/>
      <c r="K527" s="1"/>
      <c r="L527" s="1"/>
      <c r="M527" s="1"/>
      <c r="N527" s="1"/>
      <c r="O527" s="1"/>
      <c r="P527" s="1"/>
      <c r="Q527" s="1"/>
      <c r="R527" s="1"/>
      <c r="S527" s="1"/>
      <c r="T527" s="1"/>
      <c r="U527" s="1"/>
      <c r="V527" s="1"/>
      <c r="W527" s="1"/>
      <c r="X527" s="1"/>
      <c r="Y527" s="1"/>
    </row>
    <row r="528" spans="1:25">
      <c r="A528" s="1"/>
      <c r="B528" s="1"/>
      <c r="C528" s="1"/>
      <c r="D528" s="1"/>
      <c r="E528" s="1"/>
      <c r="F528" s="1"/>
      <c r="G528" s="1"/>
      <c r="H528" s="3"/>
      <c r="I528" s="1"/>
      <c r="J528" s="1"/>
      <c r="K528" s="1"/>
      <c r="L528" s="1"/>
      <c r="M528" s="1"/>
      <c r="N528" s="1"/>
      <c r="O528" s="1"/>
      <c r="P528" s="1"/>
      <c r="Q528" s="1"/>
      <c r="R528" s="1"/>
      <c r="S528" s="1"/>
      <c r="T528" s="1"/>
      <c r="U528" s="1"/>
      <c r="V528" s="1"/>
      <c r="W528" s="1"/>
      <c r="X528" s="1"/>
      <c r="Y528" s="1"/>
    </row>
    <row r="529" spans="1:25">
      <c r="A529" s="1"/>
      <c r="B529" s="1"/>
      <c r="C529" s="1"/>
      <c r="D529" s="1"/>
      <c r="E529" s="1"/>
      <c r="F529" s="1"/>
      <c r="G529" s="1"/>
      <c r="H529" s="3"/>
      <c r="I529" s="1"/>
      <c r="J529" s="1"/>
      <c r="K529" s="1"/>
      <c r="L529" s="1"/>
      <c r="M529" s="1"/>
      <c r="N529" s="1"/>
      <c r="O529" s="1"/>
      <c r="P529" s="1"/>
      <c r="Q529" s="1"/>
      <c r="R529" s="1"/>
      <c r="S529" s="1"/>
      <c r="T529" s="1"/>
      <c r="U529" s="1"/>
      <c r="V529" s="1"/>
      <c r="W529" s="1"/>
      <c r="X529" s="1"/>
      <c r="Y529" s="1"/>
    </row>
    <row r="530" spans="1:25">
      <c r="A530" s="1"/>
      <c r="B530" s="1"/>
      <c r="C530" s="1"/>
      <c r="D530" s="1"/>
      <c r="E530" s="1"/>
      <c r="F530" s="1"/>
      <c r="G530" s="1"/>
      <c r="H530" s="3"/>
      <c r="I530" s="1"/>
      <c r="J530" s="1"/>
      <c r="K530" s="1"/>
      <c r="L530" s="1"/>
      <c r="M530" s="1"/>
      <c r="N530" s="1"/>
      <c r="O530" s="1"/>
      <c r="P530" s="1"/>
      <c r="Q530" s="1"/>
      <c r="R530" s="1"/>
      <c r="S530" s="1"/>
      <c r="T530" s="1"/>
      <c r="U530" s="1"/>
      <c r="V530" s="1"/>
      <c r="W530" s="1"/>
      <c r="X530" s="1"/>
      <c r="Y530" s="1"/>
    </row>
    <row r="531" spans="1:25">
      <c r="A531" s="1"/>
      <c r="B531" s="1"/>
      <c r="C531" s="1"/>
      <c r="D531" s="1"/>
      <c r="E531" s="1"/>
      <c r="F531" s="1"/>
      <c r="G531" s="1"/>
      <c r="H531" s="3"/>
      <c r="I531" s="1"/>
      <c r="J531" s="1"/>
      <c r="K531" s="1"/>
      <c r="L531" s="1"/>
      <c r="M531" s="1"/>
      <c r="N531" s="1"/>
      <c r="O531" s="1"/>
      <c r="P531" s="1"/>
      <c r="Q531" s="1"/>
      <c r="R531" s="1"/>
      <c r="S531" s="1"/>
      <c r="T531" s="1"/>
      <c r="U531" s="1"/>
      <c r="V531" s="1"/>
      <c r="W531" s="1"/>
      <c r="X531" s="1"/>
      <c r="Y531" s="1"/>
    </row>
    <row r="532" spans="1:25">
      <c r="A532" s="1"/>
      <c r="B532" s="1"/>
      <c r="C532" s="1"/>
      <c r="D532" s="1"/>
      <c r="E532" s="1"/>
      <c r="F532" s="1"/>
      <c r="G532" s="1"/>
      <c r="H532" s="3"/>
      <c r="I532" s="1"/>
      <c r="J532" s="1"/>
      <c r="K532" s="1"/>
      <c r="L532" s="1"/>
      <c r="M532" s="1"/>
      <c r="N532" s="1"/>
      <c r="O532" s="1"/>
      <c r="P532" s="1"/>
      <c r="Q532" s="1"/>
      <c r="R532" s="1"/>
      <c r="S532" s="1"/>
      <c r="T532" s="1"/>
      <c r="U532" s="1"/>
      <c r="V532" s="1"/>
      <c r="W532" s="1"/>
      <c r="X532" s="1"/>
      <c r="Y532" s="1"/>
    </row>
    <row r="533" spans="1:25">
      <c r="A533" s="1"/>
      <c r="B533" s="1"/>
      <c r="C533" s="1"/>
      <c r="D533" s="1"/>
      <c r="E533" s="1"/>
      <c r="F533" s="1"/>
      <c r="G533" s="1"/>
      <c r="H533" s="3"/>
      <c r="I533" s="1"/>
      <c r="J533" s="1"/>
      <c r="K533" s="1"/>
      <c r="L533" s="1"/>
      <c r="M533" s="1"/>
      <c r="N533" s="1"/>
      <c r="O533" s="1"/>
      <c r="P533" s="1"/>
      <c r="Q533" s="1"/>
      <c r="R533" s="1"/>
      <c r="S533" s="1"/>
      <c r="T533" s="1"/>
      <c r="U533" s="1"/>
      <c r="V533" s="1"/>
      <c r="W533" s="1"/>
      <c r="X533" s="1"/>
      <c r="Y533" s="1"/>
    </row>
    <row r="534" spans="1:25">
      <c r="A534" s="1"/>
      <c r="B534" s="1"/>
      <c r="C534" s="1"/>
      <c r="D534" s="1"/>
      <c r="E534" s="1"/>
      <c r="F534" s="1"/>
      <c r="G534" s="1"/>
      <c r="H534" s="3"/>
      <c r="I534" s="1"/>
      <c r="J534" s="1"/>
      <c r="K534" s="1"/>
      <c r="L534" s="1"/>
      <c r="M534" s="1"/>
      <c r="N534" s="1"/>
      <c r="O534" s="1"/>
      <c r="P534" s="1"/>
      <c r="Q534" s="1"/>
      <c r="R534" s="1"/>
      <c r="S534" s="1"/>
      <c r="T534" s="1"/>
      <c r="U534" s="1"/>
      <c r="V534" s="1"/>
      <c r="W534" s="1"/>
      <c r="X534" s="1"/>
      <c r="Y534" s="1"/>
    </row>
    <row r="535" spans="1:25">
      <c r="A535" s="1"/>
      <c r="B535" s="1"/>
      <c r="C535" s="1"/>
      <c r="D535" s="1"/>
      <c r="E535" s="1"/>
      <c r="F535" s="1"/>
      <c r="G535" s="1"/>
      <c r="H535" s="3"/>
      <c r="I535" s="1"/>
      <c r="J535" s="1"/>
      <c r="K535" s="1"/>
      <c r="L535" s="1"/>
      <c r="M535" s="1"/>
      <c r="N535" s="1"/>
      <c r="O535" s="1"/>
      <c r="P535" s="1"/>
      <c r="Q535" s="1"/>
      <c r="R535" s="1"/>
      <c r="S535" s="1"/>
      <c r="T535" s="1"/>
      <c r="U535" s="1"/>
      <c r="V535" s="1"/>
      <c r="W535" s="1"/>
      <c r="X535" s="1"/>
      <c r="Y535" s="1"/>
    </row>
    <row r="536" spans="1:25">
      <c r="A536" s="1"/>
      <c r="B536" s="1"/>
      <c r="C536" s="1"/>
      <c r="D536" s="1"/>
      <c r="E536" s="1"/>
      <c r="F536" s="1"/>
      <c r="G536" s="1"/>
      <c r="H536" s="3"/>
      <c r="I536" s="1"/>
      <c r="J536" s="1"/>
      <c r="K536" s="1"/>
      <c r="L536" s="1"/>
      <c r="M536" s="1"/>
      <c r="N536" s="1"/>
      <c r="O536" s="1"/>
      <c r="P536" s="1"/>
      <c r="Q536" s="1"/>
      <c r="R536" s="1"/>
      <c r="S536" s="1"/>
      <c r="T536" s="1"/>
      <c r="U536" s="1"/>
      <c r="V536" s="1"/>
      <c r="W536" s="1"/>
      <c r="X536" s="1"/>
      <c r="Y536" s="1"/>
    </row>
    <row r="537" spans="1:25">
      <c r="A537" s="1"/>
      <c r="B537" s="1"/>
      <c r="C537" s="1"/>
      <c r="D537" s="1"/>
      <c r="E537" s="1"/>
      <c r="F537" s="1"/>
      <c r="G537" s="1"/>
      <c r="H537" s="3"/>
      <c r="I537" s="1"/>
      <c r="J537" s="1"/>
      <c r="K537" s="1"/>
      <c r="L537" s="1"/>
      <c r="M537" s="1"/>
      <c r="N537" s="1"/>
      <c r="O537" s="1"/>
      <c r="P537" s="1"/>
      <c r="Q537" s="1"/>
      <c r="R537" s="1"/>
      <c r="S537" s="1"/>
      <c r="T537" s="1"/>
      <c r="U537" s="1"/>
      <c r="V537" s="1"/>
      <c r="W537" s="1"/>
      <c r="X537" s="1"/>
      <c r="Y537" s="1"/>
    </row>
    <row r="538" spans="1:25">
      <c r="A538" s="1"/>
      <c r="B538" s="1"/>
      <c r="C538" s="1"/>
      <c r="D538" s="1"/>
      <c r="E538" s="1"/>
      <c r="F538" s="1"/>
      <c r="G538" s="1"/>
      <c r="H538" s="3"/>
      <c r="I538" s="1"/>
      <c r="J538" s="1"/>
      <c r="K538" s="1"/>
      <c r="L538" s="1"/>
      <c r="M538" s="1"/>
      <c r="N538" s="1"/>
      <c r="O538" s="1"/>
      <c r="P538" s="1"/>
      <c r="Q538" s="1"/>
      <c r="R538" s="1"/>
      <c r="S538" s="1"/>
      <c r="T538" s="1"/>
      <c r="U538" s="1"/>
      <c r="V538" s="1"/>
      <c r="W538" s="1"/>
      <c r="X538" s="1"/>
      <c r="Y538" s="1"/>
    </row>
    <row r="539" spans="1:25">
      <c r="A539" s="1"/>
      <c r="B539" s="1"/>
      <c r="C539" s="1"/>
      <c r="D539" s="1"/>
      <c r="E539" s="1"/>
      <c r="F539" s="1"/>
      <c r="G539" s="1"/>
      <c r="H539" s="3"/>
      <c r="I539" s="1"/>
      <c r="J539" s="1"/>
      <c r="K539" s="1"/>
      <c r="L539" s="1"/>
      <c r="M539" s="1"/>
      <c r="N539" s="1"/>
      <c r="O539" s="1"/>
      <c r="P539" s="1"/>
      <c r="Q539" s="1"/>
      <c r="R539" s="1"/>
      <c r="S539" s="1"/>
      <c r="T539" s="1"/>
      <c r="U539" s="1"/>
      <c r="V539" s="1"/>
      <c r="W539" s="1"/>
      <c r="X539" s="1"/>
      <c r="Y539" s="1"/>
    </row>
    <row r="540" spans="1:25">
      <c r="A540" s="1"/>
      <c r="B540" s="1"/>
      <c r="C540" s="1"/>
      <c r="D540" s="1"/>
      <c r="E540" s="1"/>
      <c r="F540" s="1"/>
      <c r="G540" s="1"/>
      <c r="H540" s="3"/>
      <c r="I540" s="1"/>
      <c r="J540" s="1"/>
      <c r="K540" s="1"/>
      <c r="L540" s="1"/>
      <c r="M540" s="1"/>
      <c r="N540" s="1"/>
      <c r="O540" s="1"/>
      <c r="P540" s="1"/>
      <c r="Q540" s="1"/>
      <c r="R540" s="1"/>
      <c r="S540" s="1"/>
      <c r="T540" s="1"/>
      <c r="U540" s="1"/>
      <c r="V540" s="1"/>
      <c r="W540" s="1"/>
      <c r="X540" s="1"/>
      <c r="Y540" s="1"/>
    </row>
    <row r="541" spans="1:25">
      <c r="A541" s="1"/>
      <c r="B541" s="1"/>
      <c r="C541" s="1"/>
      <c r="D541" s="1"/>
      <c r="E541" s="1"/>
      <c r="F541" s="1"/>
      <c r="G541" s="1"/>
      <c r="H541" s="3"/>
      <c r="I541" s="1"/>
      <c r="J541" s="1"/>
      <c r="K541" s="1"/>
      <c r="L541" s="1"/>
      <c r="M541" s="1"/>
      <c r="N541" s="1"/>
      <c r="O541" s="1"/>
      <c r="P541" s="1"/>
      <c r="Q541" s="1"/>
      <c r="R541" s="1"/>
      <c r="S541" s="1"/>
      <c r="T541" s="1"/>
      <c r="U541" s="1"/>
      <c r="V541" s="1"/>
      <c r="W541" s="1"/>
      <c r="X541" s="1"/>
      <c r="Y541" s="1"/>
    </row>
    <row r="542" spans="1:25">
      <c r="A542" s="1"/>
      <c r="B542" s="1"/>
      <c r="C542" s="1"/>
      <c r="D542" s="1"/>
      <c r="E542" s="1"/>
      <c r="F542" s="1"/>
      <c r="G542" s="1"/>
      <c r="H542" s="3"/>
      <c r="I542" s="1"/>
      <c r="J542" s="1"/>
      <c r="K542" s="1"/>
      <c r="L542" s="1"/>
      <c r="M542" s="1"/>
      <c r="N542" s="1"/>
      <c r="O542" s="1"/>
      <c r="P542" s="1"/>
      <c r="Q542" s="1"/>
      <c r="R542" s="1"/>
      <c r="S542" s="1"/>
      <c r="T542" s="1"/>
      <c r="U542" s="1"/>
      <c r="V542" s="1"/>
      <c r="W542" s="1"/>
      <c r="X542" s="1"/>
      <c r="Y542" s="1"/>
    </row>
    <row r="543" spans="1:25">
      <c r="A543" s="1"/>
      <c r="B543" s="1"/>
      <c r="C543" s="1"/>
      <c r="D543" s="1"/>
      <c r="E543" s="1"/>
      <c r="F543" s="1"/>
      <c r="G543" s="1"/>
      <c r="H543" s="3"/>
      <c r="I543" s="1"/>
      <c r="J543" s="1"/>
      <c r="K543" s="1"/>
      <c r="L543" s="1"/>
      <c r="M543" s="1"/>
      <c r="N543" s="1"/>
      <c r="O543" s="1"/>
      <c r="P543" s="1"/>
      <c r="Q543" s="1"/>
      <c r="R543" s="1"/>
      <c r="S543" s="1"/>
      <c r="T543" s="1"/>
      <c r="U543" s="1"/>
      <c r="V543" s="1"/>
      <c r="W543" s="1"/>
      <c r="X543" s="1"/>
      <c r="Y543" s="1"/>
    </row>
    <row r="544" spans="1:25">
      <c r="A544" s="1"/>
      <c r="B544" s="1"/>
      <c r="C544" s="1"/>
      <c r="D544" s="1"/>
      <c r="E544" s="1"/>
      <c r="F544" s="1"/>
      <c r="G544" s="1"/>
      <c r="H544" s="3"/>
      <c r="I544" s="1"/>
      <c r="J544" s="1"/>
      <c r="K544" s="1"/>
      <c r="L544" s="1"/>
      <c r="M544" s="1"/>
      <c r="N544" s="1"/>
      <c r="O544" s="1"/>
      <c r="P544" s="1"/>
      <c r="Q544" s="1"/>
      <c r="R544" s="1"/>
      <c r="S544" s="1"/>
      <c r="T544" s="1"/>
      <c r="U544" s="1"/>
      <c r="V544" s="1"/>
      <c r="W544" s="1"/>
      <c r="X544" s="1"/>
      <c r="Y544" s="1"/>
    </row>
    <row r="545" spans="1:25">
      <c r="A545" s="1"/>
      <c r="B545" s="1"/>
      <c r="C545" s="1"/>
      <c r="D545" s="1"/>
      <c r="E545" s="1"/>
      <c r="F545" s="1"/>
      <c r="G545" s="1"/>
      <c r="H545" s="3"/>
      <c r="I545" s="1"/>
      <c r="J545" s="1"/>
      <c r="K545" s="1"/>
      <c r="L545" s="1"/>
      <c r="M545" s="1"/>
      <c r="N545" s="1"/>
      <c r="O545" s="1"/>
      <c r="P545" s="1"/>
      <c r="Q545" s="1"/>
      <c r="R545" s="1"/>
      <c r="S545" s="1"/>
      <c r="T545" s="1"/>
      <c r="U545" s="1"/>
      <c r="V545" s="1"/>
      <c r="W545" s="1"/>
      <c r="X545" s="1"/>
      <c r="Y545" s="1"/>
    </row>
    <row r="546" spans="1:25">
      <c r="A546" s="1"/>
      <c r="B546" s="1"/>
      <c r="C546" s="1"/>
      <c r="D546" s="1"/>
      <c r="E546" s="1"/>
      <c r="F546" s="1"/>
      <c r="G546" s="1"/>
      <c r="H546" s="3"/>
      <c r="I546" s="1"/>
      <c r="J546" s="1"/>
      <c r="K546" s="1"/>
      <c r="L546" s="1"/>
      <c r="M546" s="1"/>
      <c r="N546" s="1"/>
      <c r="O546" s="1"/>
      <c r="P546" s="1"/>
      <c r="Q546" s="1"/>
      <c r="R546" s="1"/>
      <c r="S546" s="1"/>
      <c r="T546" s="1"/>
      <c r="U546" s="1"/>
      <c r="V546" s="1"/>
      <c r="W546" s="1"/>
      <c r="X546" s="1"/>
      <c r="Y546" s="1"/>
    </row>
    <row r="547" spans="1:25">
      <c r="A547" s="1"/>
      <c r="B547" s="1"/>
      <c r="C547" s="1"/>
      <c r="D547" s="1"/>
      <c r="E547" s="1"/>
      <c r="F547" s="1"/>
      <c r="G547" s="1"/>
      <c r="H547" s="3"/>
      <c r="I547" s="1"/>
      <c r="J547" s="1"/>
      <c r="K547" s="1"/>
      <c r="L547" s="1"/>
      <c r="M547" s="1"/>
      <c r="N547" s="1"/>
      <c r="O547" s="1"/>
      <c r="P547" s="1"/>
      <c r="Q547" s="1"/>
      <c r="R547" s="1"/>
      <c r="S547" s="1"/>
      <c r="T547" s="1"/>
      <c r="U547" s="1"/>
      <c r="V547" s="1"/>
      <c r="W547" s="1"/>
      <c r="X547" s="1"/>
      <c r="Y547" s="1"/>
    </row>
    <row r="548" spans="1:25">
      <c r="A548" s="1"/>
      <c r="B548" s="1"/>
      <c r="C548" s="1"/>
      <c r="D548" s="1"/>
      <c r="E548" s="1"/>
      <c r="F548" s="1"/>
      <c r="G548" s="1"/>
      <c r="H548" s="3"/>
      <c r="I548" s="1"/>
      <c r="J548" s="1"/>
      <c r="K548" s="1"/>
      <c r="L548" s="1"/>
      <c r="M548" s="1"/>
      <c r="N548" s="1"/>
      <c r="O548" s="1"/>
      <c r="P548" s="1"/>
      <c r="Q548" s="1"/>
      <c r="R548" s="1"/>
      <c r="S548" s="1"/>
      <c r="T548" s="1"/>
      <c r="U548" s="1"/>
      <c r="V548" s="1"/>
      <c r="W548" s="1"/>
      <c r="X548" s="1"/>
      <c r="Y548" s="1"/>
    </row>
    <row r="549" spans="1:25">
      <c r="A549" s="1"/>
      <c r="B549" s="1"/>
      <c r="C549" s="1"/>
      <c r="D549" s="1"/>
      <c r="E549" s="1"/>
      <c r="F549" s="1"/>
      <c r="G549" s="1"/>
      <c r="H549" s="3"/>
      <c r="I549" s="1"/>
      <c r="J549" s="1"/>
      <c r="K549" s="1"/>
      <c r="L549" s="1"/>
      <c r="M549" s="1"/>
      <c r="N549" s="1"/>
      <c r="O549" s="1"/>
      <c r="P549" s="1"/>
      <c r="Q549" s="1"/>
      <c r="R549" s="1"/>
      <c r="S549" s="1"/>
      <c r="T549" s="1"/>
      <c r="U549" s="1"/>
      <c r="V549" s="1"/>
      <c r="W549" s="1"/>
      <c r="X549" s="1"/>
      <c r="Y549" s="1"/>
    </row>
    <row r="550" spans="1:25">
      <c r="A550" s="1"/>
      <c r="B550" s="1"/>
      <c r="C550" s="1"/>
      <c r="D550" s="1"/>
      <c r="E550" s="1"/>
      <c r="F550" s="1"/>
      <c r="G550" s="1"/>
      <c r="H550" s="3"/>
      <c r="I550" s="1"/>
      <c r="J550" s="1"/>
      <c r="K550" s="1"/>
      <c r="L550" s="1"/>
      <c r="M550" s="1"/>
      <c r="N550" s="1"/>
      <c r="O550" s="1"/>
      <c r="P550" s="1"/>
      <c r="Q550" s="1"/>
      <c r="R550" s="1"/>
      <c r="S550" s="1"/>
      <c r="T550" s="1"/>
      <c r="U550" s="1"/>
      <c r="V550" s="1"/>
      <c r="W550" s="1"/>
      <c r="X550" s="1"/>
      <c r="Y550" s="1"/>
    </row>
    <row r="551" spans="1:25">
      <c r="A551" s="1"/>
      <c r="B551" s="1"/>
      <c r="C551" s="1"/>
      <c r="D551" s="1"/>
      <c r="E551" s="1"/>
      <c r="F551" s="1"/>
      <c r="G551" s="1"/>
      <c r="H551" s="3"/>
      <c r="I551" s="1"/>
      <c r="J551" s="1"/>
      <c r="K551" s="1"/>
      <c r="L551" s="1"/>
      <c r="M551" s="1"/>
      <c r="N551" s="1"/>
      <c r="O551" s="1"/>
      <c r="P551" s="1"/>
      <c r="Q551" s="1"/>
      <c r="R551" s="1"/>
      <c r="S551" s="1"/>
      <c r="T551" s="1"/>
      <c r="U551" s="1"/>
      <c r="V551" s="1"/>
      <c r="W551" s="1"/>
      <c r="X551" s="1"/>
      <c r="Y551" s="1"/>
    </row>
    <row r="552" spans="1:25">
      <c r="A552" s="1"/>
      <c r="B552" s="1"/>
      <c r="C552" s="1"/>
      <c r="D552" s="1"/>
      <c r="E552" s="1"/>
      <c r="F552" s="1"/>
      <c r="G552" s="1"/>
      <c r="H552" s="3"/>
      <c r="I552" s="1"/>
      <c r="J552" s="1"/>
      <c r="K552" s="1"/>
      <c r="L552" s="1"/>
      <c r="M552" s="1"/>
      <c r="N552" s="1"/>
      <c r="O552" s="1"/>
      <c r="P552" s="1"/>
      <c r="Q552" s="1"/>
      <c r="R552" s="1"/>
      <c r="S552" s="1"/>
      <c r="T552" s="1"/>
      <c r="U552" s="1"/>
      <c r="V552" s="1"/>
      <c r="W552" s="1"/>
      <c r="X552" s="1"/>
      <c r="Y552" s="1"/>
    </row>
    <row r="553" spans="1:25">
      <c r="A553" s="1"/>
      <c r="B553" s="1"/>
      <c r="C553" s="1"/>
      <c r="D553" s="1"/>
      <c r="E553" s="1"/>
      <c r="F553" s="1"/>
      <c r="G553" s="1"/>
      <c r="H553" s="3"/>
      <c r="I553" s="1"/>
      <c r="J553" s="1"/>
      <c r="K553" s="1"/>
      <c r="L553" s="1"/>
      <c r="M553" s="1"/>
      <c r="N553" s="1"/>
      <c r="O553" s="1"/>
      <c r="P553" s="1"/>
      <c r="Q553" s="1"/>
      <c r="R553" s="1"/>
      <c r="S553" s="1"/>
      <c r="T553" s="1"/>
      <c r="U553" s="1"/>
      <c r="V553" s="1"/>
      <c r="W553" s="1"/>
      <c r="X553" s="1"/>
      <c r="Y553" s="1"/>
    </row>
    <row r="554" spans="1:25">
      <c r="A554" s="1"/>
      <c r="B554" s="1"/>
      <c r="C554" s="1"/>
      <c r="D554" s="1"/>
      <c r="E554" s="1"/>
      <c r="F554" s="1"/>
      <c r="G554" s="1"/>
      <c r="H554" s="3"/>
      <c r="I554" s="1"/>
      <c r="J554" s="1"/>
      <c r="K554" s="1"/>
      <c r="L554" s="1"/>
      <c r="M554" s="1"/>
      <c r="N554" s="1"/>
      <c r="O554" s="1"/>
      <c r="P554" s="1"/>
      <c r="Q554" s="1"/>
      <c r="R554" s="1"/>
      <c r="S554" s="1"/>
      <c r="T554" s="1"/>
      <c r="U554" s="1"/>
      <c r="V554" s="1"/>
      <c r="W554" s="1"/>
      <c r="X554" s="1"/>
      <c r="Y554" s="1"/>
    </row>
    <row r="555" spans="1:25">
      <c r="A555" s="1"/>
      <c r="B555" s="1"/>
      <c r="C555" s="1"/>
      <c r="D555" s="1"/>
      <c r="E555" s="1"/>
      <c r="F555" s="1"/>
      <c r="G555" s="1"/>
      <c r="H555" s="3"/>
      <c r="I555" s="1"/>
      <c r="J555" s="1"/>
      <c r="K555" s="1"/>
      <c r="L555" s="1"/>
      <c r="M555" s="1"/>
      <c r="N555" s="1"/>
      <c r="O555" s="1"/>
      <c r="P555" s="1"/>
      <c r="Q555" s="1"/>
      <c r="R555" s="1"/>
      <c r="S555" s="1"/>
      <c r="T555" s="1"/>
      <c r="U555" s="1"/>
      <c r="V555" s="1"/>
      <c r="W555" s="1"/>
      <c r="X555" s="1"/>
      <c r="Y555" s="1"/>
    </row>
    <row r="556" spans="1:25">
      <c r="A556" s="1"/>
      <c r="B556" s="1"/>
      <c r="C556" s="1"/>
      <c r="D556" s="1"/>
      <c r="E556" s="1"/>
      <c r="F556" s="1"/>
      <c r="G556" s="1"/>
      <c r="H556" s="3"/>
      <c r="I556" s="1"/>
      <c r="J556" s="1"/>
      <c r="K556" s="1"/>
      <c r="L556" s="1"/>
      <c r="M556" s="1"/>
      <c r="N556" s="1"/>
      <c r="O556" s="1"/>
      <c r="P556" s="1"/>
      <c r="Q556" s="1"/>
      <c r="R556" s="1"/>
      <c r="S556" s="1"/>
      <c r="T556" s="1"/>
      <c r="U556" s="1"/>
      <c r="V556" s="1"/>
      <c r="W556" s="1"/>
      <c r="X556" s="1"/>
      <c r="Y556" s="1"/>
    </row>
    <row r="557" spans="1:25">
      <c r="A557" s="1"/>
      <c r="B557" s="1"/>
      <c r="C557" s="1"/>
      <c r="D557" s="1"/>
      <c r="E557" s="1"/>
      <c r="F557" s="1"/>
      <c r="G557" s="1"/>
      <c r="H557" s="3"/>
      <c r="I557" s="1"/>
      <c r="J557" s="1"/>
      <c r="K557" s="1"/>
      <c r="L557" s="1"/>
      <c r="M557" s="1"/>
      <c r="N557" s="1"/>
      <c r="O557" s="1"/>
      <c r="P557" s="1"/>
      <c r="Q557" s="1"/>
      <c r="R557" s="1"/>
      <c r="S557" s="1"/>
      <c r="T557" s="1"/>
      <c r="U557" s="1"/>
      <c r="V557" s="1"/>
      <c r="W557" s="1"/>
      <c r="X557" s="1"/>
      <c r="Y557" s="1"/>
    </row>
    <row r="558" spans="1:25">
      <c r="A558" s="1"/>
      <c r="B558" s="1"/>
      <c r="C558" s="1"/>
      <c r="D558" s="1"/>
      <c r="E558" s="1"/>
      <c r="F558" s="1"/>
      <c r="G558" s="1"/>
      <c r="H558" s="3"/>
      <c r="I558" s="1"/>
      <c r="J558" s="1"/>
      <c r="K558" s="1"/>
      <c r="L558" s="1"/>
      <c r="M558" s="1"/>
      <c r="N558" s="1"/>
      <c r="O558" s="1"/>
      <c r="P558" s="1"/>
      <c r="Q558" s="1"/>
      <c r="R558" s="1"/>
      <c r="S558" s="1"/>
      <c r="T558" s="1"/>
      <c r="U558" s="1"/>
      <c r="V558" s="1"/>
      <c r="W558" s="1"/>
      <c r="X558" s="1"/>
      <c r="Y558" s="1"/>
    </row>
    <row r="559" spans="1:25">
      <c r="A559" s="1"/>
      <c r="B559" s="1"/>
      <c r="C559" s="1"/>
      <c r="D559" s="1"/>
      <c r="E559" s="1"/>
      <c r="F559" s="1"/>
      <c r="G559" s="1"/>
      <c r="H559" s="3"/>
      <c r="I559" s="1"/>
      <c r="J559" s="1"/>
      <c r="K559" s="1"/>
      <c r="L559" s="1"/>
      <c r="M559" s="1"/>
      <c r="N559" s="1"/>
      <c r="O559" s="1"/>
      <c r="P559" s="1"/>
      <c r="Q559" s="1"/>
      <c r="R559" s="1"/>
      <c r="S559" s="1"/>
      <c r="T559" s="1"/>
      <c r="U559" s="1"/>
      <c r="V559" s="1"/>
      <c r="W559" s="1"/>
      <c r="X559" s="1"/>
      <c r="Y559" s="1"/>
    </row>
    <row r="560" spans="1:25">
      <c r="A560" s="1"/>
      <c r="B560" s="1"/>
      <c r="C560" s="1"/>
      <c r="D560" s="1"/>
      <c r="E560" s="1"/>
      <c r="F560" s="1"/>
      <c r="G560" s="1"/>
      <c r="H560" s="3"/>
      <c r="I560" s="1"/>
      <c r="J560" s="1"/>
      <c r="K560" s="1"/>
      <c r="L560" s="1"/>
      <c r="M560" s="1"/>
      <c r="N560" s="1"/>
      <c r="O560" s="1"/>
      <c r="P560" s="1"/>
      <c r="Q560" s="1"/>
      <c r="R560" s="1"/>
      <c r="S560" s="1"/>
      <c r="T560" s="1"/>
      <c r="U560" s="1"/>
      <c r="V560" s="1"/>
      <c r="W560" s="1"/>
      <c r="X560" s="1"/>
      <c r="Y560" s="1"/>
    </row>
    <row r="561" spans="1:25">
      <c r="A561" s="1"/>
      <c r="B561" s="1"/>
      <c r="C561" s="1"/>
      <c r="D561" s="1"/>
      <c r="E561" s="1"/>
      <c r="F561" s="1"/>
      <c r="G561" s="1"/>
      <c r="H561" s="3"/>
      <c r="I561" s="1"/>
      <c r="J561" s="1"/>
      <c r="K561" s="1"/>
      <c r="L561" s="1"/>
      <c r="M561" s="1"/>
      <c r="N561" s="1"/>
      <c r="O561" s="1"/>
      <c r="P561" s="1"/>
      <c r="Q561" s="1"/>
      <c r="R561" s="1"/>
      <c r="S561" s="1"/>
      <c r="T561" s="1"/>
      <c r="U561" s="1"/>
      <c r="V561" s="1"/>
      <c r="W561" s="1"/>
      <c r="X561" s="1"/>
      <c r="Y561" s="1"/>
    </row>
    <row r="562" spans="1:25">
      <c r="A562" s="1"/>
      <c r="B562" s="1"/>
      <c r="C562" s="1"/>
      <c r="D562" s="1"/>
      <c r="E562" s="1"/>
      <c r="F562" s="1"/>
      <c r="G562" s="1"/>
      <c r="H562" s="3"/>
      <c r="I562" s="1"/>
      <c r="J562" s="1"/>
      <c r="K562" s="1"/>
      <c r="L562" s="1"/>
      <c r="M562" s="1"/>
      <c r="N562" s="1"/>
      <c r="O562" s="1"/>
      <c r="P562" s="1"/>
      <c r="Q562" s="1"/>
      <c r="R562" s="1"/>
      <c r="S562" s="1"/>
      <c r="T562" s="1"/>
      <c r="U562" s="1"/>
      <c r="V562" s="1"/>
      <c r="W562" s="1"/>
      <c r="X562" s="1"/>
      <c r="Y562" s="1"/>
    </row>
    <row r="563" spans="1:25">
      <c r="A563" s="1"/>
      <c r="B563" s="1"/>
      <c r="C563" s="1"/>
      <c r="D563" s="1"/>
      <c r="E563" s="1"/>
      <c r="F563" s="1"/>
      <c r="G563" s="1"/>
      <c r="H563" s="3"/>
      <c r="I563" s="1"/>
      <c r="J563" s="1"/>
      <c r="K563" s="1"/>
      <c r="L563" s="1"/>
      <c r="M563" s="1"/>
      <c r="N563" s="1"/>
      <c r="O563" s="1"/>
      <c r="P563" s="1"/>
      <c r="Q563" s="1"/>
      <c r="R563" s="1"/>
      <c r="S563" s="1"/>
      <c r="T563" s="1"/>
      <c r="U563" s="1"/>
      <c r="V563" s="1"/>
      <c r="W563" s="1"/>
      <c r="X563" s="1"/>
      <c r="Y563" s="1"/>
    </row>
    <row r="564" spans="1:25">
      <c r="A564" s="1"/>
      <c r="B564" s="1"/>
      <c r="C564" s="1"/>
      <c r="D564" s="1"/>
      <c r="E564" s="1"/>
      <c r="F564" s="1"/>
      <c r="G564" s="1"/>
      <c r="H564" s="3"/>
      <c r="I564" s="1"/>
      <c r="J564" s="1"/>
      <c r="K564" s="1"/>
      <c r="L564" s="1"/>
      <c r="M564" s="1"/>
      <c r="N564" s="1"/>
      <c r="O564" s="1"/>
      <c r="P564" s="1"/>
      <c r="Q564" s="1"/>
      <c r="R564" s="1"/>
      <c r="S564" s="1"/>
      <c r="T564" s="1"/>
      <c r="U564" s="1"/>
      <c r="V564" s="1"/>
      <c r="W564" s="1"/>
      <c r="X564" s="1"/>
      <c r="Y564" s="1"/>
    </row>
    <row r="565" spans="1:25">
      <c r="A565" s="1"/>
      <c r="B565" s="1"/>
      <c r="C565" s="1"/>
      <c r="D565" s="1"/>
      <c r="E565" s="1"/>
      <c r="F565" s="1"/>
      <c r="G565" s="1"/>
      <c r="H565" s="3"/>
      <c r="I565" s="1"/>
      <c r="J565" s="1"/>
      <c r="K565" s="1"/>
      <c r="L565" s="1"/>
      <c r="M565" s="1"/>
      <c r="N565" s="1"/>
      <c r="O565" s="1"/>
      <c r="P565" s="1"/>
      <c r="Q565" s="1"/>
      <c r="R565" s="1"/>
      <c r="S565" s="1"/>
      <c r="T565" s="1"/>
      <c r="U565" s="1"/>
      <c r="V565" s="1"/>
      <c r="W565" s="1"/>
      <c r="X565" s="1"/>
      <c r="Y565" s="1"/>
    </row>
    <row r="566" spans="1:25">
      <c r="A566" s="1"/>
      <c r="B566" s="1"/>
      <c r="C566" s="1"/>
      <c r="D566" s="1"/>
      <c r="E566" s="1"/>
      <c r="F566" s="1"/>
      <c r="G566" s="1"/>
      <c r="H566" s="3"/>
      <c r="I566" s="1"/>
      <c r="J566" s="1"/>
      <c r="K566" s="1"/>
      <c r="L566" s="1"/>
      <c r="M566" s="1"/>
      <c r="N566" s="1"/>
      <c r="O566" s="1"/>
      <c r="P566" s="1"/>
      <c r="Q566" s="1"/>
      <c r="R566" s="1"/>
      <c r="S566" s="1"/>
      <c r="T566" s="1"/>
      <c r="U566" s="1"/>
      <c r="V566" s="1"/>
      <c r="W566" s="1"/>
      <c r="X566" s="1"/>
      <c r="Y566" s="1"/>
    </row>
    <row r="567" spans="1:25">
      <c r="A567" s="1"/>
      <c r="B567" s="1"/>
      <c r="C567" s="1"/>
      <c r="D567" s="1"/>
      <c r="E567" s="1"/>
      <c r="F567" s="1"/>
      <c r="G567" s="1"/>
      <c r="H567" s="3"/>
      <c r="I567" s="1"/>
      <c r="J567" s="1"/>
      <c r="K567" s="1"/>
      <c r="L567" s="1"/>
      <c r="M567" s="1"/>
      <c r="N567" s="1"/>
      <c r="O567" s="1"/>
      <c r="P567" s="1"/>
      <c r="Q567" s="1"/>
      <c r="R567" s="1"/>
      <c r="S567" s="1"/>
      <c r="T567" s="1"/>
      <c r="U567" s="1"/>
      <c r="V567" s="1"/>
      <c r="W567" s="1"/>
      <c r="X567" s="1"/>
      <c r="Y567" s="1"/>
    </row>
    <row r="568" spans="1:25">
      <c r="A568" s="1"/>
      <c r="B568" s="1"/>
      <c r="C568" s="1"/>
      <c r="D568" s="1"/>
      <c r="E568" s="1"/>
      <c r="F568" s="1"/>
      <c r="G568" s="1"/>
      <c r="H568" s="3"/>
      <c r="I568" s="1"/>
      <c r="J568" s="1"/>
      <c r="K568" s="1"/>
      <c r="L568" s="1"/>
      <c r="M568" s="1"/>
      <c r="N568" s="1"/>
      <c r="O568" s="1"/>
      <c r="P568" s="1"/>
      <c r="Q568" s="1"/>
      <c r="R568" s="1"/>
      <c r="S568" s="1"/>
      <c r="T568" s="1"/>
      <c r="U568" s="1"/>
      <c r="V568" s="1"/>
      <c r="W568" s="1"/>
      <c r="X568" s="1"/>
      <c r="Y568" s="1"/>
    </row>
    <row r="569" spans="1:25">
      <c r="A569" s="1"/>
      <c r="B569" s="1"/>
      <c r="C569" s="1"/>
      <c r="D569" s="1"/>
      <c r="E569" s="1"/>
      <c r="F569" s="1"/>
      <c r="G569" s="1"/>
      <c r="H569" s="3"/>
      <c r="I569" s="1"/>
      <c r="J569" s="1"/>
      <c r="K569" s="1"/>
      <c r="L569" s="1"/>
      <c r="M569" s="1"/>
      <c r="N569" s="1"/>
      <c r="O569" s="1"/>
      <c r="P569" s="1"/>
      <c r="Q569" s="1"/>
      <c r="R569" s="1"/>
      <c r="S569" s="1"/>
      <c r="T569" s="1"/>
      <c r="U569" s="1"/>
      <c r="V569" s="1"/>
      <c r="W569" s="1"/>
      <c r="X569" s="1"/>
      <c r="Y569" s="1"/>
    </row>
    <row r="570" spans="1:25">
      <c r="A570" s="1"/>
      <c r="B570" s="1"/>
      <c r="C570" s="1"/>
      <c r="D570" s="1"/>
      <c r="E570" s="1"/>
      <c r="F570" s="1"/>
      <c r="G570" s="1"/>
      <c r="H570" s="3"/>
      <c r="I570" s="1"/>
      <c r="J570" s="1"/>
      <c r="K570" s="1"/>
      <c r="L570" s="1"/>
      <c r="M570" s="1"/>
      <c r="N570" s="1"/>
      <c r="O570" s="1"/>
      <c r="P570" s="1"/>
      <c r="Q570" s="1"/>
      <c r="R570" s="1"/>
      <c r="S570" s="1"/>
      <c r="T570" s="1"/>
      <c r="U570" s="1"/>
      <c r="V570" s="1"/>
      <c r="W570" s="1"/>
      <c r="X570" s="1"/>
      <c r="Y570" s="1"/>
    </row>
    <row r="571" spans="1:25">
      <c r="A571" s="1"/>
      <c r="B571" s="1"/>
      <c r="C571" s="1"/>
      <c r="D571" s="1"/>
      <c r="E571" s="1"/>
      <c r="F571" s="1"/>
      <c r="G571" s="1"/>
      <c r="H571" s="3"/>
      <c r="I571" s="1"/>
      <c r="J571" s="1"/>
      <c r="K571" s="1"/>
      <c r="L571" s="1"/>
      <c r="M571" s="1"/>
      <c r="N571" s="1"/>
      <c r="O571" s="1"/>
      <c r="P571" s="1"/>
      <c r="Q571" s="1"/>
      <c r="R571" s="1"/>
      <c r="S571" s="1"/>
      <c r="T571" s="1"/>
      <c r="U571" s="1"/>
      <c r="V571" s="1"/>
      <c r="W571" s="1"/>
      <c r="X571" s="1"/>
      <c r="Y571" s="1"/>
    </row>
    <row r="572" spans="1:25">
      <c r="A572" s="1"/>
      <c r="B572" s="1"/>
      <c r="C572" s="1"/>
      <c r="D572" s="1"/>
      <c r="E572" s="1"/>
      <c r="F572" s="1"/>
      <c r="G572" s="1"/>
      <c r="H572" s="3"/>
      <c r="I572" s="1"/>
      <c r="J572" s="1"/>
      <c r="K572" s="1"/>
      <c r="L572" s="1"/>
      <c r="M572" s="1"/>
      <c r="N572" s="1"/>
      <c r="O572" s="1"/>
      <c r="P572" s="1"/>
      <c r="Q572" s="1"/>
      <c r="R572" s="1"/>
      <c r="S572" s="1"/>
      <c r="T572" s="1"/>
      <c r="U572" s="1"/>
      <c r="V572" s="1"/>
      <c r="W572" s="1"/>
      <c r="X572" s="1"/>
      <c r="Y572" s="1"/>
    </row>
    <row r="573" spans="1:25">
      <c r="A573" s="1"/>
      <c r="B573" s="1"/>
      <c r="C573" s="1"/>
      <c r="D573" s="1"/>
      <c r="E573" s="1"/>
      <c r="F573" s="1"/>
      <c r="G573" s="1"/>
      <c r="H573" s="3"/>
      <c r="I573" s="1"/>
      <c r="J573" s="1"/>
      <c r="K573" s="1"/>
      <c r="L573" s="1"/>
      <c r="M573" s="1"/>
      <c r="N573" s="1"/>
      <c r="O573" s="1"/>
      <c r="P573" s="1"/>
      <c r="Q573" s="1"/>
      <c r="R573" s="1"/>
      <c r="S573" s="1"/>
      <c r="T573" s="1"/>
      <c r="U573" s="1"/>
      <c r="V573" s="1"/>
      <c r="W573" s="1"/>
      <c r="X573" s="1"/>
      <c r="Y573" s="1"/>
    </row>
    <row r="574" spans="1:25">
      <c r="A574" s="1"/>
      <c r="B574" s="1"/>
      <c r="C574" s="1"/>
      <c r="D574" s="1"/>
      <c r="E574" s="1"/>
      <c r="F574" s="1"/>
      <c r="G574" s="1"/>
      <c r="H574" s="3"/>
      <c r="I574" s="1"/>
      <c r="J574" s="1"/>
      <c r="K574" s="1"/>
      <c r="L574" s="1"/>
      <c r="M574" s="1"/>
      <c r="N574" s="1"/>
      <c r="O574" s="1"/>
      <c r="P574" s="1"/>
      <c r="Q574" s="1"/>
      <c r="R574" s="1"/>
      <c r="S574" s="1"/>
      <c r="T574" s="1"/>
      <c r="U574" s="1"/>
      <c r="V574" s="1"/>
      <c r="W574" s="1"/>
      <c r="X574" s="1"/>
      <c r="Y574" s="1"/>
    </row>
    <row r="575" spans="1:25">
      <c r="A575" s="1"/>
      <c r="B575" s="1"/>
      <c r="C575" s="1"/>
      <c r="D575" s="1"/>
      <c r="E575" s="1"/>
      <c r="F575" s="1"/>
      <c r="G575" s="1"/>
      <c r="H575" s="3"/>
      <c r="I575" s="1"/>
      <c r="J575" s="1"/>
      <c r="K575" s="1"/>
      <c r="L575" s="1"/>
      <c r="M575" s="1"/>
      <c r="N575" s="1"/>
      <c r="O575" s="1"/>
      <c r="P575" s="1"/>
      <c r="Q575" s="1"/>
      <c r="R575" s="1"/>
      <c r="S575" s="1"/>
      <c r="T575" s="1"/>
      <c r="U575" s="1"/>
      <c r="V575" s="1"/>
      <c r="W575" s="1"/>
      <c r="X575" s="1"/>
      <c r="Y575" s="1"/>
    </row>
    <row r="576" spans="1:25">
      <c r="A576" s="1"/>
      <c r="B576" s="1"/>
      <c r="C576" s="1"/>
      <c r="D576" s="1"/>
      <c r="E576" s="1"/>
      <c r="F576" s="1"/>
      <c r="G576" s="1"/>
      <c r="H576" s="3"/>
      <c r="I576" s="1"/>
      <c r="J576" s="1"/>
      <c r="K576" s="1"/>
      <c r="L576" s="1"/>
      <c r="M576" s="1"/>
      <c r="N576" s="1"/>
      <c r="O576" s="1"/>
      <c r="P576" s="1"/>
      <c r="Q576" s="1"/>
      <c r="R576" s="1"/>
      <c r="S576" s="1"/>
      <c r="T576" s="1"/>
      <c r="U576" s="1"/>
      <c r="V576" s="1"/>
      <c r="W576" s="1"/>
      <c r="X576" s="1"/>
      <c r="Y576" s="1"/>
    </row>
    <row r="577" spans="1:25">
      <c r="A577" s="1"/>
      <c r="B577" s="1"/>
      <c r="C577" s="1"/>
      <c r="D577" s="1"/>
      <c r="E577" s="1"/>
      <c r="F577" s="1"/>
      <c r="G577" s="1"/>
      <c r="H577" s="3"/>
      <c r="I577" s="1"/>
      <c r="J577" s="1"/>
      <c r="K577" s="1"/>
      <c r="L577" s="1"/>
      <c r="M577" s="1"/>
      <c r="N577" s="1"/>
      <c r="O577" s="1"/>
      <c r="P577" s="1"/>
      <c r="Q577" s="1"/>
      <c r="R577" s="1"/>
      <c r="S577" s="1"/>
      <c r="T577" s="1"/>
      <c r="U577" s="1"/>
      <c r="V577" s="1"/>
      <c r="W577" s="1"/>
      <c r="X577" s="1"/>
      <c r="Y577" s="1"/>
    </row>
    <row r="578" spans="1:25">
      <c r="A578" s="1"/>
      <c r="B578" s="1"/>
      <c r="C578" s="1"/>
      <c r="D578" s="1"/>
      <c r="E578" s="1"/>
      <c r="F578" s="1"/>
      <c r="G578" s="1"/>
      <c r="H578" s="3"/>
      <c r="I578" s="1"/>
      <c r="J578" s="1"/>
      <c r="K578" s="1"/>
      <c r="L578" s="1"/>
      <c r="M578" s="1"/>
      <c r="N578" s="1"/>
      <c r="O578" s="1"/>
      <c r="P578" s="1"/>
      <c r="Q578" s="1"/>
      <c r="R578" s="1"/>
      <c r="S578" s="1"/>
      <c r="T578" s="1"/>
      <c r="U578" s="1"/>
      <c r="V578" s="1"/>
      <c r="W578" s="1"/>
      <c r="X578" s="1"/>
      <c r="Y578" s="1"/>
    </row>
    <row r="579" spans="1:25">
      <c r="A579" s="1"/>
      <c r="B579" s="1"/>
      <c r="C579" s="1"/>
      <c r="D579" s="1"/>
      <c r="E579" s="1"/>
      <c r="F579" s="1"/>
      <c r="G579" s="1"/>
      <c r="H579" s="3"/>
      <c r="I579" s="1"/>
      <c r="J579" s="1"/>
      <c r="K579" s="1"/>
      <c r="L579" s="1"/>
      <c r="M579" s="1"/>
      <c r="N579" s="1"/>
      <c r="O579" s="1"/>
      <c r="P579" s="1"/>
      <c r="Q579" s="1"/>
      <c r="R579" s="1"/>
      <c r="S579" s="1"/>
      <c r="T579" s="1"/>
      <c r="U579" s="1"/>
      <c r="V579" s="1"/>
      <c r="W579" s="1"/>
      <c r="X579" s="1"/>
      <c r="Y579" s="1"/>
    </row>
    <row r="580" spans="1:25">
      <c r="A580" s="1"/>
      <c r="B580" s="1"/>
      <c r="C580" s="1"/>
      <c r="D580" s="1"/>
      <c r="E580" s="1"/>
      <c r="F580" s="1"/>
      <c r="G580" s="1"/>
      <c r="H580" s="3"/>
      <c r="I580" s="1"/>
      <c r="J580" s="1"/>
      <c r="K580" s="1"/>
      <c r="L580" s="1"/>
      <c r="M580" s="1"/>
      <c r="N580" s="1"/>
      <c r="O580" s="1"/>
      <c r="P580" s="1"/>
      <c r="Q580" s="1"/>
      <c r="R580" s="1"/>
      <c r="S580" s="1"/>
      <c r="T580" s="1"/>
      <c r="U580" s="1"/>
      <c r="V580" s="1"/>
      <c r="W580" s="1"/>
      <c r="X580" s="1"/>
      <c r="Y580" s="1"/>
    </row>
    <row r="581" spans="1:25">
      <c r="A581" s="1"/>
      <c r="B581" s="1"/>
      <c r="C581" s="1"/>
      <c r="D581" s="1"/>
      <c r="E581" s="1"/>
      <c r="F581" s="1"/>
      <c r="G581" s="1"/>
      <c r="H581" s="3"/>
      <c r="I581" s="1"/>
      <c r="J581" s="1"/>
      <c r="K581" s="1"/>
      <c r="L581" s="1"/>
      <c r="M581" s="1"/>
      <c r="N581" s="1"/>
      <c r="O581" s="1"/>
      <c r="P581" s="1"/>
      <c r="Q581" s="1"/>
      <c r="R581" s="1"/>
      <c r="S581" s="1"/>
      <c r="T581" s="1"/>
      <c r="U581" s="1"/>
      <c r="V581" s="1"/>
      <c r="W581" s="1"/>
      <c r="X581" s="1"/>
      <c r="Y581" s="1"/>
    </row>
    <row r="582" spans="1:25">
      <c r="A582" s="1"/>
      <c r="B582" s="1"/>
      <c r="C582" s="1"/>
      <c r="D582" s="1"/>
      <c r="E582" s="1"/>
      <c r="F582" s="1"/>
      <c r="G582" s="1"/>
      <c r="H582" s="3"/>
      <c r="I582" s="1"/>
      <c r="J582" s="1"/>
      <c r="K582" s="1"/>
      <c r="L582" s="1"/>
      <c r="M582" s="1"/>
      <c r="N582" s="1"/>
      <c r="O582" s="1"/>
      <c r="P582" s="1"/>
      <c r="Q582" s="1"/>
      <c r="R582" s="1"/>
      <c r="S582" s="1"/>
      <c r="T582" s="1"/>
      <c r="U582" s="1"/>
      <c r="V582" s="1"/>
      <c r="W582" s="1"/>
      <c r="X582" s="1"/>
      <c r="Y582" s="1"/>
    </row>
    <row r="583" spans="1:25">
      <c r="A583" s="1"/>
      <c r="B583" s="1"/>
      <c r="C583" s="1"/>
      <c r="D583" s="1"/>
      <c r="E583" s="1"/>
      <c r="F583" s="1"/>
      <c r="G583" s="1"/>
      <c r="H583" s="3"/>
      <c r="I583" s="1"/>
      <c r="J583" s="1"/>
      <c r="K583" s="1"/>
      <c r="L583" s="1"/>
      <c r="M583" s="1"/>
      <c r="N583" s="1"/>
      <c r="O583" s="1"/>
      <c r="P583" s="1"/>
      <c r="Q583" s="1"/>
      <c r="R583" s="1"/>
      <c r="S583" s="1"/>
      <c r="T583" s="1"/>
      <c r="U583" s="1"/>
      <c r="V583" s="1"/>
      <c r="W583" s="1"/>
      <c r="X583" s="1"/>
      <c r="Y583" s="1"/>
    </row>
    <row r="584" spans="1:25">
      <c r="A584" s="1"/>
      <c r="B584" s="1"/>
      <c r="C584" s="1"/>
      <c r="D584" s="1"/>
      <c r="E584" s="1"/>
      <c r="F584" s="1"/>
      <c r="G584" s="1"/>
      <c r="H584" s="3"/>
      <c r="I584" s="1"/>
      <c r="J584" s="1"/>
      <c r="K584" s="1"/>
      <c r="L584" s="1"/>
      <c r="M584" s="1"/>
      <c r="N584" s="1"/>
      <c r="O584" s="1"/>
      <c r="P584" s="1"/>
      <c r="Q584" s="1"/>
      <c r="R584" s="1"/>
      <c r="S584" s="1"/>
      <c r="T584" s="1"/>
      <c r="U584" s="1"/>
      <c r="V584" s="1"/>
      <c r="W584" s="1"/>
      <c r="X584" s="1"/>
      <c r="Y584" s="1"/>
    </row>
    <row r="585" spans="1:25">
      <c r="A585" s="1"/>
      <c r="B585" s="1"/>
      <c r="C585" s="1"/>
      <c r="D585" s="1"/>
      <c r="E585" s="1"/>
      <c r="F585" s="1"/>
      <c r="G585" s="1"/>
      <c r="H585" s="3"/>
      <c r="I585" s="1"/>
      <c r="J585" s="1"/>
      <c r="K585" s="1"/>
      <c r="L585" s="1"/>
      <c r="M585" s="1"/>
      <c r="N585" s="1"/>
      <c r="O585" s="1"/>
      <c r="P585" s="1"/>
      <c r="Q585" s="1"/>
      <c r="R585" s="1"/>
      <c r="S585" s="1"/>
      <c r="T585" s="1"/>
      <c r="U585" s="1"/>
      <c r="V585" s="1"/>
      <c r="W585" s="1"/>
      <c r="X585" s="1"/>
      <c r="Y585" s="1"/>
    </row>
    <row r="586" spans="1:25">
      <c r="A586" s="1"/>
      <c r="B586" s="1"/>
      <c r="C586" s="1"/>
      <c r="D586" s="1"/>
      <c r="E586" s="1"/>
      <c r="F586" s="1"/>
      <c r="G586" s="1"/>
      <c r="H586" s="3"/>
      <c r="I586" s="1"/>
      <c r="J586" s="1"/>
      <c r="K586" s="1"/>
      <c r="L586" s="1"/>
      <c r="M586" s="1"/>
      <c r="N586" s="1"/>
      <c r="O586" s="1"/>
      <c r="P586" s="1"/>
      <c r="Q586" s="1"/>
      <c r="R586" s="1"/>
      <c r="S586" s="1"/>
      <c r="T586" s="1"/>
      <c r="U586" s="1"/>
      <c r="V586" s="1"/>
      <c r="W586" s="1"/>
      <c r="X586" s="1"/>
      <c r="Y586" s="1"/>
    </row>
    <row r="587" spans="1:25">
      <c r="A587" s="1"/>
      <c r="B587" s="1"/>
      <c r="C587" s="1"/>
      <c r="D587" s="1"/>
      <c r="E587" s="1"/>
      <c r="F587" s="1"/>
      <c r="G587" s="1"/>
      <c r="H587" s="3"/>
      <c r="I587" s="1"/>
      <c r="J587" s="1"/>
      <c r="K587" s="1"/>
      <c r="L587" s="1"/>
      <c r="M587" s="1"/>
      <c r="N587" s="1"/>
      <c r="O587" s="1"/>
      <c r="P587" s="1"/>
      <c r="Q587" s="1"/>
      <c r="R587" s="1"/>
      <c r="S587" s="1"/>
      <c r="T587" s="1"/>
      <c r="U587" s="1"/>
      <c r="V587" s="1"/>
      <c r="W587" s="1"/>
      <c r="X587" s="1"/>
      <c r="Y587" s="1"/>
    </row>
    <row r="588" spans="1:25">
      <c r="A588" s="1"/>
      <c r="B588" s="1"/>
      <c r="C588" s="1"/>
      <c r="D588" s="1"/>
      <c r="E588" s="1"/>
      <c r="F588" s="1"/>
      <c r="G588" s="1"/>
      <c r="H588" s="3"/>
      <c r="I588" s="1"/>
      <c r="J588" s="1"/>
      <c r="K588" s="1"/>
      <c r="L588" s="1"/>
      <c r="M588" s="1"/>
      <c r="N588" s="1"/>
      <c r="O588" s="1"/>
      <c r="P588" s="1"/>
      <c r="Q588" s="1"/>
      <c r="R588" s="1"/>
      <c r="S588" s="1"/>
      <c r="T588" s="1"/>
      <c r="U588" s="1"/>
      <c r="V588" s="1"/>
      <c r="W588" s="1"/>
      <c r="X588" s="1"/>
      <c r="Y588" s="1"/>
    </row>
    <row r="589" spans="1:25">
      <c r="A589" s="1"/>
      <c r="B589" s="1"/>
      <c r="C589" s="1"/>
      <c r="D589" s="1"/>
      <c r="E589" s="1"/>
      <c r="F589" s="1"/>
      <c r="G589" s="1"/>
      <c r="H589" s="3"/>
      <c r="I589" s="1"/>
      <c r="J589" s="1"/>
      <c r="K589" s="1"/>
      <c r="L589" s="1"/>
      <c r="M589" s="1"/>
      <c r="N589" s="1"/>
      <c r="O589" s="1"/>
      <c r="P589" s="1"/>
      <c r="Q589" s="1"/>
      <c r="R589" s="1"/>
      <c r="S589" s="1"/>
      <c r="T589" s="1"/>
      <c r="U589" s="1"/>
      <c r="V589" s="1"/>
      <c r="W589" s="1"/>
      <c r="X589" s="1"/>
      <c r="Y589" s="1"/>
    </row>
    <row r="590" spans="1:25">
      <c r="A590" s="1"/>
      <c r="B590" s="1"/>
      <c r="C590" s="1"/>
      <c r="D590" s="1"/>
      <c r="E590" s="1"/>
      <c r="F590" s="1"/>
      <c r="G590" s="1"/>
      <c r="H590" s="3"/>
      <c r="I590" s="1"/>
      <c r="J590" s="1"/>
      <c r="K590" s="1"/>
      <c r="L590" s="1"/>
      <c r="M590" s="1"/>
      <c r="N590" s="1"/>
      <c r="O590" s="1"/>
      <c r="P590" s="1"/>
      <c r="Q590" s="1"/>
      <c r="R590" s="1"/>
      <c r="S590" s="1"/>
      <c r="T590" s="1"/>
      <c r="U590" s="1"/>
      <c r="V590" s="1"/>
      <c r="W590" s="1"/>
      <c r="X590" s="1"/>
      <c r="Y590" s="1"/>
    </row>
    <row r="591" spans="1:25">
      <c r="A591" s="1"/>
      <c r="B591" s="1"/>
      <c r="C591" s="1"/>
      <c r="D591" s="1"/>
      <c r="E591" s="1"/>
      <c r="F591" s="1"/>
      <c r="G591" s="1"/>
      <c r="H591" s="3"/>
      <c r="I591" s="1"/>
      <c r="J591" s="1"/>
      <c r="K591" s="1"/>
      <c r="L591" s="1"/>
      <c r="M591" s="1"/>
      <c r="N591" s="1"/>
      <c r="O591" s="1"/>
      <c r="P591" s="1"/>
      <c r="Q591" s="1"/>
      <c r="R591" s="1"/>
      <c r="S591" s="1"/>
      <c r="T591" s="1"/>
      <c r="U591" s="1"/>
      <c r="V591" s="1"/>
      <c r="W591" s="1"/>
      <c r="X591" s="1"/>
      <c r="Y591" s="1"/>
    </row>
    <row r="592" spans="1:25">
      <c r="A592" s="1"/>
      <c r="B592" s="1"/>
      <c r="C592" s="1"/>
      <c r="D592" s="1"/>
      <c r="E592" s="1"/>
      <c r="F592" s="1"/>
      <c r="G592" s="1"/>
      <c r="H592" s="3"/>
      <c r="I592" s="1"/>
      <c r="J592" s="1"/>
      <c r="K592" s="1"/>
      <c r="L592" s="1"/>
      <c r="M592" s="1"/>
      <c r="N592" s="1"/>
      <c r="O592" s="1"/>
      <c r="P592" s="1"/>
      <c r="Q592" s="1"/>
      <c r="R592" s="1"/>
      <c r="S592" s="1"/>
      <c r="T592" s="1"/>
      <c r="U592" s="1"/>
      <c r="V592" s="1"/>
      <c r="W592" s="1"/>
      <c r="X592" s="1"/>
      <c r="Y592" s="1"/>
    </row>
    <row r="593" spans="1:25">
      <c r="A593" s="1"/>
      <c r="B593" s="1"/>
      <c r="C593" s="1"/>
      <c r="D593" s="1"/>
      <c r="E593" s="1"/>
      <c r="F593" s="1"/>
      <c r="G593" s="1"/>
      <c r="H593" s="3"/>
      <c r="I593" s="1"/>
      <c r="J593" s="1"/>
      <c r="K593" s="1"/>
      <c r="L593" s="1"/>
      <c r="M593" s="1"/>
      <c r="N593" s="1"/>
      <c r="O593" s="1"/>
      <c r="P593" s="1"/>
      <c r="Q593" s="1"/>
      <c r="R593" s="1"/>
      <c r="S593" s="1"/>
      <c r="T593" s="1"/>
      <c r="U593" s="1"/>
      <c r="V593" s="1"/>
      <c r="W593" s="1"/>
      <c r="X593" s="1"/>
      <c r="Y593" s="1"/>
    </row>
    <row r="594" spans="1:25">
      <c r="A594" s="1"/>
      <c r="B594" s="1"/>
      <c r="C594" s="1"/>
      <c r="D594" s="1"/>
      <c r="E594" s="1"/>
      <c r="F594" s="1"/>
      <c r="G594" s="1"/>
      <c r="H594" s="3"/>
      <c r="I594" s="1"/>
      <c r="J594" s="1"/>
      <c r="K594" s="1"/>
      <c r="L594" s="1"/>
      <c r="M594" s="1"/>
      <c r="N594" s="1"/>
      <c r="O594" s="1"/>
      <c r="P594" s="1"/>
      <c r="Q594" s="1"/>
      <c r="R594" s="1"/>
      <c r="S594" s="1"/>
      <c r="T594" s="1"/>
      <c r="U594" s="1"/>
      <c r="V594" s="1"/>
      <c r="W594" s="1"/>
      <c r="X594" s="1"/>
      <c r="Y594" s="1"/>
    </row>
    <row r="595" spans="1:25">
      <c r="A595" s="1"/>
      <c r="B595" s="1"/>
      <c r="C595" s="1"/>
      <c r="D595" s="1"/>
      <c r="E595" s="1"/>
      <c r="F595" s="1"/>
      <c r="G595" s="1"/>
      <c r="H595" s="3"/>
      <c r="I595" s="1"/>
      <c r="J595" s="1"/>
      <c r="K595" s="1"/>
      <c r="L595" s="1"/>
      <c r="M595" s="1"/>
      <c r="N595" s="1"/>
      <c r="O595" s="1"/>
      <c r="P595" s="1"/>
      <c r="Q595" s="1"/>
      <c r="R595" s="1"/>
      <c r="S595" s="1"/>
      <c r="T595" s="1"/>
      <c r="U595" s="1"/>
      <c r="V595" s="1"/>
      <c r="W595" s="1"/>
      <c r="X595" s="1"/>
      <c r="Y595" s="1"/>
    </row>
    <row r="596" spans="1:25">
      <c r="A596" s="1"/>
      <c r="B596" s="1"/>
      <c r="C596" s="1"/>
      <c r="D596" s="1"/>
      <c r="E596" s="1"/>
      <c r="F596" s="1"/>
      <c r="G596" s="1"/>
      <c r="H596" s="3"/>
      <c r="I596" s="1"/>
      <c r="J596" s="1"/>
      <c r="K596" s="1"/>
      <c r="L596" s="1"/>
      <c r="M596" s="1"/>
      <c r="N596" s="1"/>
      <c r="O596" s="1"/>
      <c r="P596" s="1"/>
      <c r="Q596" s="1"/>
      <c r="R596" s="1"/>
      <c r="S596" s="1"/>
      <c r="T596" s="1"/>
      <c r="U596" s="1"/>
      <c r="V596" s="1"/>
      <c r="W596" s="1"/>
      <c r="X596" s="1"/>
      <c r="Y596" s="1"/>
    </row>
    <row r="597" spans="1:25">
      <c r="A597" s="1"/>
      <c r="B597" s="1"/>
      <c r="C597" s="1"/>
      <c r="D597" s="1"/>
      <c r="E597" s="1"/>
      <c r="F597" s="1"/>
      <c r="G597" s="1"/>
      <c r="H597" s="3"/>
      <c r="I597" s="1"/>
      <c r="J597" s="1"/>
      <c r="K597" s="1"/>
      <c r="L597" s="1"/>
      <c r="M597" s="1"/>
      <c r="N597" s="1"/>
      <c r="O597" s="1"/>
      <c r="P597" s="1"/>
      <c r="Q597" s="1"/>
      <c r="R597" s="1"/>
      <c r="S597" s="1"/>
      <c r="T597" s="1"/>
      <c r="U597" s="1"/>
      <c r="V597" s="1"/>
      <c r="W597" s="1"/>
      <c r="X597" s="1"/>
      <c r="Y597" s="1"/>
    </row>
    <row r="598" spans="1:25">
      <c r="A598" s="1"/>
      <c r="B598" s="1"/>
      <c r="C598" s="1"/>
      <c r="D598" s="1"/>
      <c r="E598" s="1"/>
      <c r="F598" s="1"/>
      <c r="G598" s="1"/>
      <c r="H598" s="3"/>
      <c r="I598" s="1"/>
      <c r="J598" s="1"/>
      <c r="K598" s="1"/>
      <c r="L598" s="1"/>
      <c r="M598" s="1"/>
      <c r="N598" s="1"/>
      <c r="O598" s="1"/>
      <c r="P598" s="1"/>
      <c r="Q598" s="1"/>
      <c r="R598" s="1"/>
      <c r="S598" s="1"/>
      <c r="T598" s="1"/>
      <c r="U598" s="1"/>
      <c r="V598" s="1"/>
      <c r="W598" s="1"/>
      <c r="X598" s="1"/>
      <c r="Y598" s="1"/>
    </row>
    <row r="599" spans="1:25">
      <c r="A599" s="1"/>
      <c r="B599" s="1"/>
      <c r="C599" s="1"/>
      <c r="D599" s="1"/>
      <c r="E599" s="1"/>
      <c r="F599" s="1"/>
      <c r="G599" s="1"/>
      <c r="H599" s="3"/>
      <c r="I599" s="1"/>
      <c r="J599" s="1"/>
      <c r="K599" s="1"/>
      <c r="L599" s="1"/>
      <c r="M599" s="1"/>
      <c r="N599" s="1"/>
      <c r="O599" s="1"/>
      <c r="P599" s="1"/>
      <c r="Q599" s="1"/>
      <c r="R599" s="1"/>
      <c r="S599" s="1"/>
      <c r="T599" s="1"/>
      <c r="U599" s="1"/>
      <c r="V599" s="1"/>
      <c r="W599" s="1"/>
      <c r="X599" s="1"/>
      <c r="Y599" s="1"/>
    </row>
    <row r="600" spans="1:25">
      <c r="A600" s="1"/>
      <c r="B600" s="1"/>
      <c r="C600" s="1"/>
      <c r="D600" s="1"/>
      <c r="E600" s="1"/>
      <c r="F600" s="1"/>
      <c r="G600" s="1"/>
      <c r="H600" s="3"/>
      <c r="I600" s="1"/>
      <c r="J600" s="1"/>
      <c r="K600" s="1"/>
      <c r="L600" s="1"/>
      <c r="M600" s="1"/>
      <c r="N600" s="1"/>
      <c r="O600" s="1"/>
      <c r="P600" s="1"/>
      <c r="Q600" s="1"/>
      <c r="R600" s="1"/>
      <c r="S600" s="1"/>
      <c r="T600" s="1"/>
      <c r="U600" s="1"/>
      <c r="V600" s="1"/>
      <c r="W600" s="1"/>
      <c r="X600" s="1"/>
      <c r="Y600" s="1"/>
    </row>
    <row r="601" spans="1:25">
      <c r="A601" s="1"/>
      <c r="B601" s="1"/>
      <c r="C601" s="1"/>
      <c r="D601" s="1"/>
      <c r="E601" s="1"/>
      <c r="F601" s="1"/>
      <c r="G601" s="1"/>
      <c r="H601" s="3"/>
      <c r="I601" s="1"/>
      <c r="J601" s="1"/>
      <c r="K601" s="1"/>
      <c r="L601" s="1"/>
      <c r="M601" s="1"/>
      <c r="N601" s="1"/>
      <c r="O601" s="1"/>
      <c r="P601" s="1"/>
      <c r="Q601" s="1"/>
      <c r="R601" s="1"/>
      <c r="S601" s="1"/>
      <c r="T601" s="1"/>
      <c r="U601" s="1"/>
      <c r="V601" s="1"/>
      <c r="W601" s="1"/>
      <c r="X601" s="1"/>
      <c r="Y601" s="1"/>
    </row>
    <row r="602" spans="1:25">
      <c r="A602" s="1"/>
      <c r="B602" s="1"/>
      <c r="C602" s="1"/>
      <c r="D602" s="1"/>
      <c r="E602" s="1"/>
      <c r="F602" s="1"/>
      <c r="G602" s="1"/>
      <c r="H602" s="3"/>
      <c r="I602" s="1"/>
      <c r="J602" s="1"/>
      <c r="K602" s="1"/>
      <c r="L602" s="1"/>
      <c r="M602" s="1"/>
      <c r="N602" s="1"/>
      <c r="O602" s="1"/>
      <c r="P602" s="1"/>
      <c r="Q602" s="1"/>
      <c r="R602" s="1"/>
      <c r="S602" s="1"/>
      <c r="T602" s="1"/>
      <c r="U602" s="1"/>
      <c r="V602" s="1"/>
      <c r="W602" s="1"/>
      <c r="X602" s="1"/>
      <c r="Y602" s="1"/>
    </row>
    <row r="603" spans="1:25">
      <c r="A603" s="1"/>
      <c r="B603" s="1"/>
      <c r="C603" s="1"/>
      <c r="D603" s="1"/>
      <c r="E603" s="1"/>
      <c r="F603" s="1"/>
      <c r="G603" s="1"/>
      <c r="H603" s="3"/>
      <c r="I603" s="1"/>
      <c r="J603" s="1"/>
      <c r="K603" s="1"/>
      <c r="L603" s="1"/>
      <c r="M603" s="1"/>
      <c r="N603" s="1"/>
      <c r="O603" s="1"/>
      <c r="P603" s="1"/>
      <c r="Q603" s="1"/>
      <c r="R603" s="1"/>
      <c r="S603" s="1"/>
      <c r="T603" s="1"/>
      <c r="U603" s="1"/>
      <c r="V603" s="1"/>
      <c r="W603" s="1"/>
      <c r="X603" s="1"/>
      <c r="Y603" s="1"/>
    </row>
    <row r="604" spans="1:25">
      <c r="A604" s="1"/>
      <c r="B604" s="1"/>
      <c r="C604" s="1"/>
      <c r="D604" s="1"/>
      <c r="E604" s="1"/>
      <c r="F604" s="1"/>
      <c r="G604" s="1"/>
      <c r="H604" s="3"/>
      <c r="I604" s="1"/>
      <c r="J604" s="1"/>
      <c r="K604" s="1"/>
      <c r="L604" s="1"/>
      <c r="M604" s="1"/>
      <c r="N604" s="1"/>
      <c r="O604" s="1"/>
      <c r="P604" s="1"/>
      <c r="Q604" s="1"/>
      <c r="R604" s="1"/>
      <c r="S604" s="1"/>
      <c r="T604" s="1"/>
      <c r="U604" s="1"/>
      <c r="V604" s="1"/>
      <c r="W604" s="1"/>
      <c r="X604" s="1"/>
      <c r="Y604" s="1"/>
    </row>
    <row r="605" spans="1:25">
      <c r="A605" s="1"/>
      <c r="B605" s="1"/>
      <c r="C605" s="1"/>
      <c r="D605" s="1"/>
      <c r="E605" s="1"/>
      <c r="F605" s="1"/>
      <c r="G605" s="1"/>
      <c r="H605" s="3"/>
      <c r="I605" s="1"/>
      <c r="J605" s="1"/>
      <c r="K605" s="1"/>
      <c r="L605" s="1"/>
      <c r="M605" s="1"/>
      <c r="N605" s="1"/>
      <c r="O605" s="1"/>
      <c r="P605" s="1"/>
      <c r="Q605" s="1"/>
      <c r="R605" s="1"/>
      <c r="S605" s="1"/>
      <c r="T605" s="1"/>
      <c r="U605" s="1"/>
      <c r="V605" s="1"/>
      <c r="W605" s="1"/>
      <c r="X605" s="1"/>
      <c r="Y605" s="1"/>
    </row>
    <row r="606" spans="1:25">
      <c r="A606" s="1"/>
      <c r="B606" s="1"/>
      <c r="C606" s="1"/>
      <c r="D606" s="1"/>
      <c r="E606" s="1"/>
      <c r="F606" s="1"/>
      <c r="G606" s="1"/>
      <c r="H606" s="3"/>
      <c r="I606" s="1"/>
      <c r="J606" s="1"/>
      <c r="K606" s="1"/>
      <c r="L606" s="1"/>
      <c r="M606" s="1"/>
      <c r="N606" s="1"/>
      <c r="O606" s="1"/>
      <c r="P606" s="1"/>
      <c r="Q606" s="1"/>
      <c r="R606" s="1"/>
      <c r="S606" s="1"/>
      <c r="T606" s="1"/>
      <c r="U606" s="1"/>
      <c r="V606" s="1"/>
      <c r="W606" s="1"/>
      <c r="X606" s="1"/>
      <c r="Y606" s="1"/>
    </row>
    <row r="607" spans="1:25">
      <c r="A607" s="1"/>
      <c r="B607" s="1"/>
      <c r="C607" s="1"/>
      <c r="D607" s="1"/>
      <c r="E607" s="1"/>
      <c r="F607" s="1"/>
      <c r="G607" s="1"/>
      <c r="H607" s="3"/>
      <c r="I607" s="1"/>
      <c r="J607" s="1"/>
      <c r="K607" s="1"/>
      <c r="L607" s="1"/>
      <c r="M607" s="1"/>
      <c r="N607" s="1"/>
      <c r="O607" s="1"/>
      <c r="P607" s="1"/>
      <c r="Q607" s="1"/>
      <c r="R607" s="1"/>
      <c r="S607" s="1"/>
      <c r="T607" s="1"/>
      <c r="U607" s="1"/>
      <c r="V607" s="1"/>
      <c r="W607" s="1"/>
      <c r="X607" s="1"/>
      <c r="Y607" s="1"/>
    </row>
    <row r="608" spans="1:25">
      <c r="A608" s="1"/>
      <c r="B608" s="1"/>
      <c r="C608" s="1"/>
      <c r="D608" s="1"/>
      <c r="E608" s="1"/>
      <c r="F608" s="1"/>
      <c r="G608" s="1"/>
      <c r="H608" s="3"/>
      <c r="I608" s="1"/>
      <c r="J608" s="1"/>
      <c r="K608" s="1"/>
      <c r="L608" s="1"/>
      <c r="M608" s="1"/>
      <c r="N608" s="1"/>
      <c r="O608" s="1"/>
      <c r="P608" s="1"/>
      <c r="Q608" s="1"/>
      <c r="R608" s="1"/>
      <c r="S608" s="1"/>
      <c r="T608" s="1"/>
      <c r="U608" s="1"/>
      <c r="V608" s="1"/>
      <c r="W608" s="1"/>
      <c r="X608" s="1"/>
      <c r="Y608" s="1"/>
    </row>
    <row r="609" spans="1:25">
      <c r="A609" s="1"/>
      <c r="B609" s="1"/>
      <c r="C609" s="1"/>
      <c r="D609" s="1"/>
      <c r="E609" s="1"/>
      <c r="F609" s="1"/>
      <c r="G609" s="1"/>
      <c r="H609" s="3"/>
      <c r="I609" s="1"/>
      <c r="J609" s="1"/>
      <c r="K609" s="1"/>
      <c r="L609" s="1"/>
      <c r="M609" s="1"/>
      <c r="N609" s="1"/>
      <c r="O609" s="1"/>
      <c r="P609" s="1"/>
      <c r="Q609" s="1"/>
      <c r="R609" s="1"/>
      <c r="S609" s="1"/>
      <c r="T609" s="1"/>
      <c r="U609" s="1"/>
      <c r="V609" s="1"/>
      <c r="W609" s="1"/>
      <c r="X609" s="1"/>
      <c r="Y609" s="1"/>
    </row>
    <row r="610" spans="1:25">
      <c r="A610" s="1"/>
      <c r="B610" s="1"/>
      <c r="C610" s="1"/>
      <c r="D610" s="1"/>
      <c r="E610" s="1"/>
      <c r="F610" s="1"/>
      <c r="G610" s="1"/>
      <c r="H610" s="3"/>
      <c r="I610" s="1"/>
      <c r="J610" s="1"/>
      <c r="K610" s="1"/>
      <c r="L610" s="1"/>
      <c r="M610" s="1"/>
      <c r="N610" s="1"/>
      <c r="O610" s="1"/>
      <c r="P610" s="1"/>
      <c r="Q610" s="1"/>
      <c r="R610" s="1"/>
      <c r="S610" s="1"/>
      <c r="T610" s="1"/>
      <c r="U610" s="1"/>
      <c r="V610" s="1"/>
      <c r="W610" s="1"/>
      <c r="X610" s="1"/>
      <c r="Y610" s="1"/>
    </row>
    <row r="611" spans="1:25">
      <c r="A611" s="1"/>
      <c r="B611" s="1"/>
      <c r="C611" s="1"/>
      <c r="D611" s="1"/>
      <c r="E611" s="1"/>
      <c r="F611" s="1"/>
      <c r="G611" s="1"/>
      <c r="H611" s="3"/>
      <c r="I611" s="1"/>
      <c r="J611" s="1"/>
      <c r="K611" s="1"/>
      <c r="L611" s="1"/>
      <c r="M611" s="1"/>
      <c r="N611" s="1"/>
      <c r="O611" s="1"/>
      <c r="P611" s="1"/>
      <c r="Q611" s="1"/>
      <c r="R611" s="1"/>
      <c r="S611" s="1"/>
      <c r="T611" s="1"/>
      <c r="U611" s="1"/>
      <c r="V611" s="1"/>
      <c r="W611" s="1"/>
      <c r="X611" s="1"/>
      <c r="Y611" s="1"/>
    </row>
    <row r="612" spans="1:25">
      <c r="A612" s="1"/>
      <c r="B612" s="1"/>
      <c r="C612" s="1"/>
      <c r="D612" s="1"/>
      <c r="E612" s="1"/>
      <c r="F612" s="1"/>
      <c r="G612" s="1"/>
      <c r="H612" s="3"/>
      <c r="I612" s="1"/>
      <c r="J612" s="1"/>
      <c r="K612" s="1"/>
      <c r="L612" s="1"/>
      <c r="M612" s="1"/>
      <c r="N612" s="1"/>
      <c r="O612" s="1"/>
      <c r="P612" s="1"/>
      <c r="Q612" s="1"/>
      <c r="R612" s="1"/>
      <c r="S612" s="1"/>
      <c r="T612" s="1"/>
      <c r="U612" s="1"/>
      <c r="V612" s="1"/>
      <c r="W612" s="1"/>
      <c r="X612" s="1"/>
      <c r="Y612" s="1"/>
    </row>
    <row r="613" spans="1:25">
      <c r="A613" s="1"/>
      <c r="B613" s="1"/>
      <c r="C613" s="1"/>
      <c r="D613" s="1"/>
      <c r="E613" s="1"/>
      <c r="F613" s="1"/>
      <c r="G613" s="1"/>
      <c r="H613" s="3"/>
      <c r="I613" s="1"/>
      <c r="J613" s="1"/>
      <c r="K613" s="1"/>
      <c r="L613" s="1"/>
      <c r="M613" s="1"/>
      <c r="N613" s="1"/>
      <c r="O613" s="1"/>
      <c r="P613" s="1"/>
      <c r="Q613" s="1"/>
      <c r="R613" s="1"/>
      <c r="S613" s="1"/>
      <c r="T613" s="1"/>
      <c r="U613" s="1"/>
      <c r="V613" s="1"/>
      <c r="W613" s="1"/>
      <c r="X613" s="1"/>
      <c r="Y613" s="1"/>
    </row>
    <row r="614" spans="1:25">
      <c r="A614" s="1"/>
      <c r="B614" s="1"/>
      <c r="C614" s="1"/>
      <c r="D614" s="1"/>
      <c r="E614" s="1"/>
      <c r="F614" s="1"/>
      <c r="G614" s="1"/>
      <c r="H614" s="3"/>
      <c r="I614" s="1"/>
      <c r="J614" s="1"/>
      <c r="K614" s="1"/>
      <c r="L614" s="1"/>
      <c r="M614" s="1"/>
      <c r="N614" s="1"/>
      <c r="O614" s="1"/>
      <c r="P614" s="1"/>
      <c r="Q614" s="1"/>
      <c r="R614" s="1"/>
      <c r="S614" s="1"/>
      <c r="T614" s="1"/>
      <c r="U614" s="1"/>
      <c r="V614" s="1"/>
      <c r="W614" s="1"/>
      <c r="X614" s="1"/>
      <c r="Y614" s="1"/>
    </row>
    <row r="615" spans="1:25">
      <c r="A615" s="1"/>
      <c r="B615" s="1"/>
      <c r="C615" s="1"/>
      <c r="D615" s="1"/>
      <c r="E615" s="1"/>
      <c r="F615" s="1"/>
      <c r="G615" s="1"/>
      <c r="H615" s="3"/>
      <c r="I615" s="1"/>
      <c r="J615" s="1"/>
      <c r="K615" s="1"/>
      <c r="L615" s="1"/>
      <c r="M615" s="1"/>
      <c r="N615" s="1"/>
      <c r="O615" s="1"/>
      <c r="P615" s="1"/>
      <c r="Q615" s="1"/>
      <c r="R615" s="1"/>
      <c r="S615" s="1"/>
      <c r="T615" s="1"/>
      <c r="U615" s="1"/>
      <c r="V615" s="1"/>
      <c r="W615" s="1"/>
      <c r="X615" s="1"/>
      <c r="Y615" s="1"/>
    </row>
    <row r="616" spans="1:25">
      <c r="A616" s="1"/>
      <c r="B616" s="1"/>
      <c r="C616" s="1"/>
      <c r="D616" s="1"/>
      <c r="E616" s="1"/>
      <c r="F616" s="1"/>
      <c r="G616" s="1"/>
      <c r="H616" s="3"/>
      <c r="I616" s="1"/>
      <c r="J616" s="1"/>
      <c r="K616" s="1"/>
      <c r="L616" s="1"/>
      <c r="M616" s="1"/>
      <c r="N616" s="1"/>
      <c r="O616" s="1"/>
      <c r="P616" s="1"/>
      <c r="Q616" s="1"/>
      <c r="R616" s="1"/>
      <c r="S616" s="1"/>
      <c r="T616" s="1"/>
      <c r="U616" s="1"/>
      <c r="V616" s="1"/>
      <c r="W616" s="1"/>
      <c r="X616" s="1"/>
      <c r="Y616" s="1"/>
    </row>
    <row r="617" spans="1:25">
      <c r="A617" s="1"/>
      <c r="B617" s="1"/>
      <c r="C617" s="1"/>
      <c r="D617" s="1"/>
      <c r="E617" s="1"/>
      <c r="F617" s="1"/>
      <c r="G617" s="1"/>
      <c r="H617" s="3"/>
      <c r="I617" s="1"/>
      <c r="J617" s="1"/>
      <c r="K617" s="1"/>
      <c r="L617" s="1"/>
      <c r="M617" s="1"/>
      <c r="N617" s="1"/>
      <c r="O617" s="1"/>
      <c r="P617" s="1"/>
      <c r="Q617" s="1"/>
      <c r="R617" s="1"/>
      <c r="S617" s="1"/>
      <c r="T617" s="1"/>
      <c r="U617" s="1"/>
      <c r="V617" s="1"/>
      <c r="W617" s="1"/>
      <c r="X617" s="1"/>
      <c r="Y617" s="1"/>
    </row>
    <row r="618" spans="1:25">
      <c r="A618" s="1"/>
      <c r="B618" s="1"/>
      <c r="C618" s="1"/>
      <c r="D618" s="1"/>
      <c r="E618" s="1"/>
      <c r="F618" s="1"/>
      <c r="G618" s="1"/>
      <c r="H618" s="3"/>
      <c r="I618" s="1"/>
      <c r="J618" s="1"/>
      <c r="K618" s="1"/>
      <c r="L618" s="1"/>
      <c r="M618" s="1"/>
      <c r="N618" s="1"/>
      <c r="O618" s="1"/>
      <c r="P618" s="1"/>
      <c r="Q618" s="1"/>
      <c r="R618" s="1"/>
      <c r="S618" s="1"/>
      <c r="T618" s="1"/>
      <c r="U618" s="1"/>
      <c r="V618" s="1"/>
      <c r="W618" s="1"/>
      <c r="X618" s="1"/>
      <c r="Y618" s="1"/>
    </row>
    <row r="619" spans="1:25">
      <c r="A619" s="1"/>
      <c r="B619" s="1"/>
      <c r="C619" s="1"/>
      <c r="D619" s="1"/>
      <c r="E619" s="1"/>
      <c r="F619" s="1"/>
      <c r="G619" s="1"/>
      <c r="H619" s="3"/>
      <c r="I619" s="1"/>
      <c r="J619" s="1"/>
      <c r="K619" s="1"/>
      <c r="L619" s="1"/>
      <c r="M619" s="1"/>
      <c r="N619" s="1"/>
      <c r="O619" s="1"/>
      <c r="P619" s="1"/>
      <c r="Q619" s="1"/>
      <c r="R619" s="1"/>
      <c r="S619" s="1"/>
      <c r="T619" s="1"/>
      <c r="U619" s="1"/>
      <c r="V619" s="1"/>
      <c r="W619" s="1"/>
      <c r="X619" s="1"/>
      <c r="Y619" s="1"/>
    </row>
    <row r="620" spans="1:25">
      <c r="A620" s="1"/>
      <c r="B620" s="1"/>
      <c r="C620" s="1"/>
      <c r="D620" s="1"/>
      <c r="E620" s="1"/>
      <c r="F620" s="1"/>
      <c r="G620" s="1"/>
      <c r="H620" s="3"/>
      <c r="I620" s="1"/>
      <c r="J620" s="1"/>
      <c r="K620" s="1"/>
      <c r="L620" s="1"/>
      <c r="M620" s="1"/>
      <c r="N620" s="1"/>
      <c r="O620" s="1"/>
      <c r="P620" s="1"/>
      <c r="Q620" s="1"/>
      <c r="R620" s="1"/>
      <c r="S620" s="1"/>
      <c r="T620" s="1"/>
      <c r="U620" s="1"/>
      <c r="V620" s="1"/>
      <c r="W620" s="1"/>
      <c r="X620" s="1"/>
      <c r="Y620" s="1"/>
    </row>
    <row r="621" spans="1:25">
      <c r="A621" s="1"/>
      <c r="B621" s="1"/>
      <c r="C621" s="1"/>
      <c r="D621" s="1"/>
      <c r="E621" s="1"/>
      <c r="F621" s="1"/>
      <c r="G621" s="1"/>
      <c r="H621" s="3"/>
      <c r="I621" s="1"/>
      <c r="J621" s="1"/>
      <c r="K621" s="1"/>
      <c r="L621" s="1"/>
      <c r="M621" s="1"/>
      <c r="N621" s="1"/>
      <c r="O621" s="1"/>
      <c r="P621" s="1"/>
      <c r="Q621" s="1"/>
      <c r="R621" s="1"/>
      <c r="S621" s="1"/>
      <c r="T621" s="1"/>
      <c r="U621" s="1"/>
      <c r="V621" s="1"/>
      <c r="W621" s="1"/>
      <c r="X621" s="1"/>
      <c r="Y621" s="1"/>
    </row>
    <row r="622" spans="1:25">
      <c r="A622" s="1"/>
      <c r="B622" s="1"/>
      <c r="C622" s="1"/>
      <c r="D622" s="1"/>
      <c r="E622" s="1"/>
      <c r="F622" s="1"/>
      <c r="G622" s="1"/>
      <c r="H622" s="3"/>
      <c r="I622" s="1"/>
      <c r="J622" s="1"/>
      <c r="K622" s="1"/>
      <c r="L622" s="1"/>
      <c r="M622" s="1"/>
      <c r="N622" s="1"/>
      <c r="O622" s="1"/>
      <c r="P622" s="1"/>
      <c r="Q622" s="1"/>
      <c r="R622" s="1"/>
      <c r="S622" s="1"/>
      <c r="T622" s="1"/>
      <c r="U622" s="1"/>
      <c r="V622" s="1"/>
      <c r="W622" s="1"/>
      <c r="X622" s="1"/>
      <c r="Y622" s="1"/>
    </row>
    <row r="623" spans="1:25">
      <c r="A623" s="1"/>
      <c r="B623" s="1"/>
      <c r="C623" s="1"/>
      <c r="D623" s="1"/>
      <c r="E623" s="1"/>
      <c r="F623" s="1"/>
      <c r="G623" s="1"/>
      <c r="H623" s="3"/>
      <c r="I623" s="1"/>
      <c r="J623" s="1"/>
      <c r="K623" s="1"/>
      <c r="L623" s="1"/>
      <c r="M623" s="1"/>
      <c r="N623" s="1"/>
      <c r="O623" s="1"/>
      <c r="P623" s="1"/>
      <c r="Q623" s="1"/>
      <c r="R623" s="1"/>
      <c r="S623" s="1"/>
      <c r="T623" s="1"/>
      <c r="U623" s="1"/>
      <c r="V623" s="1"/>
      <c r="W623" s="1"/>
      <c r="X623" s="1"/>
      <c r="Y623" s="1"/>
    </row>
    <row r="624" spans="1:25">
      <c r="A624" s="1"/>
      <c r="B624" s="1"/>
      <c r="C624" s="1"/>
      <c r="D624" s="1"/>
      <c r="E624" s="1"/>
      <c r="F624" s="1"/>
      <c r="G624" s="1"/>
      <c r="H624" s="3"/>
      <c r="I624" s="1"/>
      <c r="J624" s="1"/>
      <c r="K624" s="1"/>
      <c r="L624" s="1"/>
      <c r="M624" s="1"/>
      <c r="N624" s="1"/>
      <c r="O624" s="1"/>
      <c r="P624" s="1"/>
      <c r="Q624" s="1"/>
      <c r="R624" s="1"/>
      <c r="S624" s="1"/>
      <c r="T624" s="1"/>
      <c r="U624" s="1"/>
      <c r="V624" s="1"/>
      <c r="W624" s="1"/>
      <c r="X624" s="1"/>
      <c r="Y624" s="1"/>
    </row>
    <row r="625" spans="1:25">
      <c r="A625" s="1"/>
      <c r="B625" s="1"/>
      <c r="C625" s="1"/>
      <c r="D625" s="1"/>
      <c r="E625" s="1"/>
      <c r="F625" s="1"/>
      <c r="G625" s="1"/>
      <c r="H625" s="3"/>
      <c r="I625" s="1"/>
      <c r="J625" s="1"/>
      <c r="K625" s="1"/>
      <c r="L625" s="1"/>
      <c r="M625" s="1"/>
      <c r="N625" s="1"/>
      <c r="O625" s="1"/>
      <c r="P625" s="1"/>
      <c r="Q625" s="1"/>
      <c r="R625" s="1"/>
      <c r="S625" s="1"/>
      <c r="T625" s="1"/>
      <c r="U625" s="1"/>
      <c r="V625" s="1"/>
      <c r="W625" s="1"/>
      <c r="X625" s="1"/>
      <c r="Y625" s="1"/>
    </row>
    <row r="626" spans="1:25">
      <c r="A626" s="1"/>
      <c r="B626" s="1"/>
      <c r="C626" s="1"/>
      <c r="D626" s="1"/>
      <c r="E626" s="1"/>
      <c r="F626" s="1"/>
      <c r="G626" s="1"/>
      <c r="H626" s="3"/>
      <c r="I626" s="1"/>
      <c r="J626" s="1"/>
      <c r="K626" s="1"/>
      <c r="L626" s="1"/>
      <c r="M626" s="1"/>
      <c r="N626" s="1"/>
      <c r="O626" s="1"/>
      <c r="P626" s="1"/>
      <c r="Q626" s="1"/>
      <c r="R626" s="1"/>
      <c r="S626" s="1"/>
      <c r="T626" s="1"/>
      <c r="U626" s="1"/>
      <c r="V626" s="1"/>
      <c r="W626" s="1"/>
      <c r="X626" s="1"/>
      <c r="Y626" s="1"/>
    </row>
    <row r="627" spans="1:25">
      <c r="A627" s="1"/>
      <c r="B627" s="1"/>
      <c r="C627" s="1"/>
      <c r="D627" s="1"/>
      <c r="E627" s="1"/>
      <c r="F627" s="1"/>
      <c r="G627" s="1"/>
      <c r="H627" s="3"/>
      <c r="I627" s="1"/>
      <c r="J627" s="1"/>
      <c r="K627" s="1"/>
      <c r="L627" s="1"/>
      <c r="M627" s="1"/>
      <c r="N627" s="1"/>
      <c r="O627" s="1"/>
      <c r="P627" s="1"/>
      <c r="Q627" s="1"/>
      <c r="R627" s="1"/>
      <c r="S627" s="1"/>
      <c r="T627" s="1"/>
      <c r="U627" s="1"/>
      <c r="V627" s="1"/>
      <c r="W627" s="1"/>
      <c r="X627" s="1"/>
      <c r="Y627" s="1"/>
    </row>
    <row r="628" spans="1:25">
      <c r="A628" s="1"/>
      <c r="B628" s="1"/>
      <c r="C628" s="1"/>
      <c r="D628" s="1"/>
      <c r="E628" s="1"/>
      <c r="F628" s="1"/>
      <c r="G628" s="1"/>
      <c r="H628" s="3"/>
      <c r="I628" s="1"/>
      <c r="J628" s="1"/>
      <c r="K628" s="1"/>
      <c r="L628" s="1"/>
      <c r="M628" s="1"/>
      <c r="N628" s="1"/>
      <c r="O628" s="1"/>
      <c r="P628" s="1"/>
      <c r="Q628" s="1"/>
      <c r="R628" s="1"/>
      <c r="S628" s="1"/>
      <c r="T628" s="1"/>
      <c r="U628" s="1"/>
      <c r="V628" s="1"/>
      <c r="W628" s="1"/>
      <c r="X628" s="1"/>
      <c r="Y628" s="1"/>
    </row>
    <row r="629" spans="1:25">
      <c r="A629" s="1"/>
      <c r="B629" s="1"/>
      <c r="C629" s="1"/>
      <c r="D629" s="1"/>
      <c r="E629" s="1"/>
      <c r="F629" s="1"/>
      <c r="G629" s="1"/>
      <c r="H629" s="3"/>
      <c r="I629" s="1"/>
      <c r="J629" s="1"/>
      <c r="K629" s="1"/>
      <c r="L629" s="1"/>
      <c r="M629" s="1"/>
      <c r="N629" s="1"/>
      <c r="O629" s="1"/>
      <c r="P629" s="1"/>
      <c r="Q629" s="1"/>
      <c r="R629" s="1"/>
      <c r="S629" s="1"/>
      <c r="T629" s="1"/>
      <c r="U629" s="1"/>
      <c r="V629" s="1"/>
      <c r="W629" s="1"/>
      <c r="X629" s="1"/>
      <c r="Y629" s="1"/>
    </row>
    <row r="630" spans="1:25">
      <c r="A630" s="1"/>
      <c r="B630" s="1"/>
      <c r="C630" s="1"/>
      <c r="D630" s="1"/>
      <c r="E630" s="1"/>
      <c r="F630" s="1"/>
      <c r="G630" s="1"/>
      <c r="H630" s="3"/>
      <c r="I630" s="1"/>
      <c r="J630" s="1"/>
      <c r="K630" s="1"/>
      <c r="L630" s="1"/>
      <c r="M630" s="1"/>
      <c r="N630" s="1"/>
      <c r="O630" s="1"/>
      <c r="P630" s="1"/>
      <c r="Q630" s="1"/>
      <c r="R630" s="1"/>
      <c r="S630" s="1"/>
      <c r="T630" s="1"/>
      <c r="U630" s="1"/>
      <c r="V630" s="1"/>
      <c r="W630" s="1"/>
      <c r="X630" s="1"/>
      <c r="Y630" s="1"/>
    </row>
    <row r="631" spans="1:25">
      <c r="A631" s="1"/>
      <c r="B631" s="1"/>
      <c r="C631" s="1"/>
      <c r="D631" s="1"/>
      <c r="E631" s="1"/>
      <c r="F631" s="1"/>
      <c r="G631" s="1"/>
      <c r="H631" s="3"/>
      <c r="I631" s="1"/>
      <c r="J631" s="1"/>
      <c r="K631" s="1"/>
      <c r="L631" s="1"/>
      <c r="M631" s="1"/>
      <c r="N631" s="1"/>
      <c r="O631" s="1"/>
      <c r="P631" s="1"/>
      <c r="Q631" s="1"/>
      <c r="R631" s="1"/>
      <c r="S631" s="1"/>
      <c r="T631" s="1"/>
      <c r="U631" s="1"/>
      <c r="V631" s="1"/>
      <c r="W631" s="1"/>
      <c r="X631" s="1"/>
      <c r="Y631" s="1"/>
    </row>
    <row r="632" spans="1:25">
      <c r="A632" s="1"/>
      <c r="B632" s="1"/>
      <c r="C632" s="1"/>
      <c r="D632" s="1"/>
      <c r="E632" s="1"/>
      <c r="F632" s="1"/>
      <c r="G632" s="1"/>
      <c r="H632" s="3"/>
      <c r="I632" s="1"/>
      <c r="J632" s="1"/>
      <c r="K632" s="1"/>
      <c r="L632" s="1"/>
      <c r="M632" s="1"/>
      <c r="N632" s="1"/>
      <c r="O632" s="1"/>
      <c r="P632" s="1"/>
      <c r="Q632" s="1"/>
      <c r="R632" s="1"/>
      <c r="S632" s="1"/>
      <c r="T632" s="1"/>
      <c r="U632" s="1"/>
      <c r="V632" s="1"/>
      <c r="W632" s="1"/>
      <c r="X632" s="1"/>
      <c r="Y632" s="1"/>
    </row>
    <row r="633" spans="1:25">
      <c r="A633" s="1"/>
      <c r="B633" s="1"/>
      <c r="C633" s="1"/>
      <c r="D633" s="1"/>
      <c r="E633" s="1"/>
      <c r="F633" s="1"/>
      <c r="G633" s="1"/>
      <c r="H633" s="3"/>
      <c r="I633" s="1"/>
      <c r="J633" s="1"/>
      <c r="K633" s="1"/>
      <c r="L633" s="1"/>
      <c r="M633" s="1"/>
      <c r="N633" s="1"/>
      <c r="O633" s="1"/>
      <c r="P633" s="1"/>
      <c r="Q633" s="1"/>
      <c r="R633" s="1"/>
      <c r="S633" s="1"/>
      <c r="T633" s="1"/>
      <c r="U633" s="1"/>
      <c r="V633" s="1"/>
      <c r="W633" s="1"/>
      <c r="X633" s="1"/>
      <c r="Y633" s="1"/>
    </row>
    <row r="634" spans="1:25">
      <c r="A634" s="1"/>
      <c r="B634" s="1"/>
      <c r="C634" s="1"/>
      <c r="D634" s="1"/>
      <c r="E634" s="1"/>
      <c r="F634" s="1"/>
      <c r="G634" s="1"/>
      <c r="H634" s="3"/>
      <c r="I634" s="1"/>
      <c r="J634" s="1"/>
      <c r="K634" s="1"/>
      <c r="L634" s="1"/>
      <c r="M634" s="1"/>
      <c r="N634" s="1"/>
      <c r="O634" s="1"/>
      <c r="P634" s="1"/>
      <c r="Q634" s="1"/>
      <c r="R634" s="1"/>
      <c r="S634" s="1"/>
      <c r="T634" s="1"/>
      <c r="U634" s="1"/>
      <c r="V634" s="1"/>
      <c r="W634" s="1"/>
      <c r="X634" s="1"/>
      <c r="Y634" s="1"/>
    </row>
    <row r="635" spans="1:25">
      <c r="A635" s="1"/>
      <c r="B635" s="1"/>
      <c r="C635" s="1"/>
      <c r="D635" s="1"/>
      <c r="E635" s="1"/>
      <c r="F635" s="1"/>
      <c r="G635" s="1"/>
      <c r="H635" s="3"/>
      <c r="I635" s="1"/>
      <c r="J635" s="1"/>
      <c r="K635" s="1"/>
      <c r="L635" s="1"/>
      <c r="M635" s="1"/>
      <c r="N635" s="1"/>
      <c r="O635" s="1"/>
      <c r="P635" s="1"/>
      <c r="Q635" s="1"/>
      <c r="R635" s="1"/>
      <c r="S635" s="1"/>
      <c r="T635" s="1"/>
      <c r="U635" s="1"/>
      <c r="V635" s="1"/>
      <c r="W635" s="1"/>
      <c r="X635" s="1"/>
      <c r="Y635" s="1"/>
    </row>
    <row r="636" spans="1:25">
      <c r="A636" s="1"/>
      <c r="B636" s="1"/>
      <c r="C636" s="1"/>
      <c r="D636" s="1"/>
      <c r="E636" s="1"/>
      <c r="F636" s="1"/>
      <c r="G636" s="1"/>
      <c r="H636" s="3"/>
      <c r="I636" s="1"/>
      <c r="J636" s="1"/>
      <c r="K636" s="1"/>
      <c r="L636" s="1"/>
      <c r="M636" s="1"/>
      <c r="N636" s="1"/>
      <c r="O636" s="1"/>
      <c r="P636" s="1"/>
      <c r="Q636" s="1"/>
      <c r="R636" s="1"/>
      <c r="S636" s="1"/>
      <c r="T636" s="1"/>
      <c r="U636" s="1"/>
      <c r="V636" s="1"/>
      <c r="W636" s="1"/>
      <c r="X636" s="1"/>
      <c r="Y636" s="1"/>
    </row>
    <row r="637" spans="1:25">
      <c r="A637" s="1"/>
      <c r="B637" s="1"/>
      <c r="C637" s="1"/>
      <c r="D637" s="1"/>
      <c r="E637" s="1"/>
      <c r="F637" s="1"/>
      <c r="G637" s="1"/>
      <c r="H637" s="3"/>
      <c r="I637" s="1"/>
      <c r="J637" s="1"/>
      <c r="K637" s="1"/>
      <c r="L637" s="1"/>
      <c r="M637" s="1"/>
      <c r="N637" s="1"/>
      <c r="O637" s="1"/>
      <c r="P637" s="1"/>
      <c r="Q637" s="1"/>
      <c r="R637" s="1"/>
      <c r="S637" s="1"/>
      <c r="T637" s="1"/>
      <c r="U637" s="1"/>
      <c r="V637" s="1"/>
      <c r="W637" s="1"/>
      <c r="X637" s="1"/>
      <c r="Y637" s="1"/>
    </row>
    <row r="638" spans="1:25">
      <c r="A638" s="1"/>
      <c r="B638" s="1"/>
      <c r="C638" s="1"/>
      <c r="D638" s="1"/>
      <c r="E638" s="1"/>
      <c r="F638" s="1"/>
      <c r="G638" s="1"/>
      <c r="H638" s="3"/>
      <c r="I638" s="1"/>
      <c r="J638" s="1"/>
      <c r="K638" s="1"/>
      <c r="L638" s="1"/>
      <c r="M638" s="1"/>
      <c r="N638" s="1"/>
      <c r="O638" s="1"/>
      <c r="P638" s="1"/>
      <c r="Q638" s="1"/>
      <c r="R638" s="1"/>
      <c r="S638" s="1"/>
      <c r="T638" s="1"/>
      <c r="U638" s="1"/>
      <c r="V638" s="1"/>
      <c r="W638" s="1"/>
      <c r="X638" s="1"/>
      <c r="Y638" s="1"/>
    </row>
    <row r="639" spans="1:25">
      <c r="A639" s="1"/>
      <c r="B639" s="1"/>
      <c r="C639" s="1"/>
      <c r="D639" s="1"/>
      <c r="E639" s="1"/>
      <c r="F639" s="1"/>
      <c r="G639" s="1"/>
      <c r="H639" s="3"/>
      <c r="I639" s="1"/>
      <c r="J639" s="1"/>
      <c r="K639" s="1"/>
      <c r="L639" s="1"/>
      <c r="M639" s="1"/>
      <c r="N639" s="1"/>
      <c r="O639" s="1"/>
      <c r="P639" s="1"/>
      <c r="Q639" s="1"/>
      <c r="R639" s="1"/>
      <c r="S639" s="1"/>
      <c r="T639" s="1"/>
      <c r="U639" s="1"/>
      <c r="V639" s="1"/>
      <c r="W639" s="1"/>
      <c r="X639" s="1"/>
      <c r="Y639" s="1"/>
    </row>
    <row r="640" spans="1:25">
      <c r="A640" s="1"/>
      <c r="B640" s="1"/>
      <c r="C640" s="1"/>
      <c r="D640" s="1"/>
      <c r="E640" s="1"/>
      <c r="F640" s="1"/>
      <c r="G640" s="1"/>
      <c r="H640" s="3"/>
      <c r="I640" s="1"/>
      <c r="J640" s="1"/>
      <c r="K640" s="1"/>
      <c r="L640" s="1"/>
      <c r="M640" s="1"/>
      <c r="N640" s="1"/>
      <c r="O640" s="1"/>
      <c r="P640" s="1"/>
      <c r="Q640" s="1"/>
      <c r="R640" s="1"/>
      <c r="S640" s="1"/>
      <c r="T640" s="1"/>
      <c r="U640" s="1"/>
      <c r="V640" s="1"/>
      <c r="W640" s="1"/>
      <c r="X640" s="1"/>
      <c r="Y640" s="1"/>
    </row>
    <row r="641" spans="1:25">
      <c r="A641" s="1"/>
      <c r="B641" s="1"/>
      <c r="C641" s="1"/>
      <c r="D641" s="1"/>
      <c r="E641" s="1"/>
      <c r="F641" s="1"/>
      <c r="G641" s="1"/>
      <c r="H641" s="3"/>
      <c r="I641" s="1"/>
      <c r="J641" s="1"/>
      <c r="K641" s="1"/>
      <c r="L641" s="1"/>
      <c r="M641" s="1"/>
      <c r="N641" s="1"/>
      <c r="O641" s="1"/>
      <c r="P641" s="1"/>
      <c r="Q641" s="1"/>
      <c r="R641" s="1"/>
      <c r="S641" s="1"/>
      <c r="T641" s="1"/>
      <c r="U641" s="1"/>
      <c r="V641" s="1"/>
      <c r="W641" s="1"/>
      <c r="X641" s="1"/>
      <c r="Y641" s="1"/>
    </row>
    <row r="642" spans="1:25">
      <c r="A642" s="1"/>
      <c r="B642" s="1"/>
      <c r="C642" s="1"/>
      <c r="D642" s="1"/>
      <c r="E642" s="1"/>
      <c r="F642" s="1"/>
      <c r="G642" s="1"/>
      <c r="H642" s="3"/>
      <c r="I642" s="1"/>
      <c r="J642" s="1"/>
      <c r="K642" s="1"/>
      <c r="L642" s="1"/>
      <c r="M642" s="1"/>
      <c r="N642" s="1"/>
      <c r="O642" s="1"/>
      <c r="P642" s="1"/>
      <c r="Q642" s="1"/>
      <c r="R642" s="1"/>
      <c r="S642" s="1"/>
      <c r="T642" s="1"/>
      <c r="U642" s="1"/>
      <c r="V642" s="1"/>
      <c r="W642" s="1"/>
      <c r="X642" s="1"/>
      <c r="Y642" s="1"/>
    </row>
    <row r="643" spans="1:25">
      <c r="A643" s="1"/>
      <c r="B643" s="1"/>
      <c r="C643" s="1"/>
      <c r="D643" s="1"/>
      <c r="E643" s="1"/>
      <c r="F643" s="1"/>
      <c r="G643" s="1"/>
      <c r="H643" s="3"/>
      <c r="I643" s="1"/>
      <c r="J643" s="1"/>
      <c r="K643" s="1"/>
      <c r="L643" s="1"/>
      <c r="M643" s="1"/>
      <c r="N643" s="1"/>
      <c r="O643" s="1"/>
      <c r="P643" s="1"/>
      <c r="Q643" s="1"/>
      <c r="R643" s="1"/>
      <c r="S643" s="1"/>
      <c r="T643" s="1"/>
      <c r="U643" s="1"/>
      <c r="V643" s="1"/>
      <c r="W643" s="1"/>
      <c r="X643" s="1"/>
      <c r="Y643" s="1"/>
    </row>
    <row r="644" spans="1:25">
      <c r="A644" s="1"/>
      <c r="B644" s="1"/>
      <c r="C644" s="1"/>
      <c r="D644" s="1"/>
      <c r="E644" s="1"/>
      <c r="F644" s="1"/>
      <c r="G644" s="1"/>
      <c r="H644" s="3"/>
      <c r="I644" s="1"/>
      <c r="J644" s="1"/>
      <c r="K644" s="1"/>
      <c r="L644" s="1"/>
      <c r="M644" s="1"/>
      <c r="N644" s="1"/>
      <c r="O644" s="1"/>
      <c r="P644" s="1"/>
      <c r="Q644" s="1"/>
      <c r="R644" s="1"/>
      <c r="S644" s="1"/>
      <c r="T644" s="1"/>
      <c r="U644" s="1"/>
      <c r="V644" s="1"/>
      <c r="W644" s="1"/>
      <c r="X644" s="1"/>
      <c r="Y644" s="1"/>
    </row>
    <row r="645" spans="1:25">
      <c r="A645" s="1"/>
      <c r="B645" s="1"/>
      <c r="C645" s="1"/>
      <c r="D645" s="1"/>
      <c r="E645" s="1"/>
      <c r="F645" s="1"/>
      <c r="G645" s="1"/>
      <c r="H645" s="3"/>
      <c r="I645" s="1"/>
      <c r="J645" s="1"/>
      <c r="K645" s="1"/>
      <c r="L645" s="1"/>
      <c r="M645" s="1"/>
      <c r="N645" s="1"/>
      <c r="O645" s="1"/>
      <c r="P645" s="1"/>
      <c r="Q645" s="1"/>
      <c r="R645" s="1"/>
      <c r="S645" s="1"/>
      <c r="T645" s="1"/>
      <c r="U645" s="1"/>
      <c r="V645" s="1"/>
      <c r="W645" s="1"/>
      <c r="X645" s="1"/>
      <c r="Y645" s="1"/>
    </row>
    <row r="646" spans="1:25">
      <c r="A646" s="1"/>
      <c r="B646" s="1"/>
      <c r="C646" s="1"/>
      <c r="D646" s="1"/>
      <c r="E646" s="1"/>
      <c r="F646" s="1"/>
      <c r="G646" s="1"/>
      <c r="H646" s="3"/>
      <c r="I646" s="1"/>
      <c r="J646" s="1"/>
      <c r="K646" s="1"/>
      <c r="L646" s="1"/>
      <c r="M646" s="1"/>
      <c r="N646" s="1"/>
      <c r="O646" s="1"/>
      <c r="P646" s="1"/>
      <c r="Q646" s="1"/>
      <c r="R646" s="1"/>
      <c r="S646" s="1"/>
      <c r="T646" s="1"/>
      <c r="U646" s="1"/>
      <c r="V646" s="1"/>
      <c r="W646" s="1"/>
      <c r="X646" s="1"/>
      <c r="Y646" s="1"/>
    </row>
    <row r="647" spans="1:25">
      <c r="A647" s="1"/>
      <c r="B647" s="1"/>
      <c r="C647" s="1"/>
      <c r="D647" s="1"/>
      <c r="E647" s="1"/>
      <c r="F647" s="1"/>
      <c r="G647" s="1"/>
      <c r="H647" s="3"/>
      <c r="I647" s="1"/>
      <c r="J647" s="1"/>
      <c r="K647" s="1"/>
      <c r="L647" s="1"/>
      <c r="M647" s="1"/>
      <c r="N647" s="1"/>
      <c r="O647" s="1"/>
      <c r="P647" s="1"/>
      <c r="Q647" s="1"/>
      <c r="R647" s="1"/>
      <c r="S647" s="1"/>
      <c r="T647" s="1"/>
      <c r="U647" s="1"/>
      <c r="V647" s="1"/>
      <c r="W647" s="1"/>
      <c r="X647" s="1"/>
      <c r="Y647" s="1"/>
    </row>
    <row r="648" spans="1:25">
      <c r="A648" s="1"/>
      <c r="B648" s="1"/>
      <c r="C648" s="1"/>
      <c r="D648" s="1"/>
      <c r="E648" s="1"/>
      <c r="F648" s="1"/>
      <c r="G648" s="1"/>
      <c r="H648" s="3"/>
      <c r="I648" s="1"/>
      <c r="J648" s="1"/>
      <c r="K648" s="1"/>
      <c r="L648" s="1"/>
      <c r="M648" s="1"/>
      <c r="N648" s="1"/>
      <c r="O648" s="1"/>
      <c r="P648" s="1"/>
      <c r="Q648" s="1"/>
      <c r="R648" s="1"/>
      <c r="S648" s="1"/>
      <c r="T648" s="1"/>
      <c r="U648" s="1"/>
      <c r="V648" s="1"/>
      <c r="W648" s="1"/>
      <c r="X648" s="1"/>
      <c r="Y648" s="1"/>
    </row>
    <row r="649" spans="1:25">
      <c r="A649" s="1"/>
      <c r="B649" s="1"/>
      <c r="C649" s="1"/>
      <c r="D649" s="1"/>
      <c r="E649" s="1"/>
      <c r="F649" s="1"/>
      <c r="G649" s="1"/>
      <c r="H649" s="3"/>
      <c r="I649" s="1"/>
      <c r="J649" s="1"/>
      <c r="K649" s="1"/>
      <c r="L649" s="1"/>
      <c r="M649" s="1"/>
      <c r="N649" s="1"/>
      <c r="O649" s="1"/>
      <c r="P649" s="1"/>
      <c r="Q649" s="1"/>
      <c r="R649" s="1"/>
      <c r="S649" s="1"/>
      <c r="T649" s="1"/>
      <c r="U649" s="1"/>
      <c r="V649" s="1"/>
      <c r="W649" s="1"/>
      <c r="X649" s="1"/>
      <c r="Y649" s="1"/>
    </row>
    <row r="650" spans="1:25">
      <c r="A650" s="1"/>
      <c r="B650" s="1"/>
      <c r="C650" s="1"/>
      <c r="D650" s="1"/>
      <c r="E650" s="1"/>
      <c r="F650" s="1"/>
      <c r="G650" s="1"/>
      <c r="H650" s="3"/>
      <c r="I650" s="1"/>
      <c r="J650" s="1"/>
      <c r="K650" s="1"/>
      <c r="L650" s="1"/>
      <c r="M650" s="1"/>
      <c r="N650" s="1"/>
      <c r="O650" s="1"/>
      <c r="P650" s="1"/>
      <c r="Q650" s="1"/>
      <c r="R650" s="1"/>
      <c r="S650" s="1"/>
      <c r="T650" s="1"/>
      <c r="U650" s="1"/>
      <c r="V650" s="1"/>
      <c r="W650" s="1"/>
      <c r="X650" s="1"/>
      <c r="Y650" s="1"/>
    </row>
    <row r="651" spans="1:25">
      <c r="A651" s="1"/>
      <c r="B651" s="1"/>
      <c r="C651" s="1"/>
      <c r="D651" s="1"/>
      <c r="E651" s="1"/>
      <c r="F651" s="1"/>
      <c r="G651" s="1"/>
      <c r="H651" s="3"/>
      <c r="I651" s="1"/>
      <c r="J651" s="1"/>
      <c r="K651" s="1"/>
      <c r="L651" s="1"/>
      <c r="M651" s="1"/>
      <c r="N651" s="1"/>
      <c r="O651" s="1"/>
      <c r="P651" s="1"/>
      <c r="Q651" s="1"/>
      <c r="R651" s="1"/>
      <c r="S651" s="1"/>
      <c r="T651" s="1"/>
      <c r="U651" s="1"/>
      <c r="V651" s="1"/>
      <c r="W651" s="1"/>
      <c r="X651" s="1"/>
      <c r="Y651" s="1"/>
    </row>
    <row r="652" spans="1:25">
      <c r="A652" s="1"/>
      <c r="B652" s="1"/>
      <c r="C652" s="1"/>
      <c r="D652" s="1"/>
      <c r="E652" s="1"/>
      <c r="F652" s="1"/>
      <c r="G652" s="1"/>
      <c r="H652" s="3"/>
      <c r="I652" s="1"/>
      <c r="J652" s="1"/>
      <c r="K652" s="1"/>
      <c r="L652" s="1"/>
      <c r="M652" s="1"/>
      <c r="N652" s="1"/>
      <c r="O652" s="1"/>
      <c r="P652" s="1"/>
      <c r="Q652" s="1"/>
      <c r="R652" s="1"/>
      <c r="S652" s="1"/>
      <c r="T652" s="1"/>
      <c r="U652" s="1"/>
      <c r="V652" s="1"/>
      <c r="W652" s="1"/>
      <c r="X652" s="1"/>
      <c r="Y652" s="1"/>
    </row>
    <row r="653" spans="1:25">
      <c r="A653" s="1"/>
      <c r="B653" s="1"/>
      <c r="C653" s="1"/>
      <c r="D653" s="1"/>
      <c r="E653" s="1"/>
      <c r="F653" s="1"/>
      <c r="G653" s="1"/>
      <c r="H653" s="3"/>
      <c r="I653" s="1"/>
      <c r="J653" s="1"/>
      <c r="K653" s="1"/>
      <c r="L653" s="1"/>
      <c r="M653" s="1"/>
      <c r="N653" s="1"/>
      <c r="O653" s="1"/>
      <c r="P653" s="1"/>
      <c r="Q653" s="1"/>
      <c r="R653" s="1"/>
      <c r="S653" s="1"/>
      <c r="T653" s="1"/>
      <c r="U653" s="1"/>
      <c r="V653" s="1"/>
      <c r="W653" s="1"/>
      <c r="X653" s="1"/>
      <c r="Y653" s="1"/>
    </row>
    <row r="654" spans="1:25">
      <c r="A654" s="1"/>
      <c r="B654" s="1"/>
      <c r="C654" s="1"/>
      <c r="D654" s="1"/>
      <c r="E654" s="1"/>
      <c r="F654" s="1"/>
      <c r="G654" s="1"/>
      <c r="H654" s="3"/>
      <c r="I654" s="1"/>
      <c r="J654" s="1"/>
      <c r="K654" s="1"/>
      <c r="L654" s="1"/>
      <c r="M654" s="1"/>
      <c r="N654" s="1"/>
      <c r="O654" s="1"/>
      <c r="P654" s="1"/>
      <c r="Q654" s="1"/>
      <c r="R654" s="1"/>
      <c r="S654" s="1"/>
      <c r="T654" s="1"/>
      <c r="U654" s="1"/>
      <c r="V654" s="1"/>
      <c r="W654" s="1"/>
      <c r="X654" s="1"/>
      <c r="Y654" s="1"/>
    </row>
    <row r="655" spans="1:25">
      <c r="A655" s="1"/>
      <c r="B655" s="1"/>
      <c r="C655" s="1"/>
      <c r="D655" s="1"/>
      <c r="E655" s="1"/>
      <c r="F655" s="1"/>
      <c r="G655" s="1"/>
      <c r="H655" s="3"/>
      <c r="I655" s="1"/>
      <c r="J655" s="1"/>
      <c r="K655" s="1"/>
      <c r="L655" s="1"/>
      <c r="M655" s="1"/>
      <c r="N655" s="1"/>
      <c r="O655" s="1"/>
      <c r="P655" s="1"/>
      <c r="Q655" s="1"/>
      <c r="R655" s="1"/>
      <c r="S655" s="1"/>
      <c r="T655" s="1"/>
      <c r="U655" s="1"/>
      <c r="V655" s="1"/>
      <c r="W655" s="1"/>
      <c r="X655" s="1"/>
      <c r="Y655" s="1"/>
    </row>
    <row r="656" spans="1:25">
      <c r="A656" s="1"/>
      <c r="B656" s="1"/>
      <c r="C656" s="1"/>
      <c r="D656" s="1"/>
      <c r="E656" s="1"/>
      <c r="F656" s="1"/>
      <c r="G656" s="1"/>
      <c r="H656" s="3"/>
      <c r="I656" s="1"/>
      <c r="J656" s="1"/>
      <c r="K656" s="1"/>
      <c r="L656" s="1"/>
      <c r="M656" s="1"/>
      <c r="N656" s="1"/>
      <c r="O656" s="1"/>
      <c r="P656" s="1"/>
      <c r="Q656" s="1"/>
      <c r="R656" s="1"/>
      <c r="S656" s="1"/>
      <c r="T656" s="1"/>
      <c r="U656" s="1"/>
      <c r="V656" s="1"/>
      <c r="W656" s="1"/>
      <c r="X656" s="1"/>
      <c r="Y656" s="1"/>
    </row>
    <row r="657" spans="1:25">
      <c r="A657" s="1"/>
      <c r="B657" s="1"/>
      <c r="C657" s="1"/>
      <c r="D657" s="1"/>
      <c r="E657" s="1"/>
      <c r="F657" s="1"/>
      <c r="G657" s="1"/>
      <c r="H657" s="3"/>
      <c r="I657" s="1"/>
      <c r="J657" s="1"/>
      <c r="K657" s="1"/>
      <c r="L657" s="1"/>
      <c r="M657" s="1"/>
      <c r="N657" s="1"/>
      <c r="O657" s="1"/>
      <c r="P657" s="1"/>
      <c r="Q657" s="1"/>
      <c r="R657" s="1"/>
      <c r="S657" s="1"/>
      <c r="T657" s="1"/>
      <c r="U657" s="1"/>
      <c r="V657" s="1"/>
      <c r="W657" s="1"/>
      <c r="X657" s="1"/>
      <c r="Y657" s="1"/>
    </row>
    <row r="658" spans="1:25">
      <c r="A658" s="1"/>
      <c r="B658" s="1"/>
      <c r="C658" s="1"/>
      <c r="D658" s="1"/>
      <c r="E658" s="1"/>
      <c r="F658" s="1"/>
      <c r="G658" s="1"/>
      <c r="H658" s="3"/>
      <c r="I658" s="1"/>
      <c r="J658" s="1"/>
      <c r="K658" s="1"/>
      <c r="L658" s="1"/>
      <c r="M658" s="1"/>
      <c r="N658" s="1"/>
      <c r="O658" s="1"/>
      <c r="P658" s="1"/>
      <c r="Q658" s="1"/>
      <c r="R658" s="1"/>
      <c r="S658" s="1"/>
      <c r="T658" s="1"/>
      <c r="U658" s="1"/>
      <c r="V658" s="1"/>
      <c r="W658" s="1"/>
      <c r="X658" s="1"/>
      <c r="Y658" s="1"/>
    </row>
    <row r="659" spans="1:25">
      <c r="A659" s="1"/>
      <c r="B659" s="1"/>
      <c r="C659" s="1"/>
      <c r="D659" s="1"/>
      <c r="E659" s="1"/>
      <c r="F659" s="1"/>
      <c r="G659" s="1"/>
      <c r="H659" s="3"/>
      <c r="I659" s="1"/>
      <c r="J659" s="1"/>
      <c r="K659" s="1"/>
      <c r="L659" s="1"/>
      <c r="M659" s="1"/>
      <c r="N659" s="1"/>
      <c r="O659" s="1"/>
      <c r="P659" s="1"/>
      <c r="Q659" s="1"/>
      <c r="R659" s="1"/>
      <c r="S659" s="1"/>
      <c r="T659" s="1"/>
      <c r="U659" s="1"/>
      <c r="V659" s="1"/>
      <c r="W659" s="1"/>
      <c r="X659" s="1"/>
      <c r="Y659" s="1"/>
    </row>
    <row r="660" spans="1:25">
      <c r="A660" s="1"/>
      <c r="B660" s="1"/>
      <c r="C660" s="1"/>
      <c r="D660" s="1"/>
      <c r="E660" s="1"/>
      <c r="F660" s="1"/>
      <c r="G660" s="1"/>
      <c r="H660" s="3"/>
      <c r="I660" s="1"/>
      <c r="J660" s="1"/>
      <c r="K660" s="1"/>
      <c r="L660" s="1"/>
      <c r="M660" s="1"/>
      <c r="N660" s="1"/>
      <c r="O660" s="1"/>
      <c r="P660" s="1"/>
      <c r="Q660" s="1"/>
      <c r="R660" s="1"/>
      <c r="S660" s="1"/>
      <c r="T660" s="1"/>
      <c r="U660" s="1"/>
      <c r="V660" s="1"/>
      <c r="W660" s="1"/>
      <c r="X660" s="1"/>
      <c r="Y660" s="1"/>
    </row>
    <row r="661" spans="1:25">
      <c r="A661" s="1"/>
      <c r="B661" s="1"/>
      <c r="C661" s="1"/>
      <c r="D661" s="1"/>
      <c r="E661" s="1"/>
      <c r="F661" s="1"/>
      <c r="G661" s="1"/>
      <c r="H661" s="3"/>
      <c r="I661" s="1"/>
      <c r="J661" s="1"/>
      <c r="K661" s="1"/>
      <c r="L661" s="1"/>
      <c r="M661" s="1"/>
      <c r="N661" s="1"/>
      <c r="O661" s="1"/>
      <c r="P661" s="1"/>
      <c r="Q661" s="1"/>
      <c r="R661" s="1"/>
      <c r="S661" s="1"/>
      <c r="T661" s="1"/>
      <c r="U661" s="1"/>
      <c r="V661" s="1"/>
      <c r="W661" s="1"/>
      <c r="X661" s="1"/>
      <c r="Y661" s="1"/>
    </row>
    <row r="662" spans="1:25">
      <c r="A662" s="1"/>
      <c r="B662" s="1"/>
      <c r="C662" s="1"/>
      <c r="D662" s="1"/>
      <c r="E662" s="1"/>
      <c r="F662" s="1"/>
      <c r="G662" s="1"/>
      <c r="H662" s="3"/>
      <c r="I662" s="1"/>
      <c r="J662" s="1"/>
      <c r="K662" s="1"/>
      <c r="L662" s="1"/>
      <c r="M662" s="1"/>
      <c r="N662" s="1"/>
      <c r="O662" s="1"/>
      <c r="P662" s="1"/>
      <c r="Q662" s="1"/>
      <c r="R662" s="1"/>
      <c r="S662" s="1"/>
      <c r="T662" s="1"/>
      <c r="U662" s="1"/>
      <c r="V662" s="1"/>
      <c r="W662" s="1"/>
      <c r="X662" s="1"/>
      <c r="Y662" s="1"/>
    </row>
    <row r="663" spans="1:25">
      <c r="A663" s="1"/>
      <c r="B663" s="1"/>
      <c r="C663" s="1"/>
      <c r="D663" s="1"/>
      <c r="E663" s="1"/>
      <c r="F663" s="1"/>
      <c r="G663" s="1"/>
      <c r="H663" s="3"/>
      <c r="I663" s="1"/>
      <c r="J663" s="1"/>
      <c r="K663" s="1"/>
      <c r="L663" s="1"/>
      <c r="M663" s="1"/>
      <c r="N663" s="1"/>
      <c r="O663" s="1"/>
      <c r="P663" s="1"/>
      <c r="Q663" s="1"/>
      <c r="R663" s="1"/>
      <c r="S663" s="1"/>
      <c r="T663" s="1"/>
      <c r="U663" s="1"/>
      <c r="V663" s="1"/>
      <c r="W663" s="1"/>
      <c r="X663" s="1"/>
      <c r="Y663" s="1"/>
    </row>
    <row r="664" spans="1:25">
      <c r="A664" s="1"/>
      <c r="B664" s="1"/>
      <c r="C664" s="1"/>
      <c r="D664" s="1"/>
      <c r="E664" s="1"/>
      <c r="F664" s="1"/>
      <c r="G664" s="1"/>
      <c r="H664" s="3"/>
      <c r="I664" s="1"/>
      <c r="J664" s="1"/>
      <c r="K664" s="1"/>
      <c r="L664" s="1"/>
      <c r="M664" s="1"/>
      <c r="N664" s="1"/>
      <c r="O664" s="1"/>
      <c r="P664" s="1"/>
      <c r="Q664" s="1"/>
      <c r="R664" s="1"/>
      <c r="S664" s="1"/>
      <c r="T664" s="1"/>
      <c r="U664" s="1"/>
      <c r="V664" s="1"/>
      <c r="W664" s="1"/>
      <c r="X664" s="1"/>
      <c r="Y664" s="1"/>
    </row>
    <row r="665" spans="1:25">
      <c r="A665" s="1"/>
      <c r="B665" s="1"/>
      <c r="C665" s="1"/>
      <c r="D665" s="1"/>
      <c r="E665" s="1"/>
      <c r="F665" s="1"/>
      <c r="G665" s="1"/>
      <c r="H665" s="3"/>
      <c r="I665" s="1"/>
      <c r="J665" s="1"/>
      <c r="K665" s="1"/>
      <c r="L665" s="1"/>
      <c r="M665" s="1"/>
      <c r="N665" s="1"/>
      <c r="O665" s="1"/>
      <c r="P665" s="1"/>
      <c r="Q665" s="1"/>
      <c r="R665" s="1"/>
      <c r="S665" s="1"/>
      <c r="T665" s="1"/>
      <c r="U665" s="1"/>
      <c r="V665" s="1"/>
      <c r="W665" s="1"/>
      <c r="X665" s="1"/>
      <c r="Y665" s="1"/>
    </row>
    <row r="666" spans="1:25">
      <c r="A666" s="1"/>
      <c r="B666" s="1"/>
      <c r="C666" s="1"/>
      <c r="D666" s="1"/>
      <c r="E666" s="1"/>
      <c r="F666" s="1"/>
      <c r="G666" s="1"/>
      <c r="H666" s="3"/>
      <c r="I666" s="1"/>
      <c r="J666" s="1"/>
      <c r="K666" s="1"/>
      <c r="L666" s="1"/>
      <c r="M666" s="1"/>
      <c r="N666" s="1"/>
      <c r="O666" s="1"/>
      <c r="P666" s="1"/>
      <c r="Q666" s="1"/>
      <c r="R666" s="1"/>
      <c r="S666" s="1"/>
      <c r="T666" s="1"/>
      <c r="U666" s="1"/>
      <c r="V666" s="1"/>
      <c r="W666" s="1"/>
      <c r="X666" s="1"/>
      <c r="Y666" s="1"/>
    </row>
    <row r="667" spans="1:25">
      <c r="A667" s="1"/>
      <c r="B667" s="1"/>
      <c r="C667" s="1"/>
      <c r="D667" s="1"/>
      <c r="E667" s="1"/>
      <c r="F667" s="1"/>
      <c r="G667" s="1"/>
      <c r="H667" s="3"/>
      <c r="I667" s="1"/>
      <c r="J667" s="1"/>
      <c r="K667" s="1"/>
      <c r="L667" s="1"/>
      <c r="M667" s="1"/>
      <c r="N667" s="1"/>
      <c r="O667" s="1"/>
      <c r="P667" s="1"/>
      <c r="Q667" s="1"/>
      <c r="R667" s="1"/>
      <c r="S667" s="1"/>
      <c r="T667" s="1"/>
      <c r="U667" s="1"/>
      <c r="V667" s="1"/>
      <c r="W667" s="1"/>
      <c r="X667" s="1"/>
      <c r="Y667" s="1"/>
    </row>
    <row r="668" spans="1:25">
      <c r="A668" s="1"/>
      <c r="B668" s="1"/>
      <c r="C668" s="1"/>
      <c r="D668" s="1"/>
      <c r="E668" s="1"/>
      <c r="F668" s="1"/>
      <c r="G668" s="1"/>
      <c r="H668" s="3"/>
      <c r="I668" s="1"/>
      <c r="J668" s="1"/>
      <c r="K668" s="1"/>
      <c r="L668" s="1"/>
      <c r="M668" s="1"/>
      <c r="N668" s="1"/>
      <c r="O668" s="1"/>
      <c r="P668" s="1"/>
      <c r="Q668" s="1"/>
      <c r="R668" s="1"/>
      <c r="S668" s="1"/>
      <c r="T668" s="1"/>
      <c r="U668" s="1"/>
      <c r="V668" s="1"/>
      <c r="W668" s="1"/>
      <c r="X668" s="1"/>
      <c r="Y668" s="1"/>
    </row>
    <row r="669" spans="1:25">
      <c r="A669" s="1"/>
      <c r="B669" s="1"/>
      <c r="C669" s="1"/>
      <c r="D669" s="1"/>
      <c r="E669" s="1"/>
      <c r="F669" s="1"/>
      <c r="G669" s="1"/>
      <c r="H669" s="3"/>
      <c r="I669" s="1"/>
      <c r="J669" s="1"/>
      <c r="K669" s="1"/>
      <c r="L669" s="1"/>
      <c r="M669" s="1"/>
      <c r="N669" s="1"/>
      <c r="O669" s="1"/>
      <c r="P669" s="1"/>
      <c r="Q669" s="1"/>
      <c r="R669" s="1"/>
      <c r="S669" s="1"/>
      <c r="T669" s="1"/>
      <c r="U669" s="1"/>
      <c r="V669" s="1"/>
      <c r="W669" s="1"/>
      <c r="X669" s="1"/>
      <c r="Y669" s="1"/>
    </row>
    <row r="670" spans="1:25">
      <c r="A670" s="1"/>
      <c r="B670" s="1"/>
      <c r="C670" s="1"/>
      <c r="D670" s="1"/>
      <c r="E670" s="1"/>
      <c r="F670" s="1"/>
      <c r="G670" s="1"/>
      <c r="H670" s="3"/>
      <c r="I670" s="1"/>
      <c r="J670" s="1"/>
      <c r="K670" s="1"/>
      <c r="L670" s="1"/>
      <c r="M670" s="1"/>
      <c r="N670" s="1"/>
      <c r="O670" s="1"/>
      <c r="P670" s="1"/>
      <c r="Q670" s="1"/>
      <c r="R670" s="1"/>
      <c r="S670" s="1"/>
      <c r="T670" s="1"/>
      <c r="U670" s="1"/>
      <c r="V670" s="1"/>
      <c r="W670" s="1"/>
      <c r="X670" s="1"/>
      <c r="Y670" s="1"/>
    </row>
    <row r="671" spans="1:25">
      <c r="A671" s="1"/>
      <c r="B671" s="1"/>
      <c r="C671" s="1"/>
      <c r="D671" s="1"/>
      <c r="E671" s="1"/>
      <c r="F671" s="1"/>
      <c r="G671" s="1"/>
      <c r="H671" s="3"/>
      <c r="I671" s="1"/>
      <c r="J671" s="1"/>
      <c r="K671" s="1"/>
      <c r="L671" s="1"/>
      <c r="M671" s="1"/>
      <c r="N671" s="1"/>
      <c r="O671" s="1"/>
      <c r="P671" s="1"/>
      <c r="Q671" s="1"/>
      <c r="R671" s="1"/>
      <c r="S671" s="1"/>
      <c r="T671" s="1"/>
      <c r="U671" s="1"/>
      <c r="V671" s="1"/>
      <c r="W671" s="1"/>
      <c r="X671" s="1"/>
      <c r="Y671" s="1"/>
    </row>
    <row r="672" spans="1:25">
      <c r="A672" s="1"/>
      <c r="B672" s="1"/>
      <c r="C672" s="1"/>
      <c r="D672" s="1"/>
      <c r="E672" s="1"/>
      <c r="F672" s="1"/>
      <c r="G672" s="1"/>
      <c r="H672" s="3"/>
      <c r="I672" s="1"/>
      <c r="J672" s="1"/>
      <c r="K672" s="1"/>
      <c r="L672" s="1"/>
      <c r="M672" s="1"/>
      <c r="N672" s="1"/>
      <c r="O672" s="1"/>
      <c r="P672" s="1"/>
      <c r="Q672" s="1"/>
      <c r="R672" s="1"/>
      <c r="S672" s="1"/>
      <c r="T672" s="1"/>
      <c r="U672" s="1"/>
      <c r="V672" s="1"/>
      <c r="W672" s="1"/>
      <c r="X672" s="1"/>
      <c r="Y672" s="1"/>
    </row>
    <row r="673" spans="1:25">
      <c r="A673" s="1"/>
      <c r="B673" s="1"/>
      <c r="C673" s="1"/>
      <c r="D673" s="1"/>
      <c r="E673" s="1"/>
      <c r="F673" s="1"/>
      <c r="G673" s="1"/>
      <c r="H673" s="3"/>
      <c r="I673" s="1"/>
      <c r="J673" s="1"/>
      <c r="K673" s="1"/>
      <c r="L673" s="1"/>
      <c r="M673" s="1"/>
      <c r="N673" s="1"/>
      <c r="O673" s="1"/>
      <c r="P673" s="1"/>
      <c r="Q673" s="1"/>
      <c r="R673" s="1"/>
      <c r="S673" s="1"/>
      <c r="T673" s="1"/>
      <c r="U673" s="1"/>
      <c r="V673" s="1"/>
      <c r="W673" s="1"/>
      <c r="X673" s="1"/>
      <c r="Y673" s="1"/>
    </row>
    <row r="674" spans="1:25">
      <c r="A674" s="1"/>
      <c r="B674" s="1"/>
      <c r="C674" s="1"/>
      <c r="D674" s="1"/>
      <c r="E674" s="1"/>
      <c r="F674" s="1"/>
      <c r="G674" s="1"/>
      <c r="H674" s="3"/>
      <c r="I674" s="1"/>
      <c r="J674" s="1"/>
      <c r="K674" s="1"/>
      <c r="L674" s="1"/>
      <c r="M674" s="1"/>
      <c r="N674" s="1"/>
      <c r="O674" s="1"/>
      <c r="P674" s="1"/>
      <c r="Q674" s="1"/>
      <c r="R674" s="1"/>
      <c r="S674" s="1"/>
      <c r="T674" s="1"/>
      <c r="U674" s="1"/>
      <c r="V674" s="1"/>
      <c r="W674" s="1"/>
      <c r="X674" s="1"/>
      <c r="Y674" s="1"/>
    </row>
    <row r="675" spans="1:25">
      <c r="A675" s="1"/>
      <c r="B675" s="1"/>
      <c r="C675" s="1"/>
      <c r="D675" s="1"/>
      <c r="E675" s="1"/>
      <c r="F675" s="1"/>
      <c r="G675" s="1"/>
      <c r="H675" s="3"/>
      <c r="I675" s="1"/>
      <c r="J675" s="1"/>
      <c r="K675" s="1"/>
      <c r="L675" s="1"/>
      <c r="M675" s="1"/>
      <c r="N675" s="1"/>
      <c r="O675" s="1"/>
      <c r="P675" s="1"/>
      <c r="Q675" s="1"/>
      <c r="R675" s="1"/>
      <c r="S675" s="1"/>
      <c r="T675" s="1"/>
      <c r="U675" s="1"/>
      <c r="V675" s="1"/>
      <c r="W675" s="1"/>
      <c r="X675" s="1"/>
      <c r="Y675" s="1"/>
    </row>
    <row r="676" spans="1:25">
      <c r="A676" s="1"/>
      <c r="B676" s="1"/>
      <c r="C676" s="1"/>
      <c r="D676" s="1"/>
      <c r="E676" s="1"/>
      <c r="F676" s="1"/>
      <c r="G676" s="1"/>
      <c r="H676" s="3"/>
      <c r="I676" s="1"/>
      <c r="J676" s="1"/>
      <c r="K676" s="1"/>
      <c r="L676" s="1"/>
      <c r="M676" s="1"/>
      <c r="N676" s="1"/>
      <c r="O676" s="1"/>
      <c r="P676" s="1"/>
      <c r="Q676" s="1"/>
      <c r="R676" s="1"/>
      <c r="S676" s="1"/>
      <c r="T676" s="1"/>
      <c r="U676" s="1"/>
      <c r="V676" s="1"/>
      <c r="W676" s="1"/>
      <c r="X676" s="1"/>
      <c r="Y676" s="1"/>
    </row>
    <row r="677" spans="1:25">
      <c r="A677" s="1"/>
      <c r="B677" s="1"/>
      <c r="C677" s="1"/>
      <c r="D677" s="1"/>
      <c r="E677" s="1"/>
      <c r="F677" s="1"/>
      <c r="G677" s="1"/>
      <c r="H677" s="3"/>
      <c r="I677" s="1"/>
      <c r="J677" s="1"/>
      <c r="K677" s="1"/>
      <c r="L677" s="1"/>
      <c r="M677" s="1"/>
      <c r="N677" s="1"/>
      <c r="O677" s="1"/>
      <c r="P677" s="1"/>
      <c r="Q677" s="1"/>
      <c r="R677" s="1"/>
      <c r="S677" s="1"/>
      <c r="T677" s="1"/>
      <c r="U677" s="1"/>
      <c r="V677" s="1"/>
      <c r="W677" s="1"/>
      <c r="X677" s="1"/>
      <c r="Y677" s="1"/>
    </row>
    <row r="678" spans="1:25">
      <c r="A678" s="1"/>
      <c r="B678" s="1"/>
      <c r="C678" s="1"/>
      <c r="D678" s="1"/>
      <c r="E678" s="1"/>
      <c r="F678" s="1"/>
      <c r="G678" s="1"/>
      <c r="H678" s="3"/>
      <c r="I678" s="1"/>
      <c r="J678" s="1"/>
      <c r="K678" s="1"/>
      <c r="L678" s="1"/>
      <c r="M678" s="1"/>
      <c r="N678" s="1"/>
      <c r="O678" s="1"/>
      <c r="P678" s="1"/>
      <c r="Q678" s="1"/>
      <c r="R678" s="1"/>
      <c r="S678" s="1"/>
      <c r="T678" s="1"/>
      <c r="U678" s="1"/>
      <c r="V678" s="1"/>
      <c r="W678" s="1"/>
      <c r="X678" s="1"/>
      <c r="Y678" s="1"/>
    </row>
    <row r="679" spans="1:25">
      <c r="A679" s="1"/>
      <c r="B679" s="1"/>
      <c r="C679" s="1"/>
      <c r="D679" s="1"/>
      <c r="E679" s="1"/>
      <c r="F679" s="1"/>
      <c r="G679" s="1"/>
      <c r="H679" s="3"/>
      <c r="I679" s="1"/>
      <c r="J679" s="1"/>
      <c r="K679" s="1"/>
      <c r="L679" s="1"/>
      <c r="M679" s="1"/>
      <c r="N679" s="1"/>
      <c r="O679" s="1"/>
      <c r="P679" s="1"/>
      <c r="Q679" s="1"/>
      <c r="R679" s="1"/>
      <c r="S679" s="1"/>
      <c r="T679" s="1"/>
      <c r="U679" s="1"/>
      <c r="V679" s="1"/>
      <c r="W679" s="1"/>
      <c r="X679" s="1"/>
      <c r="Y679" s="1"/>
    </row>
    <row r="680" spans="1:25">
      <c r="A680" s="1"/>
      <c r="B680" s="1"/>
      <c r="C680" s="1"/>
      <c r="D680" s="1"/>
      <c r="E680" s="1"/>
      <c r="F680" s="1"/>
      <c r="G680" s="1"/>
      <c r="H680" s="3"/>
      <c r="I680" s="1"/>
      <c r="J680" s="1"/>
      <c r="K680" s="1"/>
      <c r="L680" s="1"/>
      <c r="M680" s="1"/>
      <c r="N680" s="1"/>
      <c r="O680" s="1"/>
      <c r="P680" s="1"/>
      <c r="Q680" s="1"/>
      <c r="R680" s="1"/>
      <c r="S680" s="1"/>
      <c r="T680" s="1"/>
      <c r="U680" s="1"/>
      <c r="V680" s="1"/>
      <c r="W680" s="1"/>
      <c r="X680" s="1"/>
      <c r="Y680" s="1"/>
    </row>
    <row r="681" spans="1:25">
      <c r="A681" s="1"/>
      <c r="B681" s="1"/>
      <c r="C681" s="1"/>
      <c r="D681" s="1"/>
      <c r="E681" s="1"/>
      <c r="F681" s="1"/>
      <c r="G681" s="1"/>
      <c r="H681" s="3"/>
      <c r="I681" s="1"/>
      <c r="J681" s="1"/>
      <c r="K681" s="1"/>
      <c r="L681" s="1"/>
      <c r="M681" s="1"/>
      <c r="N681" s="1"/>
      <c r="O681" s="1"/>
      <c r="P681" s="1"/>
      <c r="Q681" s="1"/>
      <c r="R681" s="1"/>
      <c r="S681" s="1"/>
      <c r="T681" s="1"/>
      <c r="U681" s="1"/>
      <c r="V681" s="1"/>
      <c r="W681" s="1"/>
      <c r="X681" s="1"/>
      <c r="Y681" s="1"/>
    </row>
    <row r="682" spans="1:25">
      <c r="A682" s="1"/>
      <c r="B682" s="1"/>
      <c r="C682" s="1"/>
      <c r="D682" s="1"/>
      <c r="E682" s="1"/>
      <c r="F682" s="1"/>
      <c r="G682" s="1"/>
      <c r="H682" s="3"/>
      <c r="I682" s="1"/>
      <c r="J682" s="1"/>
      <c r="K682" s="1"/>
      <c r="L682" s="1"/>
      <c r="M682" s="1"/>
      <c r="N682" s="1"/>
      <c r="O682" s="1"/>
      <c r="P682" s="1"/>
      <c r="Q682" s="1"/>
      <c r="R682" s="1"/>
      <c r="S682" s="1"/>
      <c r="T682" s="1"/>
      <c r="U682" s="1"/>
      <c r="V682" s="1"/>
      <c r="W682" s="1"/>
      <c r="X682" s="1"/>
      <c r="Y682" s="1"/>
    </row>
    <row r="683" spans="1:25">
      <c r="A683" s="1"/>
      <c r="B683" s="1"/>
      <c r="C683" s="1"/>
      <c r="D683" s="1"/>
      <c r="E683" s="1"/>
      <c r="F683" s="1"/>
      <c r="G683" s="1"/>
      <c r="H683" s="3"/>
      <c r="I683" s="1"/>
      <c r="J683" s="1"/>
      <c r="K683" s="1"/>
      <c r="L683" s="1"/>
      <c r="M683" s="1"/>
      <c r="N683" s="1"/>
      <c r="O683" s="1"/>
      <c r="P683" s="1"/>
      <c r="Q683" s="1"/>
      <c r="R683" s="1"/>
      <c r="S683" s="1"/>
      <c r="T683" s="1"/>
      <c r="U683" s="1"/>
      <c r="V683" s="1"/>
      <c r="W683" s="1"/>
      <c r="X683" s="1"/>
      <c r="Y683" s="1"/>
    </row>
    <row r="684" spans="1:25">
      <c r="A684" s="1"/>
      <c r="B684" s="1"/>
      <c r="C684" s="1"/>
      <c r="D684" s="1"/>
      <c r="E684" s="1"/>
      <c r="F684" s="1"/>
      <c r="G684" s="1"/>
      <c r="H684" s="3"/>
      <c r="I684" s="1"/>
      <c r="J684" s="1"/>
      <c r="K684" s="1"/>
      <c r="L684" s="1"/>
      <c r="M684" s="1"/>
      <c r="N684" s="1"/>
      <c r="O684" s="1"/>
      <c r="P684" s="1"/>
      <c r="Q684" s="1"/>
      <c r="R684" s="1"/>
      <c r="S684" s="1"/>
      <c r="T684" s="1"/>
      <c r="U684" s="1"/>
      <c r="V684" s="1"/>
      <c r="W684" s="1"/>
      <c r="X684" s="1"/>
      <c r="Y684" s="1"/>
    </row>
    <row r="685" spans="1:25">
      <c r="A685" s="1"/>
      <c r="B685" s="1"/>
      <c r="C685" s="1"/>
      <c r="D685" s="1"/>
      <c r="E685" s="1"/>
      <c r="F685" s="1"/>
      <c r="G685" s="1"/>
      <c r="H685" s="3"/>
      <c r="I685" s="1"/>
      <c r="J685" s="1"/>
      <c r="K685" s="1"/>
      <c r="L685" s="1"/>
      <c r="M685" s="1"/>
      <c r="N685" s="1"/>
      <c r="O685" s="1"/>
      <c r="P685" s="1"/>
      <c r="Q685" s="1"/>
      <c r="R685" s="1"/>
      <c r="S685" s="1"/>
      <c r="T685" s="1"/>
      <c r="U685" s="1"/>
      <c r="V685" s="1"/>
      <c r="W685" s="1"/>
      <c r="X685" s="1"/>
      <c r="Y685" s="1"/>
    </row>
    <row r="686" spans="1:25">
      <c r="A686" s="1"/>
      <c r="B686" s="1"/>
      <c r="C686" s="1"/>
      <c r="D686" s="1"/>
      <c r="E686" s="1"/>
      <c r="F686" s="1"/>
      <c r="G686" s="1"/>
      <c r="H686" s="3"/>
      <c r="I686" s="1"/>
      <c r="J686" s="1"/>
      <c r="K686" s="1"/>
      <c r="L686" s="1"/>
      <c r="M686" s="1"/>
      <c r="N686" s="1"/>
      <c r="O686" s="1"/>
      <c r="P686" s="1"/>
      <c r="Q686" s="1"/>
      <c r="R686" s="1"/>
      <c r="S686" s="1"/>
      <c r="T686" s="1"/>
      <c r="U686" s="1"/>
      <c r="V686" s="1"/>
      <c r="W686" s="1"/>
      <c r="X686" s="1"/>
      <c r="Y686" s="1"/>
    </row>
    <row r="687" spans="1:25">
      <c r="A687" s="1"/>
      <c r="B687" s="1"/>
      <c r="C687" s="1"/>
      <c r="D687" s="1"/>
      <c r="E687" s="1"/>
      <c r="F687" s="1"/>
      <c r="G687" s="1"/>
      <c r="H687" s="3"/>
      <c r="I687" s="1"/>
      <c r="J687" s="1"/>
      <c r="K687" s="1"/>
      <c r="L687" s="1"/>
      <c r="M687" s="1"/>
      <c r="N687" s="1"/>
      <c r="O687" s="1"/>
      <c r="P687" s="1"/>
      <c r="Q687" s="1"/>
      <c r="R687" s="1"/>
      <c r="S687" s="1"/>
      <c r="T687" s="1"/>
      <c r="U687" s="1"/>
      <c r="V687" s="1"/>
      <c r="W687" s="1"/>
      <c r="X687" s="1"/>
      <c r="Y687" s="1"/>
    </row>
    <row r="688" spans="1:25">
      <c r="A688" s="1"/>
      <c r="B688" s="1"/>
      <c r="C688" s="1"/>
      <c r="D688" s="1"/>
      <c r="E688" s="1"/>
      <c r="F688" s="1"/>
      <c r="G688" s="1"/>
      <c r="H688" s="3"/>
      <c r="I688" s="1"/>
      <c r="J688" s="1"/>
      <c r="K688" s="1"/>
      <c r="L688" s="1"/>
      <c r="M688" s="1"/>
      <c r="N688" s="1"/>
      <c r="O688" s="1"/>
      <c r="P688" s="1"/>
      <c r="Q688" s="1"/>
      <c r="R688" s="1"/>
      <c r="S688" s="1"/>
      <c r="T688" s="1"/>
      <c r="U688" s="1"/>
      <c r="V688" s="1"/>
      <c r="W688" s="1"/>
      <c r="X688" s="1"/>
      <c r="Y688" s="1"/>
    </row>
    <row r="689" spans="1:25">
      <c r="A689" s="1"/>
      <c r="B689" s="1"/>
      <c r="C689" s="1"/>
      <c r="D689" s="1"/>
      <c r="E689" s="1"/>
      <c r="F689" s="1"/>
      <c r="G689" s="1"/>
      <c r="H689" s="3"/>
      <c r="I689" s="1"/>
      <c r="J689" s="1"/>
      <c r="K689" s="1"/>
      <c r="L689" s="1"/>
      <c r="M689" s="1"/>
      <c r="N689" s="1"/>
      <c r="O689" s="1"/>
      <c r="P689" s="1"/>
      <c r="Q689" s="1"/>
      <c r="R689" s="1"/>
      <c r="S689" s="1"/>
      <c r="T689" s="1"/>
      <c r="U689" s="1"/>
      <c r="V689" s="1"/>
      <c r="W689" s="1"/>
      <c r="X689" s="1"/>
      <c r="Y689" s="1"/>
    </row>
    <row r="690" spans="1:25">
      <c r="A690" s="1"/>
      <c r="B690" s="1"/>
      <c r="C690" s="1"/>
      <c r="D690" s="1"/>
      <c r="E690" s="1"/>
      <c r="F690" s="1"/>
      <c r="G690" s="1"/>
      <c r="H690" s="3"/>
      <c r="I690" s="1"/>
      <c r="J690" s="1"/>
      <c r="K690" s="1"/>
      <c r="L690" s="1"/>
      <c r="M690" s="1"/>
      <c r="N690" s="1"/>
      <c r="O690" s="1"/>
      <c r="P690" s="1"/>
      <c r="Q690" s="1"/>
      <c r="R690" s="1"/>
      <c r="S690" s="1"/>
      <c r="T690" s="1"/>
      <c r="U690" s="1"/>
      <c r="V690" s="1"/>
      <c r="W690" s="1"/>
      <c r="X690" s="1"/>
      <c r="Y690" s="1"/>
    </row>
    <row r="691" spans="1:25">
      <c r="A691" s="1"/>
      <c r="B691" s="1"/>
      <c r="C691" s="1"/>
      <c r="D691" s="1"/>
      <c r="E691" s="1"/>
      <c r="F691" s="1"/>
      <c r="G691" s="1"/>
      <c r="H691" s="3"/>
      <c r="I691" s="1"/>
      <c r="J691" s="1"/>
      <c r="K691" s="1"/>
      <c r="L691" s="1"/>
      <c r="M691" s="1"/>
      <c r="N691" s="1"/>
      <c r="O691" s="1"/>
      <c r="P691" s="1"/>
      <c r="Q691" s="1"/>
      <c r="R691" s="1"/>
      <c r="S691" s="1"/>
      <c r="T691" s="1"/>
      <c r="U691" s="1"/>
      <c r="V691" s="1"/>
      <c r="W691" s="1"/>
      <c r="X691" s="1"/>
      <c r="Y691" s="1"/>
    </row>
    <row r="692" spans="1:25">
      <c r="A692" s="1"/>
      <c r="B692" s="1"/>
      <c r="C692" s="1"/>
      <c r="D692" s="1"/>
      <c r="E692" s="1"/>
      <c r="F692" s="1"/>
      <c r="G692" s="1"/>
      <c r="H692" s="3"/>
      <c r="I692" s="1"/>
      <c r="J692" s="1"/>
      <c r="K692" s="1"/>
      <c r="L692" s="1"/>
      <c r="M692" s="1"/>
      <c r="N692" s="1"/>
      <c r="O692" s="1"/>
      <c r="P692" s="1"/>
      <c r="Q692" s="1"/>
      <c r="R692" s="1"/>
      <c r="S692" s="1"/>
      <c r="T692" s="1"/>
      <c r="U692" s="1"/>
      <c r="V692" s="1"/>
      <c r="W692" s="1"/>
      <c r="X692" s="1"/>
      <c r="Y692" s="1"/>
    </row>
    <row r="693" spans="1:25">
      <c r="A693" s="1"/>
      <c r="B693" s="1"/>
      <c r="C693" s="1"/>
      <c r="D693" s="1"/>
      <c r="E693" s="1"/>
      <c r="F693" s="1"/>
      <c r="G693" s="1"/>
      <c r="H693" s="3"/>
      <c r="I693" s="1"/>
      <c r="J693" s="1"/>
      <c r="K693" s="1"/>
      <c r="L693" s="1"/>
      <c r="M693" s="1"/>
      <c r="N693" s="1"/>
      <c r="O693" s="1"/>
      <c r="P693" s="1"/>
      <c r="Q693" s="1"/>
      <c r="R693" s="1"/>
      <c r="S693" s="1"/>
      <c r="T693" s="1"/>
      <c r="U693" s="1"/>
      <c r="V693" s="1"/>
      <c r="W693" s="1"/>
      <c r="X693" s="1"/>
      <c r="Y693" s="1"/>
    </row>
    <row r="694" spans="1:25">
      <c r="A694" s="1"/>
      <c r="B694" s="1"/>
      <c r="C694" s="1"/>
      <c r="D694" s="1"/>
      <c r="E694" s="1"/>
      <c r="F694" s="1"/>
      <c r="G694" s="1"/>
      <c r="H694" s="3"/>
      <c r="I694" s="1"/>
      <c r="J694" s="1"/>
      <c r="K694" s="1"/>
      <c r="L694" s="1"/>
      <c r="M694" s="1"/>
      <c r="N694" s="1"/>
      <c r="O694" s="1"/>
      <c r="P694" s="1"/>
      <c r="Q694" s="1"/>
      <c r="R694" s="1"/>
      <c r="S694" s="1"/>
      <c r="T694" s="1"/>
      <c r="U694" s="1"/>
      <c r="V694" s="1"/>
      <c r="W694" s="1"/>
      <c r="X694" s="1"/>
      <c r="Y694" s="1"/>
    </row>
    <row r="695" spans="1:25">
      <c r="A695" s="1"/>
      <c r="B695" s="1"/>
      <c r="C695" s="1"/>
      <c r="D695" s="1"/>
      <c r="E695" s="1"/>
      <c r="F695" s="1"/>
      <c r="G695" s="1"/>
      <c r="H695" s="3"/>
      <c r="I695" s="1"/>
      <c r="J695" s="1"/>
      <c r="K695" s="1"/>
      <c r="L695" s="1"/>
      <c r="M695" s="1"/>
      <c r="N695" s="1"/>
      <c r="O695" s="1"/>
      <c r="P695" s="1"/>
      <c r="Q695" s="1"/>
      <c r="R695" s="1"/>
      <c r="S695" s="1"/>
      <c r="T695" s="1"/>
      <c r="U695" s="1"/>
      <c r="V695" s="1"/>
      <c r="W695" s="1"/>
      <c r="X695" s="1"/>
      <c r="Y695" s="1"/>
    </row>
    <row r="696" spans="1:25">
      <c r="A696" s="1"/>
      <c r="B696" s="1"/>
      <c r="C696" s="1"/>
      <c r="D696" s="1"/>
      <c r="E696" s="1"/>
      <c r="F696" s="1"/>
      <c r="G696" s="1"/>
      <c r="H696" s="3"/>
      <c r="I696" s="1"/>
      <c r="J696" s="1"/>
      <c r="K696" s="1"/>
      <c r="L696" s="1"/>
      <c r="M696" s="1"/>
      <c r="N696" s="1"/>
      <c r="O696" s="1"/>
      <c r="P696" s="1"/>
      <c r="Q696" s="1"/>
      <c r="R696" s="1"/>
      <c r="S696" s="1"/>
      <c r="T696" s="1"/>
      <c r="U696" s="1"/>
      <c r="V696" s="1"/>
      <c r="W696" s="1"/>
      <c r="X696" s="1"/>
      <c r="Y696" s="1"/>
    </row>
    <row r="697" spans="1:25">
      <c r="A697" s="1"/>
      <c r="B697" s="1"/>
      <c r="C697" s="1"/>
      <c r="D697" s="1"/>
      <c r="E697" s="1"/>
      <c r="F697" s="1"/>
      <c r="G697" s="1"/>
      <c r="H697" s="3"/>
      <c r="I697" s="1"/>
      <c r="J697" s="1"/>
      <c r="K697" s="1"/>
      <c r="L697" s="1"/>
      <c r="M697" s="1"/>
      <c r="N697" s="1"/>
      <c r="O697" s="1"/>
      <c r="P697" s="1"/>
      <c r="Q697" s="1"/>
      <c r="R697" s="1"/>
      <c r="S697" s="1"/>
      <c r="T697" s="1"/>
      <c r="U697" s="1"/>
      <c r="V697" s="1"/>
      <c r="W697" s="1"/>
      <c r="X697" s="1"/>
      <c r="Y697" s="1"/>
    </row>
    <row r="698" spans="1:25">
      <c r="A698" s="1"/>
      <c r="B698" s="1"/>
      <c r="C698" s="1"/>
      <c r="D698" s="1"/>
      <c r="E698" s="1"/>
      <c r="F698" s="1"/>
      <c r="G698" s="1"/>
      <c r="H698" s="3"/>
      <c r="I698" s="1"/>
      <c r="J698" s="1"/>
      <c r="K698" s="1"/>
      <c r="L698" s="1"/>
      <c r="M698" s="1"/>
      <c r="N698" s="1"/>
      <c r="O698" s="1"/>
      <c r="P698" s="1"/>
      <c r="Q698" s="1"/>
      <c r="R698" s="1"/>
      <c r="S698" s="1"/>
      <c r="T698" s="1"/>
      <c r="U698" s="1"/>
      <c r="V698" s="1"/>
      <c r="W698" s="1"/>
      <c r="X698" s="1"/>
      <c r="Y698" s="1"/>
    </row>
    <row r="699" spans="1:25">
      <c r="A699" s="1"/>
      <c r="B699" s="1"/>
      <c r="C699" s="1"/>
      <c r="D699" s="1"/>
      <c r="E699" s="1"/>
      <c r="F699" s="1"/>
      <c r="G699" s="1"/>
      <c r="H699" s="3"/>
      <c r="I699" s="1"/>
      <c r="J699" s="1"/>
      <c r="K699" s="1"/>
      <c r="L699" s="1"/>
      <c r="M699" s="1"/>
      <c r="N699" s="1"/>
      <c r="O699" s="1"/>
      <c r="P699" s="1"/>
      <c r="Q699" s="1"/>
      <c r="R699" s="1"/>
      <c r="S699" s="1"/>
      <c r="T699" s="1"/>
      <c r="U699" s="1"/>
      <c r="V699" s="1"/>
      <c r="W699" s="1"/>
      <c r="X699" s="1"/>
      <c r="Y699" s="1"/>
    </row>
    <row r="700" spans="1:25">
      <c r="A700" s="1"/>
      <c r="B700" s="1"/>
      <c r="C700" s="1"/>
      <c r="D700" s="1"/>
      <c r="E700" s="1"/>
      <c r="F700" s="1"/>
      <c r="G700" s="1"/>
      <c r="H700" s="3"/>
      <c r="I700" s="1"/>
      <c r="J700" s="1"/>
      <c r="K700" s="1"/>
      <c r="L700" s="1"/>
      <c r="M700" s="1"/>
      <c r="N700" s="1"/>
      <c r="O700" s="1"/>
      <c r="P700" s="1"/>
      <c r="Q700" s="1"/>
      <c r="R700" s="1"/>
      <c r="S700" s="1"/>
      <c r="T700" s="1"/>
      <c r="U700" s="1"/>
      <c r="V700" s="1"/>
      <c r="W700" s="1"/>
      <c r="X700" s="1"/>
      <c r="Y700" s="1"/>
    </row>
    <row r="701" spans="1:25">
      <c r="A701" s="1"/>
      <c r="B701" s="1"/>
      <c r="C701" s="1"/>
      <c r="D701" s="1"/>
      <c r="E701" s="1"/>
      <c r="F701" s="1"/>
      <c r="G701" s="1"/>
      <c r="H701" s="3"/>
      <c r="I701" s="1"/>
      <c r="J701" s="1"/>
      <c r="K701" s="1"/>
      <c r="L701" s="1"/>
      <c r="M701" s="1"/>
      <c r="N701" s="1"/>
      <c r="O701" s="1"/>
      <c r="P701" s="1"/>
      <c r="Q701" s="1"/>
      <c r="R701" s="1"/>
      <c r="S701" s="1"/>
      <c r="T701" s="1"/>
      <c r="U701" s="1"/>
      <c r="V701" s="1"/>
      <c r="W701" s="1"/>
      <c r="X701" s="1"/>
      <c r="Y701" s="1"/>
    </row>
    <row r="702" spans="1:25">
      <c r="A702" s="1"/>
      <c r="B702" s="1"/>
      <c r="C702" s="1"/>
      <c r="D702" s="1"/>
      <c r="E702" s="1"/>
      <c r="F702" s="1"/>
      <c r="G702" s="1"/>
      <c r="H702" s="3"/>
      <c r="I702" s="1"/>
      <c r="J702" s="1"/>
      <c r="K702" s="1"/>
      <c r="L702" s="1"/>
      <c r="M702" s="1"/>
      <c r="N702" s="1"/>
      <c r="O702" s="1"/>
      <c r="P702" s="1"/>
      <c r="Q702" s="1"/>
      <c r="R702" s="1"/>
      <c r="S702" s="1"/>
      <c r="T702" s="1"/>
      <c r="U702" s="1"/>
      <c r="V702" s="1"/>
      <c r="W702" s="1"/>
      <c r="X702" s="1"/>
      <c r="Y702" s="1"/>
    </row>
    <row r="703" spans="1:25">
      <c r="A703" s="1"/>
      <c r="B703" s="1"/>
      <c r="C703" s="1"/>
      <c r="D703" s="1"/>
      <c r="E703" s="1"/>
      <c r="F703" s="1"/>
      <c r="G703" s="1"/>
      <c r="H703" s="3"/>
      <c r="I703" s="1"/>
      <c r="J703" s="1"/>
      <c r="K703" s="1"/>
      <c r="L703" s="1"/>
      <c r="M703" s="1"/>
      <c r="N703" s="1"/>
      <c r="O703" s="1"/>
      <c r="P703" s="1"/>
      <c r="Q703" s="1"/>
      <c r="R703" s="1"/>
      <c r="S703" s="1"/>
      <c r="T703" s="1"/>
      <c r="U703" s="1"/>
      <c r="V703" s="1"/>
      <c r="W703" s="1"/>
      <c r="X703" s="1"/>
      <c r="Y703" s="1"/>
    </row>
    <row r="704" spans="1:25">
      <c r="A704" s="1"/>
      <c r="B704" s="1"/>
      <c r="C704" s="1"/>
      <c r="D704" s="1"/>
      <c r="E704" s="1"/>
      <c r="F704" s="1"/>
      <c r="G704" s="1"/>
      <c r="H704" s="3"/>
      <c r="I704" s="1"/>
      <c r="J704" s="1"/>
      <c r="K704" s="1"/>
      <c r="L704" s="1"/>
      <c r="M704" s="1"/>
      <c r="N704" s="1"/>
      <c r="O704" s="1"/>
      <c r="P704" s="1"/>
      <c r="Q704" s="1"/>
      <c r="R704" s="1"/>
      <c r="S704" s="1"/>
      <c r="T704" s="1"/>
      <c r="U704" s="1"/>
      <c r="V704" s="1"/>
      <c r="W704" s="1"/>
      <c r="X704" s="1"/>
      <c r="Y704" s="1"/>
    </row>
    <row r="705" spans="1:25">
      <c r="A705" s="1"/>
      <c r="B705" s="1"/>
      <c r="C705" s="1"/>
      <c r="D705" s="1"/>
      <c r="E705" s="1"/>
      <c r="F705" s="1"/>
      <c r="G705" s="1"/>
      <c r="H705" s="3"/>
      <c r="I705" s="1"/>
      <c r="J705" s="1"/>
      <c r="K705" s="1"/>
      <c r="L705" s="1"/>
      <c r="M705" s="1"/>
      <c r="N705" s="1"/>
      <c r="O705" s="1"/>
      <c r="P705" s="1"/>
      <c r="Q705" s="1"/>
      <c r="R705" s="1"/>
      <c r="S705" s="1"/>
      <c r="T705" s="1"/>
      <c r="U705" s="1"/>
      <c r="V705" s="1"/>
      <c r="W705" s="1"/>
      <c r="X705" s="1"/>
      <c r="Y705" s="1"/>
    </row>
    <row r="706" spans="1:25">
      <c r="A706" s="1"/>
      <c r="B706" s="1"/>
      <c r="C706" s="1"/>
      <c r="D706" s="1"/>
      <c r="E706" s="1"/>
      <c r="F706" s="1"/>
      <c r="G706" s="1"/>
      <c r="H706" s="3"/>
      <c r="I706" s="1"/>
      <c r="J706" s="1"/>
      <c r="K706" s="1"/>
      <c r="L706" s="1"/>
      <c r="M706" s="1"/>
      <c r="N706" s="1"/>
      <c r="O706" s="1"/>
      <c r="P706" s="1"/>
      <c r="Q706" s="1"/>
      <c r="R706" s="1"/>
      <c r="S706" s="1"/>
      <c r="T706" s="1"/>
      <c r="U706" s="1"/>
      <c r="V706" s="1"/>
      <c r="W706" s="1"/>
      <c r="X706" s="1"/>
      <c r="Y706" s="1"/>
    </row>
    <row r="707" spans="1:25">
      <c r="A707" s="1"/>
      <c r="B707" s="1"/>
      <c r="C707" s="1"/>
      <c r="D707" s="1"/>
      <c r="E707" s="1"/>
      <c r="F707" s="1"/>
      <c r="G707" s="1"/>
      <c r="H707" s="3"/>
      <c r="I707" s="1"/>
      <c r="J707" s="1"/>
      <c r="K707" s="1"/>
      <c r="L707" s="1"/>
      <c r="M707" s="1"/>
      <c r="N707" s="1"/>
      <c r="O707" s="1"/>
      <c r="P707" s="1"/>
      <c r="Q707" s="1"/>
      <c r="R707" s="1"/>
      <c r="S707" s="1"/>
      <c r="T707" s="1"/>
      <c r="U707" s="1"/>
      <c r="V707" s="1"/>
      <c r="W707" s="1"/>
      <c r="X707" s="1"/>
      <c r="Y707" s="1"/>
    </row>
    <row r="708" spans="1:25">
      <c r="A708" s="1"/>
      <c r="B708" s="1"/>
      <c r="C708" s="1"/>
      <c r="D708" s="1"/>
      <c r="E708" s="1"/>
      <c r="F708" s="1"/>
      <c r="G708" s="1"/>
      <c r="H708" s="3"/>
      <c r="I708" s="1"/>
      <c r="J708" s="1"/>
      <c r="K708" s="1"/>
      <c r="L708" s="1"/>
      <c r="M708" s="1"/>
      <c r="N708" s="1"/>
      <c r="O708" s="1"/>
      <c r="P708" s="1"/>
      <c r="Q708" s="1"/>
      <c r="R708" s="1"/>
      <c r="S708" s="1"/>
      <c r="T708" s="1"/>
      <c r="U708" s="1"/>
      <c r="V708" s="1"/>
      <c r="W708" s="1"/>
      <c r="X708" s="1"/>
      <c r="Y708" s="1"/>
    </row>
    <row r="709" spans="1:25">
      <c r="A709" s="1"/>
      <c r="B709" s="1"/>
      <c r="C709" s="1"/>
      <c r="D709" s="1"/>
      <c r="E709" s="1"/>
      <c r="F709" s="1"/>
      <c r="G709" s="1"/>
      <c r="H709" s="3"/>
      <c r="I709" s="1"/>
      <c r="J709" s="1"/>
      <c r="K709" s="1"/>
      <c r="L709" s="1"/>
      <c r="M709" s="1"/>
      <c r="N709" s="1"/>
      <c r="O709" s="1"/>
      <c r="P709" s="1"/>
      <c r="Q709" s="1"/>
      <c r="R709" s="1"/>
      <c r="S709" s="1"/>
      <c r="T709" s="1"/>
      <c r="U709" s="1"/>
      <c r="V709" s="1"/>
      <c r="W709" s="1"/>
      <c r="X709" s="1"/>
      <c r="Y709" s="1"/>
    </row>
    <row r="710" spans="1:25">
      <c r="A710" s="1"/>
      <c r="B710" s="1"/>
      <c r="C710" s="1"/>
      <c r="D710" s="1"/>
      <c r="E710" s="1"/>
      <c r="F710" s="1"/>
      <c r="G710" s="1"/>
      <c r="H710" s="3"/>
      <c r="I710" s="1"/>
      <c r="J710" s="1"/>
      <c r="K710" s="1"/>
      <c r="L710" s="1"/>
      <c r="M710" s="1"/>
      <c r="N710" s="1"/>
      <c r="O710" s="1"/>
      <c r="P710" s="1"/>
      <c r="Q710" s="1"/>
      <c r="R710" s="1"/>
      <c r="S710" s="1"/>
      <c r="T710" s="1"/>
      <c r="U710" s="1"/>
      <c r="V710" s="1"/>
      <c r="W710" s="1"/>
      <c r="X710" s="1"/>
      <c r="Y710" s="1"/>
    </row>
    <row r="711" spans="1:25">
      <c r="A711" s="1"/>
      <c r="B711" s="1"/>
      <c r="C711" s="1"/>
      <c r="D711" s="1"/>
      <c r="E711" s="1"/>
      <c r="F711" s="1"/>
      <c r="G711" s="1"/>
      <c r="H711" s="3"/>
      <c r="I711" s="1"/>
      <c r="J711" s="1"/>
      <c r="K711" s="1"/>
      <c r="L711" s="1"/>
      <c r="M711" s="1"/>
      <c r="N711" s="1"/>
      <c r="O711" s="1"/>
      <c r="P711" s="1"/>
      <c r="Q711" s="1"/>
      <c r="R711" s="1"/>
      <c r="S711" s="1"/>
      <c r="T711" s="1"/>
      <c r="U711" s="1"/>
      <c r="V711" s="1"/>
      <c r="W711" s="1"/>
      <c r="X711" s="1"/>
      <c r="Y711" s="1"/>
    </row>
    <row r="712" spans="1:25">
      <c r="A712" s="1"/>
      <c r="B712" s="1"/>
      <c r="C712" s="1"/>
      <c r="D712" s="1"/>
      <c r="E712" s="1"/>
      <c r="F712" s="1"/>
      <c r="G712" s="1"/>
      <c r="H712" s="3"/>
      <c r="I712" s="1"/>
      <c r="J712" s="1"/>
      <c r="K712" s="1"/>
      <c r="L712" s="1"/>
      <c r="M712" s="1"/>
      <c r="N712" s="1"/>
      <c r="O712" s="1"/>
      <c r="P712" s="1"/>
      <c r="Q712" s="1"/>
      <c r="R712" s="1"/>
      <c r="S712" s="1"/>
      <c r="T712" s="1"/>
      <c r="U712" s="1"/>
      <c r="V712" s="1"/>
      <c r="W712" s="1"/>
      <c r="X712" s="1"/>
      <c r="Y712" s="1"/>
    </row>
    <row r="713" spans="1:25">
      <c r="A713" s="1"/>
      <c r="B713" s="1"/>
      <c r="C713" s="1"/>
      <c r="D713" s="1"/>
      <c r="E713" s="1"/>
      <c r="F713" s="1"/>
      <c r="G713" s="1"/>
      <c r="H713" s="3"/>
      <c r="I713" s="1"/>
      <c r="J713" s="1"/>
      <c r="K713" s="1"/>
      <c r="L713" s="1"/>
      <c r="M713" s="1"/>
      <c r="N713" s="1"/>
      <c r="O713" s="1"/>
      <c r="P713" s="1"/>
      <c r="Q713" s="1"/>
      <c r="R713" s="1"/>
      <c r="S713" s="1"/>
      <c r="T713" s="1"/>
      <c r="U713" s="1"/>
      <c r="V713" s="1"/>
      <c r="W713" s="1"/>
      <c r="X713" s="1"/>
      <c r="Y713" s="1"/>
    </row>
    <row r="714" spans="1:25">
      <c r="A714" s="1"/>
      <c r="B714" s="1"/>
      <c r="C714" s="1"/>
      <c r="D714" s="1"/>
      <c r="E714" s="1"/>
      <c r="F714" s="1"/>
      <c r="G714" s="1"/>
      <c r="H714" s="3"/>
      <c r="I714" s="1"/>
      <c r="J714" s="1"/>
      <c r="K714" s="1"/>
      <c r="L714" s="1"/>
      <c r="M714" s="1"/>
      <c r="N714" s="1"/>
      <c r="O714" s="1"/>
      <c r="P714" s="1"/>
      <c r="Q714" s="1"/>
      <c r="R714" s="1"/>
      <c r="S714" s="1"/>
      <c r="T714" s="1"/>
      <c r="U714" s="1"/>
      <c r="V714" s="1"/>
      <c r="W714" s="1"/>
      <c r="X714" s="1"/>
      <c r="Y714" s="1"/>
    </row>
    <row r="715" spans="1:25">
      <c r="A715" s="1"/>
      <c r="B715" s="1"/>
      <c r="C715" s="1"/>
      <c r="D715" s="1"/>
      <c r="E715" s="1"/>
      <c r="F715" s="1"/>
      <c r="G715" s="1"/>
      <c r="H715" s="3"/>
      <c r="I715" s="1"/>
      <c r="J715" s="1"/>
      <c r="K715" s="1"/>
      <c r="L715" s="1"/>
      <c r="M715" s="1"/>
      <c r="N715" s="1"/>
      <c r="O715" s="1"/>
      <c r="P715" s="1"/>
      <c r="Q715" s="1"/>
      <c r="R715" s="1"/>
      <c r="S715" s="1"/>
      <c r="T715" s="1"/>
      <c r="U715" s="1"/>
      <c r="V715" s="1"/>
      <c r="W715" s="1"/>
      <c r="X715" s="1"/>
      <c r="Y715" s="1"/>
    </row>
    <row r="716" spans="1:25">
      <c r="A716" s="1"/>
      <c r="B716" s="1"/>
      <c r="C716" s="1"/>
      <c r="D716" s="1"/>
      <c r="E716" s="1"/>
      <c r="F716" s="1"/>
      <c r="G716" s="1"/>
      <c r="H716" s="3"/>
      <c r="I716" s="1"/>
      <c r="J716" s="1"/>
      <c r="K716" s="1"/>
      <c r="L716" s="1"/>
      <c r="M716" s="1"/>
      <c r="N716" s="1"/>
      <c r="O716" s="1"/>
      <c r="P716" s="1"/>
      <c r="Q716" s="1"/>
      <c r="R716" s="1"/>
      <c r="S716" s="1"/>
      <c r="T716" s="1"/>
      <c r="U716" s="1"/>
      <c r="V716" s="1"/>
      <c r="W716" s="1"/>
      <c r="X716" s="1"/>
      <c r="Y716" s="1"/>
    </row>
    <row r="717" spans="1:25">
      <c r="A717" s="1"/>
      <c r="B717" s="1"/>
      <c r="C717" s="1"/>
      <c r="D717" s="1"/>
      <c r="E717" s="1"/>
      <c r="F717" s="1"/>
      <c r="G717" s="1"/>
      <c r="H717" s="3"/>
      <c r="I717" s="1"/>
      <c r="J717" s="1"/>
      <c r="K717" s="1"/>
      <c r="L717" s="1"/>
      <c r="M717" s="1"/>
      <c r="N717" s="1"/>
      <c r="O717" s="1"/>
      <c r="P717" s="1"/>
      <c r="Q717" s="1"/>
      <c r="R717" s="1"/>
      <c r="S717" s="1"/>
      <c r="T717" s="1"/>
      <c r="U717" s="1"/>
      <c r="V717" s="1"/>
      <c r="W717" s="1"/>
      <c r="X717" s="1"/>
      <c r="Y717" s="1"/>
    </row>
    <row r="718" spans="1:25">
      <c r="A718" s="1"/>
      <c r="B718" s="1"/>
      <c r="C718" s="1"/>
      <c r="D718" s="1"/>
      <c r="E718" s="1"/>
      <c r="F718" s="1"/>
      <c r="G718" s="1"/>
      <c r="H718" s="3"/>
      <c r="I718" s="1"/>
      <c r="J718" s="1"/>
      <c r="K718" s="1"/>
      <c r="L718" s="1"/>
      <c r="M718" s="1"/>
      <c r="N718" s="1"/>
      <c r="O718" s="1"/>
      <c r="P718" s="1"/>
      <c r="Q718" s="1"/>
      <c r="R718" s="1"/>
      <c r="S718" s="1"/>
      <c r="T718" s="1"/>
      <c r="U718" s="1"/>
      <c r="V718" s="1"/>
      <c r="W718" s="1"/>
      <c r="X718" s="1"/>
      <c r="Y718" s="1"/>
    </row>
    <row r="719" spans="1:25">
      <c r="A719" s="1"/>
      <c r="B719" s="1"/>
      <c r="C719" s="1"/>
      <c r="D719" s="1"/>
      <c r="E719" s="1"/>
      <c r="F719" s="1"/>
      <c r="G719" s="1"/>
      <c r="H719" s="3"/>
      <c r="I719" s="1"/>
      <c r="J719" s="1"/>
      <c r="K719" s="1"/>
      <c r="L719" s="1"/>
      <c r="M719" s="1"/>
      <c r="N719" s="1"/>
      <c r="O719" s="1"/>
      <c r="P719" s="1"/>
      <c r="Q719" s="1"/>
      <c r="R719" s="1"/>
      <c r="S719" s="1"/>
      <c r="T719" s="1"/>
      <c r="U719" s="1"/>
      <c r="V719" s="1"/>
      <c r="W719" s="1"/>
      <c r="X719" s="1"/>
      <c r="Y719" s="1"/>
    </row>
    <row r="720" spans="1:25">
      <c r="A720" s="1"/>
      <c r="B720" s="1"/>
      <c r="C720" s="1"/>
      <c r="D720" s="1"/>
      <c r="E720" s="1"/>
      <c r="F720" s="1"/>
      <c r="G720" s="1"/>
      <c r="H720" s="3"/>
      <c r="I720" s="1"/>
      <c r="J720" s="1"/>
      <c r="K720" s="1"/>
      <c r="L720" s="1"/>
      <c r="M720" s="1"/>
      <c r="N720" s="1"/>
      <c r="O720" s="1"/>
      <c r="P720" s="1"/>
      <c r="Q720" s="1"/>
      <c r="R720" s="1"/>
      <c r="S720" s="1"/>
      <c r="T720" s="1"/>
      <c r="U720" s="1"/>
      <c r="V720" s="1"/>
      <c r="W720" s="1"/>
      <c r="X720" s="1"/>
      <c r="Y720" s="1"/>
    </row>
    <row r="721" spans="1:25">
      <c r="A721" s="1"/>
      <c r="B721" s="1"/>
      <c r="C721" s="1"/>
      <c r="D721" s="1"/>
      <c r="E721" s="1"/>
      <c r="F721" s="1"/>
      <c r="G721" s="1"/>
      <c r="H721" s="3"/>
      <c r="I721" s="1"/>
      <c r="J721" s="1"/>
      <c r="K721" s="1"/>
      <c r="L721" s="1"/>
      <c r="M721" s="1"/>
      <c r="N721" s="1"/>
      <c r="O721" s="1"/>
      <c r="P721" s="1"/>
      <c r="Q721" s="1"/>
      <c r="R721" s="1"/>
      <c r="S721" s="1"/>
      <c r="T721" s="1"/>
      <c r="U721" s="1"/>
      <c r="V721" s="1"/>
      <c r="W721" s="1"/>
      <c r="X721" s="1"/>
      <c r="Y721" s="1"/>
    </row>
    <row r="722" spans="1:25">
      <c r="A722" s="1"/>
      <c r="B722" s="1"/>
      <c r="C722" s="1"/>
      <c r="D722" s="1"/>
      <c r="E722" s="1"/>
      <c r="F722" s="1"/>
      <c r="G722" s="1"/>
      <c r="H722" s="3"/>
      <c r="I722" s="1"/>
      <c r="J722" s="1"/>
      <c r="K722" s="1"/>
      <c r="L722" s="1"/>
      <c r="M722" s="1"/>
      <c r="N722" s="1"/>
      <c r="O722" s="1"/>
      <c r="P722" s="1"/>
      <c r="Q722" s="1"/>
      <c r="R722" s="1"/>
      <c r="S722" s="1"/>
      <c r="T722" s="1"/>
      <c r="U722" s="1"/>
      <c r="V722" s="1"/>
      <c r="W722" s="1"/>
      <c r="X722" s="1"/>
      <c r="Y722" s="1"/>
    </row>
    <row r="723" spans="1:25">
      <c r="A723" s="1"/>
      <c r="B723" s="1"/>
      <c r="C723" s="1"/>
      <c r="D723" s="1"/>
      <c r="E723" s="1"/>
      <c r="F723" s="1"/>
      <c r="G723" s="1"/>
      <c r="H723" s="3"/>
      <c r="I723" s="1"/>
      <c r="J723" s="1"/>
      <c r="K723" s="1"/>
      <c r="L723" s="1"/>
      <c r="M723" s="1"/>
      <c r="N723" s="1"/>
      <c r="O723" s="1"/>
      <c r="P723" s="1"/>
      <c r="Q723" s="1"/>
      <c r="R723" s="1"/>
      <c r="S723" s="1"/>
      <c r="T723" s="1"/>
      <c r="U723" s="1"/>
      <c r="V723" s="1"/>
      <c r="W723" s="1"/>
      <c r="X723" s="1"/>
      <c r="Y723" s="1"/>
    </row>
    <row r="724" spans="1:25">
      <c r="A724" s="1"/>
      <c r="B724" s="1"/>
      <c r="C724" s="1"/>
      <c r="D724" s="1"/>
      <c r="E724" s="1"/>
      <c r="F724" s="1"/>
      <c r="G724" s="1"/>
      <c r="H724" s="3"/>
      <c r="I724" s="1"/>
      <c r="J724" s="1"/>
      <c r="K724" s="1"/>
      <c r="L724" s="1"/>
      <c r="M724" s="1"/>
      <c r="N724" s="1"/>
      <c r="O724" s="1"/>
      <c r="P724" s="1"/>
      <c r="Q724" s="1"/>
      <c r="R724" s="1"/>
      <c r="S724" s="1"/>
      <c r="T724" s="1"/>
      <c r="U724" s="1"/>
      <c r="V724" s="1"/>
      <c r="W724" s="1"/>
      <c r="X724" s="1"/>
      <c r="Y724" s="1"/>
    </row>
    <row r="725" spans="1:25">
      <c r="A725" s="1"/>
      <c r="B725" s="1"/>
      <c r="C725" s="1"/>
      <c r="D725" s="1"/>
      <c r="E725" s="1"/>
      <c r="F725" s="1"/>
      <c r="G725" s="1"/>
      <c r="H725" s="3"/>
      <c r="I725" s="1"/>
      <c r="J725" s="1"/>
      <c r="K725" s="1"/>
      <c r="L725" s="1"/>
      <c r="M725" s="1"/>
      <c r="N725" s="1"/>
      <c r="O725" s="1"/>
      <c r="P725" s="1"/>
      <c r="Q725" s="1"/>
      <c r="R725" s="1"/>
      <c r="S725" s="1"/>
      <c r="T725" s="1"/>
      <c r="U725" s="1"/>
      <c r="V725" s="1"/>
      <c r="W725" s="1"/>
      <c r="X725" s="1"/>
      <c r="Y725" s="1"/>
    </row>
    <row r="726" spans="1:25">
      <c r="A726" s="1"/>
      <c r="B726" s="1"/>
      <c r="C726" s="1"/>
      <c r="D726" s="1"/>
      <c r="E726" s="1"/>
      <c r="F726" s="1"/>
      <c r="G726" s="1"/>
      <c r="H726" s="3"/>
      <c r="I726" s="1"/>
      <c r="J726" s="1"/>
      <c r="K726" s="1"/>
      <c r="L726" s="1"/>
      <c r="M726" s="1"/>
      <c r="N726" s="1"/>
      <c r="O726" s="1"/>
      <c r="P726" s="1"/>
      <c r="Q726" s="1"/>
      <c r="R726" s="1"/>
      <c r="S726" s="1"/>
      <c r="T726" s="1"/>
      <c r="U726" s="1"/>
      <c r="V726" s="1"/>
      <c r="W726" s="1"/>
      <c r="X726" s="1"/>
      <c r="Y726" s="1"/>
    </row>
    <row r="727" spans="1:25">
      <c r="A727" s="1"/>
      <c r="B727" s="1"/>
      <c r="C727" s="1"/>
      <c r="D727" s="1"/>
      <c r="E727" s="1"/>
      <c r="F727" s="1"/>
      <c r="G727" s="1"/>
      <c r="H727" s="3"/>
      <c r="I727" s="1"/>
      <c r="J727" s="1"/>
      <c r="K727" s="1"/>
      <c r="L727" s="1"/>
      <c r="M727" s="1"/>
      <c r="N727" s="1"/>
      <c r="O727" s="1"/>
      <c r="P727" s="1"/>
      <c r="Q727" s="1"/>
      <c r="R727" s="1"/>
      <c r="S727" s="1"/>
      <c r="T727" s="1"/>
      <c r="U727" s="1"/>
      <c r="V727" s="1"/>
      <c r="W727" s="1"/>
      <c r="X727" s="1"/>
      <c r="Y727" s="1"/>
    </row>
    <row r="728" spans="1:25">
      <c r="A728" s="1"/>
      <c r="B728" s="1"/>
      <c r="C728" s="1"/>
      <c r="D728" s="1"/>
      <c r="E728" s="1"/>
      <c r="F728" s="1"/>
      <c r="G728" s="1"/>
      <c r="H728" s="3"/>
      <c r="I728" s="1"/>
      <c r="J728" s="1"/>
      <c r="K728" s="1"/>
      <c r="L728" s="1"/>
      <c r="M728" s="1"/>
      <c r="N728" s="1"/>
      <c r="O728" s="1"/>
      <c r="P728" s="1"/>
      <c r="Q728" s="1"/>
      <c r="R728" s="1"/>
      <c r="S728" s="1"/>
      <c r="T728" s="1"/>
      <c r="U728" s="1"/>
      <c r="V728" s="1"/>
      <c r="W728" s="1"/>
      <c r="X728" s="1"/>
      <c r="Y728" s="1"/>
    </row>
    <row r="729" spans="1:25">
      <c r="A729" s="1"/>
      <c r="B729" s="1"/>
      <c r="C729" s="1"/>
      <c r="D729" s="1"/>
      <c r="E729" s="1"/>
      <c r="F729" s="1"/>
      <c r="G729" s="1"/>
      <c r="H729" s="3"/>
      <c r="I729" s="1"/>
      <c r="J729" s="1"/>
      <c r="K729" s="1"/>
      <c r="L729" s="1"/>
      <c r="M729" s="1"/>
      <c r="N729" s="1"/>
      <c r="O729" s="1"/>
      <c r="P729" s="1"/>
      <c r="Q729" s="1"/>
      <c r="R729" s="1"/>
      <c r="S729" s="1"/>
      <c r="T729" s="1"/>
      <c r="U729" s="1"/>
      <c r="V729" s="1"/>
      <c r="W729" s="1"/>
      <c r="X729" s="1"/>
      <c r="Y729" s="1"/>
    </row>
    <row r="730" spans="1:25">
      <c r="A730" s="1"/>
      <c r="B730" s="1"/>
      <c r="C730" s="1"/>
      <c r="D730" s="1"/>
      <c r="E730" s="1"/>
      <c r="F730" s="1"/>
      <c r="G730" s="1"/>
      <c r="H730" s="3"/>
      <c r="I730" s="1"/>
      <c r="J730" s="1"/>
      <c r="K730" s="1"/>
      <c r="L730" s="1"/>
      <c r="M730" s="1"/>
      <c r="N730" s="1"/>
      <c r="O730" s="1"/>
      <c r="P730" s="1"/>
      <c r="Q730" s="1"/>
      <c r="R730" s="1"/>
      <c r="S730" s="1"/>
      <c r="T730" s="1"/>
      <c r="U730" s="1"/>
      <c r="V730" s="1"/>
      <c r="W730" s="1"/>
      <c r="X730" s="1"/>
      <c r="Y730" s="1"/>
    </row>
    <row r="731" spans="1:25">
      <c r="A731" s="1"/>
      <c r="B731" s="1"/>
      <c r="C731" s="1"/>
      <c r="D731" s="1"/>
      <c r="E731" s="1"/>
      <c r="F731" s="1"/>
      <c r="G731" s="1"/>
      <c r="H731" s="3"/>
      <c r="I731" s="1"/>
      <c r="J731" s="1"/>
      <c r="K731" s="1"/>
      <c r="L731" s="1"/>
      <c r="M731" s="1"/>
      <c r="N731" s="1"/>
      <c r="O731" s="1"/>
      <c r="P731" s="1"/>
      <c r="Q731" s="1"/>
      <c r="R731" s="1"/>
      <c r="S731" s="1"/>
      <c r="T731" s="1"/>
      <c r="U731" s="1"/>
      <c r="V731" s="1"/>
      <c r="W731" s="1"/>
      <c r="X731" s="1"/>
      <c r="Y731" s="1"/>
    </row>
    <row r="732" spans="1:25">
      <c r="A732" s="1"/>
      <c r="B732" s="1"/>
      <c r="C732" s="1"/>
      <c r="D732" s="1"/>
      <c r="E732" s="1"/>
      <c r="F732" s="1"/>
      <c r="G732" s="1"/>
      <c r="H732" s="3"/>
      <c r="I732" s="1"/>
      <c r="J732" s="1"/>
      <c r="K732" s="1"/>
      <c r="L732" s="1"/>
      <c r="M732" s="1"/>
      <c r="N732" s="1"/>
      <c r="O732" s="1"/>
      <c r="P732" s="1"/>
      <c r="Q732" s="1"/>
      <c r="R732" s="1"/>
      <c r="S732" s="1"/>
      <c r="T732" s="1"/>
      <c r="U732" s="1"/>
      <c r="V732" s="1"/>
      <c r="W732" s="1"/>
      <c r="X732" s="1"/>
      <c r="Y732" s="1"/>
    </row>
    <row r="733" spans="1:25">
      <c r="A733" s="1"/>
      <c r="B733" s="1"/>
      <c r="C733" s="1"/>
      <c r="D733" s="1"/>
      <c r="E733" s="1"/>
      <c r="F733" s="1"/>
      <c r="G733" s="1"/>
      <c r="H733" s="3"/>
      <c r="I733" s="1"/>
      <c r="J733" s="1"/>
      <c r="K733" s="1"/>
      <c r="L733" s="1"/>
      <c r="M733" s="1"/>
      <c r="N733" s="1"/>
      <c r="O733" s="1"/>
      <c r="P733" s="1"/>
      <c r="Q733" s="1"/>
      <c r="R733" s="1"/>
      <c r="S733" s="1"/>
      <c r="T733" s="1"/>
      <c r="U733" s="1"/>
      <c r="V733" s="1"/>
      <c r="W733" s="1"/>
      <c r="X733" s="1"/>
      <c r="Y733" s="1"/>
    </row>
    <row r="734" spans="1:25">
      <c r="A734" s="1"/>
      <c r="B734" s="1"/>
      <c r="C734" s="1"/>
      <c r="D734" s="1"/>
      <c r="E734" s="1"/>
      <c r="F734" s="1"/>
      <c r="G734" s="1"/>
      <c r="H734" s="3"/>
      <c r="I734" s="1"/>
      <c r="J734" s="1"/>
      <c r="K734" s="1"/>
      <c r="L734" s="1"/>
      <c r="M734" s="1"/>
      <c r="N734" s="1"/>
      <c r="O734" s="1"/>
      <c r="P734" s="1"/>
      <c r="Q734" s="1"/>
      <c r="R734" s="1"/>
      <c r="S734" s="1"/>
      <c r="T734" s="1"/>
      <c r="U734" s="1"/>
      <c r="V734" s="1"/>
      <c r="W734" s="1"/>
      <c r="X734" s="1"/>
      <c r="Y734" s="1"/>
    </row>
    <row r="735" spans="1:25">
      <c r="A735" s="1"/>
      <c r="B735" s="1"/>
      <c r="C735" s="1"/>
      <c r="D735" s="1"/>
      <c r="E735" s="1"/>
      <c r="F735" s="1"/>
      <c r="G735" s="1"/>
      <c r="H735" s="3"/>
      <c r="I735" s="1"/>
      <c r="J735" s="1"/>
      <c r="K735" s="1"/>
      <c r="L735" s="1"/>
      <c r="M735" s="1"/>
      <c r="N735" s="1"/>
      <c r="O735" s="1"/>
      <c r="P735" s="1"/>
      <c r="Q735" s="1"/>
      <c r="R735" s="1"/>
      <c r="S735" s="1"/>
      <c r="T735" s="1"/>
      <c r="U735" s="1"/>
      <c r="V735" s="1"/>
      <c r="W735" s="1"/>
      <c r="X735" s="1"/>
      <c r="Y735" s="1"/>
    </row>
    <row r="736" spans="1:25">
      <c r="A736" s="1"/>
      <c r="B736" s="1"/>
      <c r="C736" s="1"/>
      <c r="D736" s="1"/>
      <c r="E736" s="1"/>
      <c r="F736" s="1"/>
      <c r="G736" s="1"/>
      <c r="H736" s="3"/>
      <c r="I736" s="1"/>
      <c r="J736" s="1"/>
      <c r="K736" s="1"/>
      <c r="L736" s="1"/>
      <c r="M736" s="1"/>
      <c r="N736" s="1"/>
      <c r="O736" s="1"/>
      <c r="P736" s="1"/>
      <c r="Q736" s="1"/>
      <c r="R736" s="1"/>
      <c r="S736" s="1"/>
      <c r="T736" s="1"/>
      <c r="U736" s="1"/>
      <c r="V736" s="1"/>
      <c r="W736" s="1"/>
      <c r="X736" s="1"/>
      <c r="Y736" s="1"/>
    </row>
    <row r="737" spans="1:25">
      <c r="A737" s="1"/>
      <c r="B737" s="1"/>
      <c r="C737" s="1"/>
      <c r="D737" s="1"/>
      <c r="E737" s="1"/>
      <c r="F737" s="1"/>
      <c r="G737" s="1"/>
      <c r="H737" s="3"/>
      <c r="I737" s="1"/>
      <c r="J737" s="1"/>
      <c r="K737" s="1"/>
      <c r="L737" s="1"/>
      <c r="M737" s="1"/>
      <c r="N737" s="1"/>
      <c r="O737" s="1"/>
      <c r="P737" s="1"/>
      <c r="Q737" s="1"/>
      <c r="R737" s="1"/>
      <c r="S737" s="1"/>
      <c r="T737" s="1"/>
      <c r="U737" s="1"/>
      <c r="V737" s="1"/>
      <c r="W737" s="1"/>
      <c r="X737" s="1"/>
      <c r="Y737" s="1"/>
    </row>
    <row r="738" spans="1:25">
      <c r="A738" s="1"/>
      <c r="B738" s="1"/>
      <c r="C738" s="1"/>
      <c r="D738" s="1"/>
      <c r="E738" s="1"/>
      <c r="F738" s="1"/>
      <c r="G738" s="1"/>
      <c r="H738" s="3"/>
      <c r="I738" s="1"/>
      <c r="J738" s="1"/>
      <c r="K738" s="1"/>
      <c r="L738" s="1"/>
      <c r="M738" s="1"/>
      <c r="N738" s="1"/>
      <c r="O738" s="1"/>
      <c r="P738" s="1"/>
      <c r="Q738" s="1"/>
      <c r="R738" s="1"/>
      <c r="S738" s="1"/>
      <c r="T738" s="1"/>
      <c r="U738" s="1"/>
      <c r="V738" s="1"/>
      <c r="W738" s="1"/>
      <c r="X738" s="1"/>
      <c r="Y738" s="1"/>
    </row>
    <row r="739" spans="1:25">
      <c r="A739" s="1"/>
      <c r="B739" s="1"/>
      <c r="C739" s="1"/>
      <c r="D739" s="1"/>
      <c r="E739" s="1"/>
      <c r="F739" s="1"/>
      <c r="G739" s="1"/>
      <c r="H739" s="3"/>
      <c r="I739" s="1"/>
      <c r="J739" s="1"/>
      <c r="K739" s="1"/>
      <c r="L739" s="1"/>
      <c r="M739" s="1"/>
      <c r="N739" s="1"/>
      <c r="O739" s="1"/>
      <c r="P739" s="1"/>
      <c r="Q739" s="1"/>
      <c r="R739" s="1"/>
      <c r="S739" s="1"/>
      <c r="T739" s="1"/>
      <c r="U739" s="1"/>
      <c r="V739" s="1"/>
      <c r="W739" s="1"/>
      <c r="X739" s="1"/>
      <c r="Y739" s="1"/>
    </row>
    <row r="740" spans="1:25">
      <c r="A740" s="1"/>
      <c r="B740" s="1"/>
      <c r="C740" s="1"/>
      <c r="D740" s="1"/>
      <c r="E740" s="1"/>
      <c r="F740" s="1"/>
      <c r="G740" s="1"/>
      <c r="H740" s="3"/>
      <c r="I740" s="1"/>
      <c r="J740" s="1"/>
      <c r="K740" s="1"/>
      <c r="L740" s="1"/>
      <c r="M740" s="1"/>
      <c r="N740" s="1"/>
      <c r="O740" s="1"/>
      <c r="P740" s="1"/>
      <c r="Q740" s="1"/>
      <c r="R740" s="1"/>
      <c r="S740" s="1"/>
      <c r="T740" s="1"/>
      <c r="U740" s="1"/>
      <c r="V740" s="1"/>
      <c r="W740" s="1"/>
      <c r="X740" s="1"/>
      <c r="Y740" s="1"/>
    </row>
    <row r="741" spans="1:25">
      <c r="A741" s="1"/>
      <c r="B741" s="1"/>
      <c r="C741" s="1"/>
      <c r="D741" s="1"/>
      <c r="E741" s="1"/>
      <c r="F741" s="1"/>
      <c r="G741" s="1"/>
      <c r="H741" s="3"/>
      <c r="I741" s="1"/>
      <c r="J741" s="1"/>
      <c r="K741" s="1"/>
      <c r="L741" s="1"/>
      <c r="M741" s="1"/>
      <c r="N741" s="1"/>
      <c r="O741" s="1"/>
      <c r="P741" s="1"/>
      <c r="Q741" s="1"/>
      <c r="R741" s="1"/>
      <c r="S741" s="1"/>
      <c r="T741" s="1"/>
      <c r="U741" s="1"/>
      <c r="V741" s="1"/>
      <c r="W741" s="1"/>
      <c r="X741" s="1"/>
      <c r="Y741" s="1"/>
    </row>
    <row r="742" spans="1:25">
      <c r="A742" s="1"/>
      <c r="B742" s="1"/>
      <c r="C742" s="1"/>
      <c r="D742" s="1"/>
      <c r="E742" s="1"/>
      <c r="F742" s="1"/>
      <c r="G742" s="1"/>
      <c r="H742" s="3"/>
      <c r="I742" s="1"/>
      <c r="J742" s="1"/>
      <c r="K742" s="1"/>
      <c r="L742" s="1"/>
      <c r="M742" s="1"/>
      <c r="N742" s="1"/>
      <c r="O742" s="1"/>
      <c r="P742" s="1"/>
      <c r="Q742" s="1"/>
      <c r="R742" s="1"/>
      <c r="S742" s="1"/>
      <c r="T742" s="1"/>
      <c r="U742" s="1"/>
      <c r="V742" s="1"/>
      <c r="W742" s="1"/>
      <c r="X742" s="1"/>
      <c r="Y742" s="1"/>
    </row>
    <row r="743" spans="1:25">
      <c r="A743" s="1"/>
      <c r="B743" s="1"/>
      <c r="C743" s="1"/>
      <c r="D743" s="1"/>
      <c r="E743" s="1"/>
      <c r="F743" s="1"/>
      <c r="G743" s="1"/>
      <c r="H743" s="3"/>
      <c r="I743" s="1"/>
      <c r="J743" s="1"/>
      <c r="K743" s="1"/>
      <c r="L743" s="1"/>
      <c r="M743" s="1"/>
      <c r="N743" s="1"/>
      <c r="O743" s="1"/>
      <c r="P743" s="1"/>
      <c r="Q743" s="1"/>
      <c r="R743" s="1"/>
      <c r="S743" s="1"/>
      <c r="T743" s="1"/>
      <c r="U743" s="1"/>
      <c r="V743" s="1"/>
      <c r="W743" s="1"/>
      <c r="X743" s="1"/>
      <c r="Y743" s="1"/>
    </row>
    <row r="744" spans="1:25">
      <c r="A744" s="1"/>
      <c r="B744" s="1"/>
      <c r="C744" s="1"/>
      <c r="D744" s="1"/>
      <c r="E744" s="1"/>
      <c r="F744" s="1"/>
      <c r="G744" s="1"/>
      <c r="H744" s="3"/>
      <c r="I744" s="1"/>
      <c r="J744" s="1"/>
      <c r="K744" s="1"/>
      <c r="L744" s="1"/>
      <c r="M744" s="1"/>
      <c r="N744" s="1"/>
      <c r="O744" s="1"/>
      <c r="P744" s="1"/>
      <c r="Q744" s="1"/>
      <c r="R744" s="1"/>
      <c r="S744" s="1"/>
      <c r="T744" s="1"/>
      <c r="U744" s="1"/>
      <c r="V744" s="1"/>
      <c r="W744" s="1"/>
      <c r="X744" s="1"/>
      <c r="Y744" s="1"/>
    </row>
    <row r="745" spans="1:25">
      <c r="A745" s="1"/>
      <c r="B745" s="1"/>
      <c r="C745" s="1"/>
      <c r="D745" s="1"/>
      <c r="E745" s="1"/>
      <c r="F745" s="1"/>
      <c r="G745" s="1"/>
      <c r="H745" s="3"/>
      <c r="I745" s="1"/>
      <c r="J745" s="1"/>
      <c r="K745" s="1"/>
      <c r="L745" s="1"/>
      <c r="M745" s="1"/>
      <c r="N745" s="1"/>
      <c r="O745" s="1"/>
      <c r="P745" s="1"/>
      <c r="Q745" s="1"/>
      <c r="R745" s="1"/>
      <c r="S745" s="1"/>
      <c r="T745" s="1"/>
      <c r="U745" s="1"/>
      <c r="V745" s="1"/>
      <c r="W745" s="1"/>
      <c r="X745" s="1"/>
      <c r="Y745" s="1"/>
    </row>
    <row r="746" spans="1:25">
      <c r="A746" s="1"/>
      <c r="B746" s="1"/>
      <c r="C746" s="1"/>
      <c r="D746" s="1"/>
      <c r="E746" s="1"/>
      <c r="F746" s="1"/>
      <c r="G746" s="1"/>
      <c r="H746" s="3"/>
      <c r="I746" s="1"/>
      <c r="J746" s="1"/>
      <c r="K746" s="1"/>
      <c r="L746" s="1"/>
      <c r="M746" s="1"/>
      <c r="N746" s="1"/>
      <c r="O746" s="1"/>
      <c r="P746" s="1"/>
      <c r="Q746" s="1"/>
      <c r="R746" s="1"/>
      <c r="S746" s="1"/>
      <c r="T746" s="1"/>
      <c r="U746" s="1"/>
      <c r="V746" s="1"/>
      <c r="W746" s="1"/>
      <c r="X746" s="1"/>
      <c r="Y746" s="1"/>
    </row>
    <row r="747" spans="1:25">
      <c r="A747" s="1"/>
      <c r="B747" s="1"/>
      <c r="C747" s="1"/>
      <c r="D747" s="1"/>
      <c r="E747" s="1"/>
      <c r="F747" s="1"/>
      <c r="G747" s="1"/>
      <c r="H747" s="3"/>
      <c r="I747" s="1"/>
      <c r="J747" s="1"/>
      <c r="K747" s="1"/>
      <c r="L747" s="1"/>
      <c r="M747" s="1"/>
      <c r="N747" s="1"/>
      <c r="O747" s="1"/>
      <c r="P747" s="1"/>
      <c r="Q747" s="1"/>
      <c r="R747" s="1"/>
      <c r="S747" s="1"/>
      <c r="T747" s="1"/>
      <c r="U747" s="1"/>
      <c r="V747" s="1"/>
      <c r="W747" s="1"/>
      <c r="X747" s="1"/>
      <c r="Y747" s="1"/>
    </row>
    <row r="748" spans="1:25">
      <c r="A748" s="1"/>
      <c r="B748" s="1"/>
      <c r="C748" s="1"/>
      <c r="D748" s="1"/>
      <c r="E748" s="1"/>
      <c r="F748" s="1"/>
      <c r="G748" s="1"/>
      <c r="H748" s="3"/>
      <c r="I748" s="1"/>
      <c r="J748" s="1"/>
      <c r="K748" s="1"/>
      <c r="L748" s="1"/>
      <c r="M748" s="1"/>
      <c r="N748" s="1"/>
      <c r="O748" s="1"/>
      <c r="P748" s="1"/>
      <c r="Q748" s="1"/>
      <c r="R748" s="1"/>
      <c r="S748" s="1"/>
      <c r="T748" s="1"/>
      <c r="U748" s="1"/>
      <c r="V748" s="1"/>
      <c r="W748" s="1"/>
      <c r="X748" s="1"/>
      <c r="Y748" s="1"/>
    </row>
    <row r="749" spans="1:25">
      <c r="A749" s="1"/>
      <c r="B749" s="1"/>
      <c r="C749" s="1"/>
      <c r="D749" s="1"/>
      <c r="E749" s="1"/>
      <c r="F749" s="1"/>
      <c r="G749" s="1"/>
      <c r="H749" s="3"/>
      <c r="I749" s="1"/>
      <c r="J749" s="1"/>
      <c r="K749" s="1"/>
      <c r="L749" s="1"/>
      <c r="M749" s="1"/>
      <c r="N749" s="1"/>
      <c r="O749" s="1"/>
      <c r="P749" s="1"/>
      <c r="Q749" s="1"/>
      <c r="R749" s="1"/>
      <c r="S749" s="1"/>
      <c r="T749" s="1"/>
      <c r="U749" s="1"/>
      <c r="V749" s="1"/>
      <c r="W749" s="1"/>
      <c r="X749" s="1"/>
      <c r="Y749" s="1"/>
    </row>
    <row r="750" spans="1:25">
      <c r="A750" s="1"/>
      <c r="B750" s="1"/>
      <c r="C750" s="1"/>
      <c r="D750" s="1"/>
      <c r="E750" s="1"/>
      <c r="F750" s="1"/>
      <c r="G750" s="1"/>
      <c r="H750" s="3"/>
      <c r="I750" s="1"/>
      <c r="J750" s="1"/>
      <c r="K750" s="1"/>
      <c r="L750" s="1"/>
      <c r="M750" s="1"/>
      <c r="N750" s="1"/>
      <c r="O750" s="1"/>
      <c r="P750" s="1"/>
      <c r="Q750" s="1"/>
      <c r="R750" s="1"/>
      <c r="S750" s="1"/>
      <c r="T750" s="1"/>
      <c r="U750" s="1"/>
      <c r="V750" s="1"/>
      <c r="W750" s="1"/>
      <c r="X750" s="1"/>
      <c r="Y750" s="1"/>
    </row>
    <row r="751" spans="1:25">
      <c r="A751" s="1"/>
      <c r="B751" s="1"/>
      <c r="C751" s="1"/>
      <c r="D751" s="1"/>
      <c r="E751" s="1"/>
      <c r="F751" s="1"/>
      <c r="G751" s="1"/>
      <c r="H751" s="3"/>
      <c r="I751" s="1"/>
      <c r="J751" s="1"/>
      <c r="K751" s="1"/>
      <c r="L751" s="1"/>
      <c r="M751" s="1"/>
      <c r="N751" s="1"/>
      <c r="O751" s="1"/>
      <c r="P751" s="1"/>
      <c r="Q751" s="1"/>
      <c r="R751" s="1"/>
      <c r="S751" s="1"/>
      <c r="T751" s="1"/>
      <c r="U751" s="1"/>
      <c r="V751" s="1"/>
      <c r="W751" s="1"/>
      <c r="X751" s="1"/>
      <c r="Y751" s="1"/>
    </row>
    <row r="752" spans="1:25">
      <c r="A752" s="1"/>
      <c r="B752" s="1"/>
      <c r="C752" s="1"/>
      <c r="D752" s="1"/>
      <c r="E752" s="1"/>
      <c r="F752" s="1"/>
      <c r="G752" s="1"/>
      <c r="H752" s="3"/>
      <c r="I752" s="1"/>
      <c r="J752" s="1"/>
      <c r="K752" s="1"/>
      <c r="L752" s="1"/>
      <c r="M752" s="1"/>
      <c r="N752" s="1"/>
      <c r="O752" s="1"/>
      <c r="P752" s="1"/>
      <c r="Q752" s="1"/>
      <c r="R752" s="1"/>
      <c r="S752" s="1"/>
      <c r="T752" s="1"/>
      <c r="U752" s="1"/>
      <c r="V752" s="1"/>
      <c r="W752" s="1"/>
      <c r="X752" s="1"/>
      <c r="Y752" s="1"/>
    </row>
    <row r="753" spans="1:25">
      <c r="A753" s="1"/>
      <c r="B753" s="1"/>
      <c r="C753" s="1"/>
      <c r="D753" s="1"/>
      <c r="E753" s="1"/>
      <c r="F753" s="1"/>
      <c r="G753" s="1"/>
      <c r="H753" s="3"/>
      <c r="I753" s="1"/>
      <c r="J753" s="1"/>
      <c r="K753" s="1"/>
      <c r="L753" s="1"/>
      <c r="M753" s="1"/>
      <c r="N753" s="1"/>
      <c r="O753" s="1"/>
      <c r="P753" s="1"/>
      <c r="Q753" s="1"/>
      <c r="R753" s="1"/>
      <c r="S753" s="1"/>
      <c r="T753" s="1"/>
      <c r="U753" s="1"/>
      <c r="V753" s="1"/>
      <c r="W753" s="1"/>
      <c r="X753" s="1"/>
      <c r="Y753" s="1"/>
    </row>
    <row r="754" spans="1:25">
      <c r="A754" s="1"/>
      <c r="B754" s="1"/>
      <c r="C754" s="1"/>
      <c r="D754" s="1"/>
      <c r="E754" s="1"/>
      <c r="F754" s="1"/>
      <c r="G754" s="1"/>
      <c r="H754" s="3"/>
      <c r="I754" s="1"/>
      <c r="J754" s="1"/>
      <c r="K754" s="1"/>
      <c r="L754" s="1"/>
      <c r="M754" s="1"/>
      <c r="N754" s="1"/>
      <c r="O754" s="1"/>
      <c r="P754" s="1"/>
      <c r="Q754" s="1"/>
      <c r="R754" s="1"/>
      <c r="S754" s="1"/>
      <c r="T754" s="1"/>
      <c r="U754" s="1"/>
      <c r="V754" s="1"/>
      <c r="W754" s="1"/>
      <c r="X754" s="1"/>
      <c r="Y754" s="1"/>
    </row>
    <row r="755" spans="1:25">
      <c r="A755" s="1"/>
      <c r="B755" s="1"/>
      <c r="C755" s="1"/>
      <c r="D755" s="1"/>
      <c r="E755" s="1"/>
      <c r="F755" s="1"/>
      <c r="G755" s="1"/>
      <c r="H755" s="3"/>
      <c r="I755" s="1"/>
      <c r="J755" s="1"/>
      <c r="K755" s="1"/>
      <c r="L755" s="1"/>
      <c r="M755" s="1"/>
      <c r="N755" s="1"/>
      <c r="O755" s="1"/>
      <c r="P755" s="1"/>
      <c r="Q755" s="1"/>
      <c r="R755" s="1"/>
      <c r="S755" s="1"/>
      <c r="T755" s="1"/>
      <c r="U755" s="1"/>
      <c r="V755" s="1"/>
      <c r="W755" s="1"/>
      <c r="X755" s="1"/>
      <c r="Y755" s="1"/>
    </row>
    <row r="756" spans="1:25">
      <c r="A756" s="1"/>
      <c r="B756" s="1"/>
      <c r="C756" s="1"/>
      <c r="D756" s="1"/>
      <c r="E756" s="1"/>
      <c r="F756" s="1"/>
      <c r="G756" s="1"/>
      <c r="H756" s="3"/>
      <c r="I756" s="1"/>
      <c r="J756" s="1"/>
      <c r="K756" s="1"/>
      <c r="L756" s="1"/>
      <c r="M756" s="1"/>
      <c r="N756" s="1"/>
      <c r="O756" s="1"/>
      <c r="P756" s="1"/>
      <c r="Q756" s="1"/>
      <c r="R756" s="1"/>
      <c r="S756" s="1"/>
      <c r="T756" s="1"/>
      <c r="U756" s="1"/>
      <c r="V756" s="1"/>
      <c r="W756" s="1"/>
      <c r="X756" s="1"/>
      <c r="Y756" s="1"/>
    </row>
    <row r="757" spans="1:25">
      <c r="A757" s="1"/>
      <c r="B757" s="1"/>
      <c r="C757" s="1"/>
      <c r="D757" s="1"/>
      <c r="E757" s="1"/>
      <c r="F757" s="1"/>
      <c r="G757" s="1"/>
      <c r="H757" s="3"/>
      <c r="I757" s="1"/>
      <c r="J757" s="1"/>
      <c r="K757" s="1"/>
      <c r="L757" s="1"/>
      <c r="M757" s="1"/>
      <c r="N757" s="1"/>
      <c r="O757" s="1"/>
      <c r="P757" s="1"/>
      <c r="Q757" s="1"/>
      <c r="R757" s="1"/>
      <c r="S757" s="1"/>
      <c r="T757" s="1"/>
      <c r="U757" s="1"/>
      <c r="V757" s="1"/>
      <c r="W757" s="1"/>
      <c r="X757" s="1"/>
      <c r="Y757" s="1"/>
    </row>
    <row r="758" spans="1:25">
      <c r="A758" s="1"/>
      <c r="B758" s="1"/>
      <c r="C758" s="1"/>
      <c r="D758" s="1"/>
      <c r="E758" s="1"/>
      <c r="F758" s="1"/>
      <c r="G758" s="1"/>
      <c r="H758" s="3"/>
      <c r="I758" s="1"/>
      <c r="J758" s="1"/>
      <c r="K758" s="1"/>
      <c r="L758" s="1"/>
      <c r="M758" s="1"/>
      <c r="N758" s="1"/>
      <c r="O758" s="1"/>
      <c r="P758" s="1"/>
      <c r="Q758" s="1"/>
      <c r="R758" s="1"/>
      <c r="S758" s="1"/>
      <c r="T758" s="1"/>
      <c r="U758" s="1"/>
      <c r="V758" s="1"/>
      <c r="W758" s="1"/>
      <c r="X758" s="1"/>
      <c r="Y758" s="1"/>
    </row>
    <row r="759" spans="1:25">
      <c r="A759" s="1"/>
      <c r="B759" s="1"/>
      <c r="C759" s="1"/>
      <c r="D759" s="1"/>
      <c r="E759" s="1"/>
      <c r="F759" s="1"/>
      <c r="G759" s="1"/>
      <c r="H759" s="3"/>
      <c r="I759" s="1"/>
      <c r="J759" s="1"/>
      <c r="K759" s="1"/>
      <c r="L759" s="1"/>
      <c r="M759" s="1"/>
      <c r="N759" s="1"/>
      <c r="O759" s="1"/>
      <c r="P759" s="1"/>
      <c r="Q759" s="1"/>
      <c r="R759" s="1"/>
      <c r="S759" s="1"/>
      <c r="T759" s="1"/>
      <c r="U759" s="1"/>
      <c r="V759" s="1"/>
      <c r="W759" s="1"/>
      <c r="X759" s="1"/>
      <c r="Y759" s="1"/>
    </row>
    <row r="760" spans="1:25">
      <c r="A760" s="1"/>
      <c r="B760" s="1"/>
      <c r="C760" s="1"/>
      <c r="D760" s="1"/>
      <c r="E760" s="1"/>
      <c r="F760" s="1"/>
      <c r="G760" s="1"/>
      <c r="H760" s="3"/>
      <c r="I760" s="1"/>
      <c r="J760" s="1"/>
      <c r="K760" s="1"/>
      <c r="L760" s="1"/>
      <c r="M760" s="1"/>
      <c r="N760" s="1"/>
      <c r="O760" s="1"/>
      <c r="P760" s="1"/>
      <c r="Q760" s="1"/>
      <c r="R760" s="1"/>
      <c r="S760" s="1"/>
      <c r="T760" s="1"/>
      <c r="U760" s="1"/>
      <c r="V760" s="1"/>
      <c r="W760" s="1"/>
      <c r="X760" s="1"/>
      <c r="Y760" s="1"/>
    </row>
    <row r="761" spans="1:25">
      <c r="A761" s="1"/>
      <c r="B761" s="1"/>
      <c r="C761" s="1"/>
      <c r="D761" s="1"/>
      <c r="E761" s="1"/>
      <c r="F761" s="1"/>
      <c r="G761" s="1"/>
      <c r="H761" s="3"/>
      <c r="I761" s="1"/>
      <c r="J761" s="1"/>
      <c r="K761" s="1"/>
      <c r="L761" s="1"/>
      <c r="M761" s="1"/>
      <c r="N761" s="1"/>
      <c r="O761" s="1"/>
      <c r="P761" s="1"/>
      <c r="Q761" s="1"/>
      <c r="R761" s="1"/>
      <c r="S761" s="1"/>
      <c r="T761" s="1"/>
      <c r="U761" s="1"/>
      <c r="V761" s="1"/>
      <c r="W761" s="1"/>
      <c r="X761" s="1"/>
      <c r="Y761" s="1"/>
    </row>
    <row r="762" spans="1:25">
      <c r="A762" s="1"/>
      <c r="B762" s="1"/>
      <c r="C762" s="1"/>
      <c r="D762" s="1"/>
      <c r="E762" s="1"/>
      <c r="F762" s="1"/>
      <c r="G762" s="1"/>
      <c r="H762" s="3"/>
      <c r="I762" s="1"/>
      <c r="J762" s="1"/>
      <c r="K762" s="1"/>
      <c r="L762" s="1"/>
      <c r="M762" s="1"/>
      <c r="N762" s="1"/>
      <c r="O762" s="1"/>
      <c r="P762" s="1"/>
      <c r="Q762" s="1"/>
      <c r="R762" s="1"/>
      <c r="S762" s="1"/>
      <c r="T762" s="1"/>
      <c r="U762" s="1"/>
      <c r="V762" s="1"/>
      <c r="W762" s="1"/>
      <c r="X762" s="1"/>
      <c r="Y762" s="1"/>
    </row>
    <row r="763" spans="1:25">
      <c r="A763" s="1"/>
      <c r="B763" s="1"/>
      <c r="C763" s="1"/>
      <c r="D763" s="1"/>
      <c r="E763" s="1"/>
      <c r="F763" s="1"/>
      <c r="G763" s="1"/>
      <c r="H763" s="3"/>
      <c r="I763" s="1"/>
      <c r="J763" s="1"/>
      <c r="K763" s="1"/>
      <c r="L763" s="1"/>
      <c r="M763" s="1"/>
      <c r="N763" s="1"/>
      <c r="O763" s="1"/>
      <c r="P763" s="1"/>
      <c r="Q763" s="1"/>
      <c r="R763" s="1"/>
      <c r="S763" s="1"/>
      <c r="T763" s="1"/>
      <c r="U763" s="1"/>
      <c r="V763" s="1"/>
      <c r="W763" s="1"/>
      <c r="X763" s="1"/>
      <c r="Y763" s="1"/>
    </row>
    <row r="764" spans="1:25">
      <c r="A764" s="1"/>
      <c r="B764" s="1"/>
      <c r="C764" s="1"/>
      <c r="D764" s="1"/>
      <c r="E764" s="1"/>
      <c r="F764" s="1"/>
      <c r="G764" s="1"/>
      <c r="H764" s="3"/>
      <c r="I764" s="1"/>
      <c r="J764" s="1"/>
      <c r="K764" s="1"/>
      <c r="L764" s="1"/>
      <c r="M764" s="1"/>
      <c r="N764" s="1"/>
      <c r="O764" s="1"/>
      <c r="P764" s="1"/>
      <c r="Q764" s="1"/>
      <c r="R764" s="1"/>
      <c r="S764" s="1"/>
      <c r="T764" s="1"/>
      <c r="U764" s="1"/>
      <c r="V764" s="1"/>
      <c r="W764" s="1"/>
      <c r="X764" s="1"/>
      <c r="Y764" s="1"/>
    </row>
    <row r="765" spans="1:25">
      <c r="A765" s="1"/>
      <c r="B765" s="1"/>
      <c r="C765" s="1"/>
      <c r="D765" s="1"/>
      <c r="E765" s="1"/>
      <c r="F765" s="1"/>
      <c r="G765" s="1"/>
      <c r="H765" s="3"/>
      <c r="I765" s="1"/>
      <c r="J765" s="1"/>
      <c r="K765" s="1"/>
      <c r="L765" s="1"/>
      <c r="M765" s="1"/>
      <c r="N765" s="1"/>
      <c r="O765" s="1"/>
      <c r="P765" s="1"/>
      <c r="Q765" s="1"/>
      <c r="R765" s="1"/>
      <c r="S765" s="1"/>
      <c r="T765" s="1"/>
      <c r="U765" s="1"/>
      <c r="V765" s="1"/>
      <c r="W765" s="1"/>
      <c r="X765" s="1"/>
      <c r="Y765" s="1"/>
    </row>
    <row r="766" spans="1:25">
      <c r="A766" s="1"/>
      <c r="B766" s="1"/>
      <c r="C766" s="1"/>
      <c r="D766" s="1"/>
      <c r="E766" s="1"/>
      <c r="F766" s="1"/>
      <c r="G766" s="1"/>
      <c r="H766" s="3"/>
      <c r="I766" s="1"/>
      <c r="J766" s="1"/>
      <c r="K766" s="1"/>
      <c r="L766" s="1"/>
      <c r="M766" s="1"/>
      <c r="N766" s="1"/>
      <c r="O766" s="1"/>
      <c r="P766" s="1"/>
      <c r="Q766" s="1"/>
      <c r="R766" s="1"/>
      <c r="S766" s="1"/>
      <c r="T766" s="1"/>
      <c r="U766" s="1"/>
      <c r="V766" s="1"/>
      <c r="W766" s="1"/>
      <c r="X766" s="1"/>
      <c r="Y766" s="1"/>
    </row>
    <row r="767" spans="1:25">
      <c r="A767" s="1"/>
      <c r="B767" s="1"/>
      <c r="C767" s="1"/>
      <c r="D767" s="1"/>
      <c r="E767" s="1"/>
      <c r="F767" s="1"/>
      <c r="G767" s="1"/>
      <c r="H767" s="3"/>
      <c r="I767" s="1"/>
      <c r="J767" s="1"/>
      <c r="K767" s="1"/>
      <c r="L767" s="1"/>
      <c r="M767" s="1"/>
      <c r="N767" s="1"/>
      <c r="O767" s="1"/>
      <c r="P767" s="1"/>
      <c r="Q767" s="1"/>
      <c r="R767" s="1"/>
      <c r="S767" s="1"/>
      <c r="T767" s="1"/>
      <c r="U767" s="1"/>
      <c r="V767" s="1"/>
      <c r="W767" s="1"/>
      <c r="X767" s="1"/>
      <c r="Y767" s="1"/>
    </row>
    <row r="768" spans="1:25">
      <c r="A768" s="1"/>
      <c r="B768" s="1"/>
      <c r="C768" s="1"/>
      <c r="D768" s="1"/>
      <c r="E768" s="1"/>
      <c r="F768" s="1"/>
      <c r="G768" s="1"/>
      <c r="H768" s="3"/>
      <c r="I768" s="1"/>
      <c r="J768" s="1"/>
      <c r="K768" s="1"/>
      <c r="L768" s="1"/>
      <c r="M768" s="1"/>
      <c r="N768" s="1"/>
      <c r="O768" s="1"/>
      <c r="P768" s="1"/>
      <c r="Q768" s="1"/>
      <c r="R768" s="1"/>
      <c r="S768" s="1"/>
      <c r="T768" s="1"/>
      <c r="U768" s="1"/>
      <c r="V768" s="1"/>
      <c r="W768" s="1"/>
      <c r="X768" s="1"/>
      <c r="Y768" s="1"/>
    </row>
    <row r="769" spans="1:25">
      <c r="A769" s="1"/>
      <c r="B769" s="1"/>
      <c r="C769" s="1"/>
      <c r="D769" s="1"/>
      <c r="E769" s="1"/>
      <c r="F769" s="1"/>
      <c r="G769" s="1"/>
      <c r="H769" s="3"/>
      <c r="I769" s="1"/>
      <c r="J769" s="1"/>
      <c r="K769" s="1"/>
      <c r="L769" s="1"/>
      <c r="M769" s="1"/>
      <c r="N769" s="1"/>
      <c r="O769" s="1"/>
      <c r="P769" s="1"/>
      <c r="Q769" s="1"/>
      <c r="R769" s="1"/>
      <c r="S769" s="1"/>
      <c r="T769" s="1"/>
      <c r="U769" s="1"/>
      <c r="V769" s="1"/>
      <c r="W769" s="1"/>
      <c r="X769" s="1"/>
      <c r="Y769" s="1"/>
    </row>
    <row r="770" spans="1:25">
      <c r="A770" s="1"/>
      <c r="B770" s="1"/>
      <c r="C770" s="1"/>
      <c r="D770" s="1"/>
      <c r="E770" s="1"/>
      <c r="F770" s="1"/>
      <c r="G770" s="1"/>
      <c r="H770" s="3"/>
      <c r="I770" s="1"/>
      <c r="J770" s="1"/>
      <c r="K770" s="1"/>
      <c r="L770" s="1"/>
      <c r="M770" s="1"/>
      <c r="N770" s="1"/>
      <c r="O770" s="1"/>
      <c r="P770" s="1"/>
      <c r="Q770" s="1"/>
      <c r="R770" s="1"/>
      <c r="S770" s="1"/>
      <c r="T770" s="1"/>
      <c r="U770" s="1"/>
      <c r="V770" s="1"/>
      <c r="W770" s="1"/>
      <c r="X770" s="1"/>
      <c r="Y770" s="1"/>
    </row>
    <row r="771" spans="1:25">
      <c r="A771" s="1"/>
      <c r="B771" s="1"/>
      <c r="C771" s="1"/>
      <c r="D771" s="1"/>
      <c r="E771" s="1"/>
      <c r="F771" s="1"/>
      <c r="G771" s="1"/>
      <c r="H771" s="3"/>
      <c r="I771" s="1"/>
      <c r="J771" s="1"/>
      <c r="K771" s="1"/>
      <c r="L771" s="1"/>
      <c r="M771" s="1"/>
      <c r="N771" s="1"/>
      <c r="O771" s="1"/>
      <c r="P771" s="1"/>
      <c r="Q771" s="1"/>
      <c r="R771" s="1"/>
      <c r="S771" s="1"/>
      <c r="T771" s="1"/>
      <c r="U771" s="1"/>
      <c r="V771" s="1"/>
      <c r="W771" s="1"/>
      <c r="X771" s="1"/>
      <c r="Y771" s="1"/>
    </row>
    <row r="772" spans="1:25">
      <c r="A772" s="1"/>
      <c r="B772" s="1"/>
      <c r="C772" s="1"/>
      <c r="D772" s="1"/>
      <c r="E772" s="1"/>
      <c r="F772" s="1"/>
      <c r="G772" s="1"/>
      <c r="H772" s="3"/>
      <c r="I772" s="1"/>
      <c r="J772" s="1"/>
      <c r="K772" s="1"/>
      <c r="L772" s="1"/>
      <c r="M772" s="1"/>
      <c r="N772" s="1"/>
      <c r="O772" s="1"/>
      <c r="P772" s="1"/>
      <c r="Q772" s="1"/>
      <c r="R772" s="1"/>
      <c r="S772" s="1"/>
      <c r="T772" s="1"/>
      <c r="U772" s="1"/>
      <c r="V772" s="1"/>
      <c r="W772" s="1"/>
      <c r="X772" s="1"/>
      <c r="Y772" s="1"/>
    </row>
    <row r="773" spans="1:25">
      <c r="A773" s="1"/>
      <c r="B773" s="1"/>
      <c r="C773" s="1"/>
      <c r="D773" s="1"/>
      <c r="E773" s="1"/>
      <c r="F773" s="1"/>
      <c r="G773" s="1"/>
      <c r="H773" s="3"/>
      <c r="I773" s="1"/>
      <c r="J773" s="1"/>
      <c r="K773" s="1"/>
      <c r="L773" s="1"/>
      <c r="M773" s="1"/>
      <c r="N773" s="1"/>
      <c r="O773" s="1"/>
      <c r="P773" s="1"/>
      <c r="Q773" s="1"/>
      <c r="R773" s="1"/>
      <c r="S773" s="1"/>
      <c r="T773" s="1"/>
      <c r="U773" s="1"/>
      <c r="V773" s="1"/>
      <c r="W773" s="1"/>
      <c r="X773" s="1"/>
      <c r="Y773" s="1"/>
    </row>
    <row r="774" spans="1:25">
      <c r="A774" s="1"/>
      <c r="B774" s="1"/>
      <c r="C774" s="1"/>
      <c r="D774" s="1"/>
      <c r="E774" s="1"/>
      <c r="F774" s="1"/>
      <c r="G774" s="1"/>
      <c r="H774" s="3"/>
      <c r="I774" s="1"/>
      <c r="J774" s="1"/>
      <c r="K774" s="1"/>
      <c r="L774" s="1"/>
      <c r="M774" s="1"/>
      <c r="N774" s="1"/>
      <c r="O774" s="1"/>
      <c r="P774" s="1"/>
      <c r="Q774" s="1"/>
      <c r="R774" s="1"/>
      <c r="S774" s="1"/>
      <c r="T774" s="1"/>
      <c r="U774" s="1"/>
      <c r="V774" s="1"/>
      <c r="W774" s="1"/>
      <c r="X774" s="1"/>
      <c r="Y774" s="1"/>
    </row>
    <row r="775" spans="1:25">
      <c r="A775" s="1"/>
      <c r="B775" s="1"/>
      <c r="C775" s="1"/>
      <c r="D775" s="1"/>
      <c r="E775" s="1"/>
      <c r="F775" s="1"/>
      <c r="G775" s="1"/>
      <c r="H775" s="3"/>
      <c r="I775" s="1"/>
      <c r="J775" s="1"/>
      <c r="K775" s="1"/>
      <c r="L775" s="1"/>
      <c r="M775" s="1"/>
      <c r="N775" s="1"/>
      <c r="O775" s="1"/>
      <c r="P775" s="1"/>
      <c r="Q775" s="1"/>
      <c r="R775" s="1"/>
      <c r="S775" s="1"/>
      <c r="T775" s="1"/>
      <c r="U775" s="1"/>
      <c r="V775" s="1"/>
      <c r="W775" s="1"/>
      <c r="X775" s="1"/>
      <c r="Y775" s="1"/>
    </row>
    <row r="776" spans="1:25">
      <c r="A776" s="1"/>
      <c r="B776" s="1"/>
      <c r="C776" s="1"/>
      <c r="D776" s="1"/>
      <c r="E776" s="1"/>
      <c r="F776" s="1"/>
      <c r="G776" s="1"/>
      <c r="H776" s="3"/>
      <c r="I776" s="1"/>
      <c r="J776" s="1"/>
      <c r="K776" s="1"/>
      <c r="L776" s="1"/>
      <c r="M776" s="1"/>
      <c r="N776" s="1"/>
      <c r="O776" s="1"/>
      <c r="P776" s="1"/>
      <c r="Q776" s="1"/>
      <c r="R776" s="1"/>
      <c r="S776" s="1"/>
      <c r="T776" s="1"/>
      <c r="U776" s="1"/>
      <c r="V776" s="1"/>
      <c r="W776" s="1"/>
      <c r="X776" s="1"/>
      <c r="Y776" s="1"/>
    </row>
    <row r="777" spans="1:25">
      <c r="A777" s="1"/>
      <c r="B777" s="1"/>
      <c r="C777" s="1"/>
      <c r="D777" s="1"/>
      <c r="E777" s="1"/>
      <c r="F777" s="1"/>
      <c r="G777" s="1"/>
      <c r="H777" s="3"/>
      <c r="I777" s="1"/>
      <c r="J777" s="1"/>
      <c r="K777" s="1"/>
      <c r="L777" s="1"/>
      <c r="M777" s="1"/>
      <c r="N777" s="1"/>
      <c r="O777" s="1"/>
      <c r="P777" s="1"/>
      <c r="Q777" s="1"/>
      <c r="R777" s="1"/>
      <c r="S777" s="1"/>
      <c r="T777" s="1"/>
      <c r="U777" s="1"/>
      <c r="V777" s="1"/>
      <c r="W777" s="1"/>
      <c r="X777" s="1"/>
      <c r="Y777" s="1"/>
    </row>
    <row r="778" spans="1:25">
      <c r="A778" s="1"/>
      <c r="B778" s="1"/>
      <c r="C778" s="1"/>
      <c r="D778" s="1"/>
      <c r="E778" s="1"/>
      <c r="F778" s="1"/>
      <c r="G778" s="1"/>
      <c r="H778" s="3"/>
      <c r="I778" s="1"/>
      <c r="J778" s="1"/>
      <c r="K778" s="1"/>
      <c r="L778" s="1"/>
      <c r="M778" s="1"/>
      <c r="N778" s="1"/>
      <c r="O778" s="1"/>
      <c r="P778" s="1"/>
      <c r="Q778" s="1"/>
      <c r="R778" s="1"/>
      <c r="S778" s="1"/>
      <c r="T778" s="1"/>
      <c r="U778" s="1"/>
      <c r="V778" s="1"/>
      <c r="W778" s="1"/>
      <c r="X778" s="1"/>
      <c r="Y778" s="1"/>
    </row>
    <row r="779" spans="1:25">
      <c r="A779" s="1"/>
      <c r="B779" s="1"/>
      <c r="C779" s="1"/>
      <c r="D779" s="1"/>
      <c r="E779" s="1"/>
      <c r="F779" s="1"/>
      <c r="G779" s="1"/>
      <c r="H779" s="3"/>
      <c r="I779" s="1"/>
      <c r="J779" s="1"/>
      <c r="K779" s="1"/>
      <c r="L779" s="1"/>
      <c r="M779" s="1"/>
      <c r="N779" s="1"/>
      <c r="O779" s="1"/>
      <c r="P779" s="1"/>
      <c r="Q779" s="1"/>
      <c r="R779" s="1"/>
      <c r="S779" s="1"/>
      <c r="T779" s="1"/>
      <c r="U779" s="1"/>
      <c r="V779" s="1"/>
      <c r="W779" s="1"/>
      <c r="X779" s="1"/>
      <c r="Y779" s="1"/>
    </row>
    <row r="780" spans="1:25">
      <c r="A780" s="1"/>
      <c r="B780" s="1"/>
      <c r="C780" s="1"/>
      <c r="D780" s="1"/>
      <c r="E780" s="1"/>
      <c r="F780" s="1"/>
      <c r="G780" s="1"/>
      <c r="H780" s="3"/>
      <c r="I780" s="1"/>
      <c r="J780" s="1"/>
      <c r="K780" s="1"/>
      <c r="L780" s="1"/>
      <c r="M780" s="1"/>
      <c r="N780" s="1"/>
      <c r="O780" s="1"/>
      <c r="P780" s="1"/>
      <c r="Q780" s="1"/>
      <c r="R780" s="1"/>
      <c r="S780" s="1"/>
      <c r="T780" s="1"/>
      <c r="U780" s="1"/>
      <c r="V780" s="1"/>
      <c r="W780" s="1"/>
      <c r="X780" s="1"/>
      <c r="Y780" s="1"/>
    </row>
    <row r="781" spans="1:25">
      <c r="A781" s="1"/>
      <c r="B781" s="1"/>
      <c r="C781" s="1"/>
      <c r="D781" s="1"/>
      <c r="E781" s="1"/>
      <c r="F781" s="1"/>
      <c r="G781" s="1"/>
      <c r="H781" s="3"/>
      <c r="I781" s="1"/>
      <c r="J781" s="1"/>
      <c r="K781" s="1"/>
      <c r="L781" s="1"/>
      <c r="M781" s="1"/>
      <c r="N781" s="1"/>
      <c r="O781" s="1"/>
      <c r="P781" s="1"/>
      <c r="Q781" s="1"/>
      <c r="R781" s="1"/>
      <c r="S781" s="1"/>
      <c r="T781" s="1"/>
      <c r="U781" s="1"/>
      <c r="V781" s="1"/>
      <c r="W781" s="1"/>
      <c r="X781" s="1"/>
      <c r="Y781" s="1"/>
    </row>
    <row r="782" spans="1:25">
      <c r="A782" s="1"/>
      <c r="B782" s="1"/>
      <c r="C782" s="1"/>
      <c r="D782" s="1"/>
      <c r="E782" s="1"/>
      <c r="F782" s="1"/>
      <c r="G782" s="1"/>
      <c r="H782" s="3"/>
      <c r="I782" s="1"/>
      <c r="J782" s="1"/>
      <c r="K782" s="1"/>
      <c r="L782" s="1"/>
      <c r="M782" s="1"/>
      <c r="N782" s="1"/>
      <c r="O782" s="1"/>
      <c r="P782" s="1"/>
      <c r="Q782" s="1"/>
      <c r="R782" s="1"/>
      <c r="S782" s="1"/>
      <c r="T782" s="1"/>
      <c r="U782" s="1"/>
      <c r="V782" s="1"/>
      <c r="W782" s="1"/>
      <c r="X782" s="1"/>
      <c r="Y782" s="1"/>
    </row>
    <row r="783" spans="1:25">
      <c r="A783" s="1"/>
      <c r="B783" s="1"/>
      <c r="C783" s="1"/>
      <c r="D783" s="1"/>
      <c r="E783" s="1"/>
      <c r="F783" s="1"/>
      <c r="G783" s="1"/>
      <c r="H783" s="3"/>
      <c r="I783" s="1"/>
      <c r="J783" s="1"/>
      <c r="K783" s="1"/>
      <c r="L783" s="1"/>
      <c r="M783" s="1"/>
      <c r="N783" s="1"/>
      <c r="O783" s="1"/>
      <c r="P783" s="1"/>
      <c r="Q783" s="1"/>
      <c r="R783" s="1"/>
      <c r="S783" s="1"/>
      <c r="T783" s="1"/>
      <c r="U783" s="1"/>
      <c r="V783" s="1"/>
      <c r="W783" s="1"/>
      <c r="X783" s="1"/>
      <c r="Y783" s="1"/>
    </row>
    <row r="784" spans="1:25">
      <c r="A784" s="1"/>
      <c r="B784" s="1"/>
      <c r="C784" s="1"/>
      <c r="D784" s="1"/>
      <c r="E784" s="1"/>
      <c r="F784" s="1"/>
      <c r="G784" s="1"/>
      <c r="H784" s="3"/>
      <c r="I784" s="1"/>
      <c r="J784" s="1"/>
      <c r="K784" s="1"/>
      <c r="L784" s="1"/>
      <c r="M784" s="1"/>
      <c r="N784" s="1"/>
      <c r="O784" s="1"/>
      <c r="P784" s="1"/>
      <c r="Q784" s="1"/>
      <c r="R784" s="1"/>
      <c r="S784" s="1"/>
      <c r="T784" s="1"/>
      <c r="U784" s="1"/>
      <c r="V784" s="1"/>
      <c r="W784" s="1"/>
      <c r="X784" s="1"/>
      <c r="Y784" s="1"/>
    </row>
    <row r="785" spans="1:25">
      <c r="A785" s="1"/>
      <c r="B785" s="1"/>
      <c r="C785" s="1"/>
      <c r="D785" s="1"/>
      <c r="E785" s="1"/>
      <c r="F785" s="1"/>
      <c r="G785" s="1"/>
      <c r="H785" s="3"/>
      <c r="I785" s="1"/>
      <c r="J785" s="1"/>
      <c r="K785" s="1"/>
      <c r="L785" s="1"/>
      <c r="M785" s="1"/>
      <c r="N785" s="1"/>
      <c r="O785" s="1"/>
      <c r="P785" s="1"/>
      <c r="Q785" s="1"/>
      <c r="R785" s="1"/>
      <c r="S785" s="1"/>
      <c r="T785" s="1"/>
      <c r="U785" s="1"/>
      <c r="V785" s="1"/>
      <c r="W785" s="1"/>
      <c r="X785" s="1"/>
      <c r="Y785" s="1"/>
    </row>
    <row r="786" spans="1:25">
      <c r="A786" s="1"/>
      <c r="B786" s="1"/>
      <c r="C786" s="1"/>
      <c r="D786" s="1"/>
      <c r="E786" s="1"/>
      <c r="F786" s="1"/>
      <c r="G786" s="1"/>
      <c r="H786" s="3"/>
      <c r="I786" s="1"/>
      <c r="J786" s="1"/>
      <c r="K786" s="1"/>
      <c r="L786" s="1"/>
      <c r="M786" s="1"/>
      <c r="N786" s="1"/>
      <c r="O786" s="1"/>
      <c r="P786" s="1"/>
      <c r="Q786" s="1"/>
      <c r="R786" s="1"/>
      <c r="S786" s="1"/>
      <c r="T786" s="1"/>
      <c r="U786" s="1"/>
      <c r="V786" s="1"/>
      <c r="W786" s="1"/>
      <c r="X786" s="1"/>
      <c r="Y786" s="1"/>
    </row>
    <row r="787" spans="1:25">
      <c r="A787" s="1"/>
      <c r="B787" s="1"/>
      <c r="C787" s="1"/>
      <c r="D787" s="1"/>
      <c r="E787" s="1"/>
      <c r="F787" s="1"/>
      <c r="G787" s="1"/>
      <c r="H787" s="3"/>
      <c r="I787" s="1"/>
      <c r="J787" s="1"/>
      <c r="K787" s="1"/>
      <c r="L787" s="1"/>
      <c r="M787" s="1"/>
      <c r="N787" s="1"/>
      <c r="O787" s="1"/>
      <c r="P787" s="1"/>
      <c r="Q787" s="1"/>
      <c r="R787" s="1"/>
      <c r="S787" s="1"/>
      <c r="T787" s="1"/>
      <c r="U787" s="1"/>
      <c r="V787" s="1"/>
      <c r="W787" s="1"/>
      <c r="X787" s="1"/>
      <c r="Y787" s="1"/>
    </row>
    <row r="788" spans="1:25">
      <c r="A788" s="1"/>
      <c r="B788" s="1"/>
      <c r="C788" s="1"/>
      <c r="D788" s="1"/>
      <c r="E788" s="1"/>
      <c r="F788" s="1"/>
      <c r="G788" s="1"/>
      <c r="H788" s="3"/>
      <c r="I788" s="1"/>
      <c r="J788" s="1"/>
      <c r="K788" s="1"/>
      <c r="L788" s="1"/>
      <c r="M788" s="1"/>
      <c r="N788" s="1"/>
      <c r="O788" s="1"/>
      <c r="P788" s="1"/>
      <c r="Q788" s="1"/>
      <c r="R788" s="1"/>
      <c r="S788" s="1"/>
      <c r="T788" s="1"/>
      <c r="U788" s="1"/>
      <c r="V788" s="1"/>
      <c r="W788" s="1"/>
      <c r="X788" s="1"/>
      <c r="Y788" s="1"/>
    </row>
    <row r="789" spans="1:25">
      <c r="A789" s="1"/>
      <c r="B789" s="1"/>
      <c r="C789" s="1"/>
      <c r="D789" s="1"/>
      <c r="E789" s="1"/>
      <c r="F789" s="1"/>
      <c r="G789" s="1"/>
      <c r="H789" s="3"/>
      <c r="I789" s="1"/>
      <c r="J789" s="1"/>
      <c r="K789" s="1"/>
      <c r="L789" s="1"/>
      <c r="M789" s="1"/>
      <c r="N789" s="1"/>
      <c r="O789" s="1"/>
      <c r="P789" s="1"/>
      <c r="Q789" s="1"/>
      <c r="R789" s="1"/>
      <c r="S789" s="1"/>
      <c r="T789" s="1"/>
      <c r="U789" s="1"/>
      <c r="V789" s="1"/>
      <c r="W789" s="1"/>
      <c r="X789" s="1"/>
      <c r="Y789" s="1"/>
    </row>
    <row r="790" spans="1:25">
      <c r="A790" s="1"/>
      <c r="B790" s="1"/>
      <c r="C790" s="1"/>
      <c r="D790" s="1"/>
      <c r="E790" s="1"/>
      <c r="F790" s="1"/>
      <c r="G790" s="1"/>
      <c r="H790" s="3"/>
      <c r="I790" s="1"/>
      <c r="J790" s="1"/>
      <c r="K790" s="1"/>
      <c r="L790" s="1"/>
      <c r="M790" s="1"/>
      <c r="N790" s="1"/>
      <c r="O790" s="1"/>
      <c r="P790" s="1"/>
      <c r="Q790" s="1"/>
      <c r="R790" s="1"/>
      <c r="S790" s="1"/>
      <c r="T790" s="1"/>
      <c r="U790" s="1"/>
      <c r="V790" s="1"/>
      <c r="W790" s="1"/>
      <c r="X790" s="1"/>
      <c r="Y790" s="1"/>
    </row>
    <row r="791" spans="1:25">
      <c r="A791" s="1"/>
      <c r="B791" s="1"/>
      <c r="C791" s="1"/>
      <c r="D791" s="1"/>
      <c r="E791" s="1"/>
      <c r="F791" s="1"/>
      <c r="G791" s="1"/>
      <c r="H791" s="3"/>
      <c r="I791" s="1"/>
      <c r="J791" s="1"/>
      <c r="K791" s="1"/>
      <c r="L791" s="1"/>
      <c r="M791" s="1"/>
      <c r="N791" s="1"/>
      <c r="O791" s="1"/>
      <c r="P791" s="1"/>
      <c r="Q791" s="1"/>
      <c r="R791" s="1"/>
      <c r="S791" s="1"/>
      <c r="T791" s="1"/>
      <c r="U791" s="1"/>
      <c r="V791" s="1"/>
      <c r="W791" s="1"/>
      <c r="X791" s="1"/>
      <c r="Y791" s="1"/>
    </row>
    <row r="792" spans="1:25">
      <c r="A792" s="1"/>
      <c r="B792" s="1"/>
      <c r="C792" s="1"/>
      <c r="D792" s="1"/>
      <c r="E792" s="1"/>
      <c r="F792" s="1"/>
      <c r="G792" s="1"/>
      <c r="H792" s="3"/>
      <c r="I792" s="1"/>
      <c r="J792" s="1"/>
      <c r="K792" s="1"/>
      <c r="L792" s="1"/>
      <c r="M792" s="1"/>
      <c r="N792" s="1"/>
      <c r="O792" s="1"/>
      <c r="P792" s="1"/>
      <c r="Q792" s="1"/>
      <c r="R792" s="1"/>
      <c r="S792" s="1"/>
      <c r="T792" s="1"/>
      <c r="U792" s="1"/>
      <c r="V792" s="1"/>
      <c r="W792" s="1"/>
      <c r="X792" s="1"/>
      <c r="Y792" s="1"/>
    </row>
    <row r="793" spans="1:25">
      <c r="A793" s="1"/>
      <c r="B793" s="1"/>
      <c r="C793" s="1"/>
      <c r="D793" s="1"/>
      <c r="E793" s="1"/>
      <c r="F793" s="1"/>
      <c r="G793" s="1"/>
      <c r="H793" s="3"/>
      <c r="I793" s="1"/>
      <c r="J793" s="1"/>
      <c r="K793" s="1"/>
      <c r="L793" s="1"/>
      <c r="M793" s="1"/>
      <c r="N793" s="1"/>
      <c r="O793" s="1"/>
      <c r="P793" s="1"/>
      <c r="Q793" s="1"/>
      <c r="R793" s="1"/>
      <c r="S793" s="1"/>
      <c r="T793" s="1"/>
      <c r="U793" s="1"/>
      <c r="V793" s="1"/>
      <c r="W793" s="1"/>
      <c r="X793" s="1"/>
      <c r="Y793" s="1"/>
    </row>
    <row r="794" spans="1:25">
      <c r="A794" s="1"/>
      <c r="B794" s="1"/>
      <c r="C794" s="1"/>
      <c r="D794" s="1"/>
      <c r="E794" s="1"/>
      <c r="F794" s="1"/>
      <c r="G794" s="1"/>
      <c r="H794" s="3"/>
      <c r="I794" s="1"/>
      <c r="J794" s="1"/>
      <c r="K794" s="1"/>
      <c r="L794" s="1"/>
      <c r="M794" s="1"/>
      <c r="N794" s="1"/>
      <c r="O794" s="1"/>
      <c r="P794" s="1"/>
      <c r="Q794" s="1"/>
      <c r="R794" s="1"/>
      <c r="S794" s="1"/>
      <c r="T794" s="1"/>
      <c r="U794" s="1"/>
      <c r="V794" s="1"/>
      <c r="W794" s="1"/>
      <c r="X794" s="1"/>
      <c r="Y794" s="1"/>
    </row>
    <row r="795" spans="1:25">
      <c r="A795" s="1"/>
      <c r="B795" s="1"/>
      <c r="C795" s="1"/>
      <c r="D795" s="1"/>
      <c r="E795" s="1"/>
      <c r="F795" s="1"/>
      <c r="G795" s="1"/>
      <c r="H795" s="3"/>
      <c r="I795" s="1"/>
      <c r="J795" s="1"/>
      <c r="K795" s="1"/>
      <c r="L795" s="1"/>
      <c r="M795" s="1"/>
      <c r="N795" s="1"/>
      <c r="O795" s="1"/>
      <c r="P795" s="1"/>
      <c r="Q795" s="1"/>
      <c r="R795" s="1"/>
      <c r="S795" s="1"/>
      <c r="T795" s="1"/>
      <c r="U795" s="1"/>
      <c r="V795" s="1"/>
      <c r="W795" s="1"/>
      <c r="X795" s="1"/>
      <c r="Y795" s="1"/>
    </row>
    <row r="796" spans="1:25">
      <c r="A796" s="1"/>
      <c r="B796" s="1"/>
      <c r="C796" s="1"/>
      <c r="D796" s="1"/>
      <c r="E796" s="1"/>
      <c r="F796" s="1"/>
      <c r="G796" s="1"/>
      <c r="H796" s="3"/>
      <c r="I796" s="1"/>
      <c r="J796" s="1"/>
      <c r="K796" s="1"/>
      <c r="L796" s="1"/>
      <c r="M796" s="1"/>
      <c r="N796" s="1"/>
      <c r="O796" s="1"/>
      <c r="P796" s="1"/>
      <c r="Q796" s="1"/>
      <c r="R796" s="1"/>
      <c r="S796" s="1"/>
      <c r="T796" s="1"/>
      <c r="U796" s="1"/>
      <c r="V796" s="1"/>
      <c r="W796" s="1"/>
      <c r="X796" s="1"/>
      <c r="Y796" s="1"/>
    </row>
    <row r="797" spans="1:25">
      <c r="A797" s="1"/>
      <c r="B797" s="1"/>
      <c r="C797" s="1"/>
      <c r="D797" s="1"/>
      <c r="E797" s="1"/>
      <c r="F797" s="1"/>
      <c r="G797" s="1"/>
      <c r="H797" s="3"/>
      <c r="I797" s="1"/>
      <c r="J797" s="1"/>
      <c r="K797" s="1"/>
      <c r="L797" s="1"/>
      <c r="M797" s="1"/>
      <c r="N797" s="1"/>
      <c r="O797" s="1"/>
      <c r="P797" s="1"/>
      <c r="Q797" s="1"/>
      <c r="R797" s="1"/>
      <c r="S797" s="1"/>
      <c r="T797" s="1"/>
      <c r="U797" s="1"/>
      <c r="V797" s="1"/>
      <c r="W797" s="1"/>
      <c r="X797" s="1"/>
      <c r="Y797" s="1"/>
    </row>
    <row r="798" spans="1:25">
      <c r="A798" s="1"/>
      <c r="B798" s="1"/>
      <c r="C798" s="1"/>
      <c r="D798" s="1"/>
      <c r="E798" s="1"/>
      <c r="F798" s="1"/>
      <c r="G798" s="1"/>
      <c r="H798" s="3"/>
      <c r="I798" s="1"/>
      <c r="J798" s="1"/>
      <c r="K798" s="1"/>
      <c r="L798" s="1"/>
      <c r="M798" s="1"/>
      <c r="N798" s="1"/>
      <c r="O798" s="1"/>
      <c r="P798" s="1"/>
      <c r="Q798" s="1"/>
      <c r="R798" s="1"/>
      <c r="S798" s="1"/>
      <c r="T798" s="1"/>
      <c r="U798" s="1"/>
      <c r="V798" s="1"/>
      <c r="W798" s="1"/>
      <c r="X798" s="1"/>
      <c r="Y798" s="1"/>
    </row>
    <row r="799" spans="1:25">
      <c r="A799" s="1"/>
      <c r="B799" s="1"/>
      <c r="C799" s="1"/>
      <c r="D799" s="1"/>
      <c r="E799" s="1"/>
      <c r="F799" s="1"/>
      <c r="G799" s="1"/>
      <c r="H799" s="3"/>
      <c r="I799" s="1"/>
      <c r="J799" s="1"/>
      <c r="K799" s="1"/>
      <c r="L799" s="1"/>
      <c r="M799" s="1"/>
      <c r="N799" s="1"/>
      <c r="O799" s="1"/>
      <c r="P799" s="1"/>
      <c r="Q799" s="1"/>
      <c r="R799" s="1"/>
      <c r="S799" s="1"/>
      <c r="T799" s="1"/>
      <c r="U799" s="1"/>
      <c r="V799" s="1"/>
      <c r="W799" s="1"/>
      <c r="X799" s="1"/>
      <c r="Y799" s="1"/>
    </row>
    <row r="800" spans="1:25">
      <c r="A800" s="1"/>
      <c r="B800" s="1"/>
      <c r="C800" s="1"/>
      <c r="D800" s="1"/>
      <c r="E800" s="1"/>
      <c r="F800" s="1"/>
      <c r="G800" s="1"/>
      <c r="H800" s="3"/>
      <c r="I800" s="1"/>
      <c r="J800" s="1"/>
      <c r="K800" s="1"/>
      <c r="L800" s="1"/>
      <c r="M800" s="1"/>
      <c r="N800" s="1"/>
      <c r="O800" s="1"/>
      <c r="P800" s="1"/>
      <c r="Q800" s="1"/>
      <c r="R800" s="1"/>
      <c r="S800" s="1"/>
      <c r="T800" s="1"/>
      <c r="U800" s="1"/>
      <c r="V800" s="1"/>
      <c r="W800" s="1"/>
      <c r="X800" s="1"/>
      <c r="Y800" s="1"/>
    </row>
    <row r="801" spans="1:25">
      <c r="A801" s="1"/>
      <c r="B801" s="1"/>
      <c r="C801" s="1"/>
      <c r="D801" s="1"/>
      <c r="E801" s="1"/>
      <c r="F801" s="1"/>
      <c r="G801" s="1"/>
      <c r="H801" s="3"/>
      <c r="I801" s="1"/>
      <c r="J801" s="1"/>
      <c r="K801" s="1"/>
      <c r="L801" s="1"/>
      <c r="M801" s="1"/>
      <c r="N801" s="1"/>
      <c r="O801" s="1"/>
      <c r="P801" s="1"/>
      <c r="Q801" s="1"/>
      <c r="R801" s="1"/>
      <c r="S801" s="1"/>
      <c r="T801" s="1"/>
      <c r="U801" s="1"/>
      <c r="V801" s="1"/>
      <c r="W801" s="1"/>
      <c r="X801" s="1"/>
      <c r="Y801" s="1"/>
    </row>
    <row r="802" spans="1:25">
      <c r="A802" s="1"/>
      <c r="B802" s="1"/>
      <c r="C802" s="1"/>
      <c r="D802" s="1"/>
      <c r="E802" s="1"/>
      <c r="F802" s="1"/>
      <c r="G802" s="1"/>
      <c r="H802" s="3"/>
      <c r="I802" s="1"/>
      <c r="J802" s="1"/>
      <c r="K802" s="1"/>
      <c r="L802" s="1"/>
      <c r="M802" s="1"/>
      <c r="N802" s="1"/>
      <c r="O802" s="1"/>
      <c r="P802" s="1"/>
      <c r="Q802" s="1"/>
      <c r="R802" s="1"/>
      <c r="S802" s="1"/>
      <c r="T802" s="1"/>
      <c r="U802" s="1"/>
      <c r="V802" s="1"/>
      <c r="W802" s="1"/>
      <c r="X802" s="1"/>
      <c r="Y802" s="1"/>
    </row>
    <row r="803" spans="1:25">
      <c r="A803" s="1"/>
      <c r="B803" s="1"/>
      <c r="C803" s="1"/>
      <c r="D803" s="1"/>
      <c r="E803" s="1"/>
      <c r="F803" s="1"/>
      <c r="G803" s="1"/>
      <c r="H803" s="3"/>
      <c r="I803" s="1"/>
      <c r="J803" s="1"/>
      <c r="K803" s="1"/>
      <c r="L803" s="1"/>
      <c r="M803" s="1"/>
      <c r="N803" s="1"/>
      <c r="O803" s="1"/>
      <c r="P803" s="1"/>
      <c r="Q803" s="1"/>
      <c r="R803" s="1"/>
      <c r="S803" s="1"/>
      <c r="T803" s="1"/>
      <c r="U803" s="1"/>
      <c r="V803" s="1"/>
      <c r="W803" s="1"/>
      <c r="X803" s="1"/>
      <c r="Y803" s="1"/>
    </row>
    <row r="804" spans="1:25">
      <c r="A804" s="1"/>
      <c r="B804" s="1"/>
      <c r="C804" s="1"/>
      <c r="D804" s="1"/>
      <c r="E804" s="1"/>
      <c r="F804" s="1"/>
      <c r="G804" s="1"/>
      <c r="H804" s="3"/>
      <c r="I804" s="1"/>
      <c r="J804" s="1"/>
      <c r="K804" s="1"/>
      <c r="L804" s="1"/>
      <c r="M804" s="1"/>
      <c r="N804" s="1"/>
      <c r="O804" s="1"/>
      <c r="P804" s="1"/>
      <c r="Q804" s="1"/>
      <c r="R804" s="1"/>
      <c r="S804" s="1"/>
      <c r="T804" s="1"/>
      <c r="U804" s="1"/>
      <c r="V804" s="1"/>
      <c r="W804" s="1"/>
      <c r="X804" s="1"/>
      <c r="Y804" s="1"/>
    </row>
    <row r="805" spans="1:25">
      <c r="A805" s="1"/>
      <c r="B805" s="1"/>
      <c r="C805" s="1"/>
      <c r="D805" s="1"/>
      <c r="E805" s="1"/>
      <c r="F805" s="1"/>
      <c r="G805" s="1"/>
      <c r="H805" s="3"/>
      <c r="I805" s="1"/>
      <c r="J805" s="1"/>
      <c r="K805" s="1"/>
      <c r="L805" s="1"/>
      <c r="M805" s="1"/>
      <c r="N805" s="1"/>
      <c r="O805" s="1"/>
      <c r="P805" s="1"/>
      <c r="Q805" s="1"/>
      <c r="R805" s="1"/>
      <c r="S805" s="1"/>
      <c r="T805" s="1"/>
      <c r="U805" s="1"/>
      <c r="V805" s="1"/>
      <c r="W805" s="1"/>
      <c r="X805" s="1"/>
      <c r="Y805" s="1"/>
    </row>
    <row r="806" spans="1:25">
      <c r="A806" s="1"/>
      <c r="B806" s="1"/>
      <c r="C806" s="1"/>
      <c r="D806" s="1"/>
      <c r="E806" s="1"/>
      <c r="F806" s="1"/>
      <c r="G806" s="1"/>
      <c r="H806" s="3"/>
      <c r="I806" s="1"/>
      <c r="J806" s="1"/>
      <c r="K806" s="1"/>
      <c r="L806" s="1"/>
      <c r="M806" s="1"/>
      <c r="N806" s="1"/>
      <c r="O806" s="1"/>
      <c r="P806" s="1"/>
      <c r="Q806" s="1"/>
      <c r="R806" s="1"/>
      <c r="S806" s="1"/>
      <c r="T806" s="1"/>
      <c r="U806" s="1"/>
      <c r="V806" s="1"/>
      <c r="W806" s="1"/>
      <c r="X806" s="1"/>
      <c r="Y806" s="1"/>
    </row>
    <row r="807" spans="1:25">
      <c r="A807" s="1"/>
      <c r="B807" s="1"/>
      <c r="C807" s="1"/>
      <c r="D807" s="1"/>
      <c r="E807" s="1"/>
      <c r="F807" s="1"/>
      <c r="G807" s="1"/>
      <c r="H807" s="3"/>
      <c r="I807" s="1"/>
      <c r="J807" s="1"/>
      <c r="K807" s="1"/>
      <c r="L807" s="1"/>
      <c r="M807" s="1"/>
      <c r="N807" s="1"/>
      <c r="O807" s="1"/>
      <c r="P807" s="1"/>
      <c r="Q807" s="1"/>
      <c r="R807" s="1"/>
      <c r="S807" s="1"/>
      <c r="T807" s="1"/>
      <c r="U807" s="1"/>
      <c r="V807" s="1"/>
      <c r="W807" s="1"/>
      <c r="X807" s="1"/>
      <c r="Y807" s="1"/>
    </row>
    <row r="808" spans="1:25">
      <c r="A808" s="1"/>
      <c r="B808" s="1"/>
      <c r="C808" s="1"/>
      <c r="D808" s="1"/>
      <c r="E808" s="1"/>
      <c r="F808" s="1"/>
      <c r="G808" s="1"/>
      <c r="H808" s="3"/>
      <c r="I808" s="1"/>
      <c r="J808" s="1"/>
      <c r="K808" s="1"/>
      <c r="L808" s="1"/>
      <c r="M808" s="1"/>
      <c r="N808" s="1"/>
      <c r="O808" s="1"/>
      <c r="P808" s="1"/>
      <c r="Q808" s="1"/>
      <c r="R808" s="1"/>
      <c r="S808" s="1"/>
      <c r="T808" s="1"/>
      <c r="U808" s="1"/>
      <c r="V808" s="1"/>
      <c r="W808" s="1"/>
      <c r="X808" s="1"/>
      <c r="Y808" s="1"/>
    </row>
    <row r="809" spans="1:25">
      <c r="A809" s="1"/>
      <c r="B809" s="1"/>
      <c r="C809" s="1"/>
      <c r="D809" s="1"/>
      <c r="E809" s="1"/>
      <c r="F809" s="1"/>
      <c r="G809" s="1"/>
      <c r="H809" s="3"/>
      <c r="I809" s="1"/>
      <c r="J809" s="1"/>
      <c r="K809" s="1"/>
      <c r="L809" s="1"/>
      <c r="M809" s="1"/>
      <c r="N809" s="1"/>
      <c r="O809" s="1"/>
      <c r="P809" s="1"/>
      <c r="Q809" s="1"/>
      <c r="R809" s="1"/>
      <c r="S809" s="1"/>
      <c r="T809" s="1"/>
      <c r="U809" s="1"/>
      <c r="V809" s="1"/>
      <c r="W809" s="1"/>
      <c r="X809" s="1"/>
      <c r="Y809" s="1"/>
    </row>
    <row r="810" spans="1:25">
      <c r="A810" s="1"/>
      <c r="B810" s="1"/>
      <c r="C810" s="1"/>
      <c r="D810" s="1"/>
      <c r="E810" s="1"/>
      <c r="F810" s="1"/>
      <c r="G810" s="1"/>
      <c r="H810" s="3"/>
      <c r="I810" s="1"/>
      <c r="J810" s="1"/>
      <c r="K810" s="1"/>
      <c r="L810" s="1"/>
      <c r="M810" s="1"/>
      <c r="N810" s="1"/>
      <c r="O810" s="1"/>
      <c r="P810" s="1"/>
      <c r="Q810" s="1"/>
      <c r="R810" s="1"/>
      <c r="S810" s="1"/>
      <c r="T810" s="1"/>
      <c r="U810" s="1"/>
      <c r="V810" s="1"/>
      <c r="W810" s="1"/>
      <c r="X810" s="1"/>
      <c r="Y810" s="1"/>
    </row>
    <row r="811" spans="1:25">
      <c r="A811" s="1"/>
      <c r="B811" s="1"/>
      <c r="C811" s="1"/>
      <c r="D811" s="1"/>
      <c r="E811" s="1"/>
      <c r="F811" s="1"/>
      <c r="G811" s="1"/>
      <c r="H811" s="3"/>
      <c r="I811" s="1"/>
      <c r="J811" s="1"/>
      <c r="K811" s="1"/>
      <c r="L811" s="1"/>
      <c r="M811" s="1"/>
      <c r="N811" s="1"/>
      <c r="O811" s="1"/>
      <c r="P811" s="1"/>
      <c r="Q811" s="1"/>
      <c r="R811" s="1"/>
      <c r="S811" s="1"/>
      <c r="T811" s="1"/>
      <c r="U811" s="1"/>
      <c r="V811" s="1"/>
      <c r="W811" s="1"/>
      <c r="X811" s="1"/>
      <c r="Y811" s="1"/>
    </row>
    <row r="812" spans="1:25">
      <c r="A812" s="1"/>
      <c r="B812" s="1"/>
      <c r="C812" s="1"/>
      <c r="D812" s="1"/>
      <c r="E812" s="1"/>
      <c r="F812" s="1"/>
      <c r="G812" s="1"/>
      <c r="H812" s="3"/>
      <c r="I812" s="1"/>
      <c r="J812" s="1"/>
      <c r="K812" s="1"/>
      <c r="L812" s="1"/>
      <c r="M812" s="1"/>
      <c r="N812" s="1"/>
      <c r="O812" s="1"/>
      <c r="P812" s="1"/>
      <c r="Q812" s="1"/>
      <c r="R812" s="1"/>
      <c r="S812" s="1"/>
      <c r="T812" s="1"/>
      <c r="U812" s="1"/>
      <c r="V812" s="1"/>
      <c r="W812" s="1"/>
      <c r="X812" s="1"/>
      <c r="Y812" s="1"/>
    </row>
    <row r="813" spans="1:25">
      <c r="A813" s="1"/>
      <c r="B813" s="1"/>
      <c r="C813" s="1"/>
      <c r="D813" s="1"/>
      <c r="E813" s="1"/>
      <c r="F813" s="1"/>
      <c r="G813" s="1"/>
      <c r="H813" s="3"/>
      <c r="I813" s="1"/>
      <c r="J813" s="1"/>
      <c r="K813" s="1"/>
      <c r="L813" s="1"/>
      <c r="M813" s="1"/>
      <c r="N813" s="1"/>
      <c r="O813" s="1"/>
      <c r="P813" s="1"/>
      <c r="Q813" s="1"/>
      <c r="R813" s="1"/>
      <c r="S813" s="1"/>
      <c r="T813" s="1"/>
      <c r="U813" s="1"/>
      <c r="V813" s="1"/>
      <c r="W813" s="1"/>
      <c r="X813" s="1"/>
      <c r="Y813" s="1"/>
    </row>
    <row r="814" spans="1:25">
      <c r="A814" s="1"/>
      <c r="B814" s="1"/>
      <c r="C814" s="1"/>
      <c r="D814" s="1"/>
      <c r="E814" s="1"/>
      <c r="F814" s="1"/>
      <c r="G814" s="1"/>
      <c r="H814" s="3"/>
      <c r="I814" s="1"/>
      <c r="J814" s="1"/>
      <c r="K814" s="1"/>
      <c r="L814" s="1"/>
      <c r="M814" s="1"/>
      <c r="N814" s="1"/>
      <c r="O814" s="1"/>
      <c r="P814" s="1"/>
      <c r="Q814" s="1"/>
      <c r="R814" s="1"/>
      <c r="S814" s="1"/>
      <c r="T814" s="1"/>
      <c r="U814" s="1"/>
      <c r="V814" s="1"/>
      <c r="W814" s="1"/>
      <c r="X814" s="1"/>
      <c r="Y814" s="1"/>
    </row>
    <row r="815" spans="1:25">
      <c r="A815" s="1"/>
      <c r="B815" s="1"/>
      <c r="C815" s="1"/>
      <c r="D815" s="1"/>
      <c r="E815" s="1"/>
      <c r="F815" s="1"/>
      <c r="G815" s="1"/>
      <c r="H815" s="3"/>
      <c r="I815" s="1"/>
      <c r="J815" s="1"/>
      <c r="K815" s="1"/>
      <c r="L815" s="1"/>
      <c r="M815" s="1"/>
      <c r="N815" s="1"/>
      <c r="O815" s="1"/>
      <c r="P815" s="1"/>
      <c r="Q815" s="1"/>
      <c r="R815" s="1"/>
      <c r="S815" s="1"/>
      <c r="T815" s="1"/>
      <c r="U815" s="1"/>
      <c r="V815" s="1"/>
      <c r="W815" s="1"/>
      <c r="X815" s="1"/>
      <c r="Y815" s="1"/>
    </row>
    <row r="816" spans="1:25">
      <c r="A816" s="1"/>
      <c r="B816" s="1"/>
      <c r="C816" s="1"/>
      <c r="D816" s="1"/>
      <c r="E816" s="1"/>
      <c r="F816" s="1"/>
      <c r="G816" s="1"/>
      <c r="H816" s="3"/>
      <c r="I816" s="1"/>
      <c r="J816" s="1"/>
      <c r="K816" s="1"/>
      <c r="L816" s="1"/>
      <c r="M816" s="1"/>
      <c r="N816" s="1"/>
      <c r="O816" s="1"/>
      <c r="P816" s="1"/>
      <c r="Q816" s="1"/>
      <c r="R816" s="1"/>
      <c r="S816" s="1"/>
      <c r="T816" s="1"/>
      <c r="U816" s="1"/>
      <c r="V816" s="1"/>
      <c r="W816" s="1"/>
      <c r="X816" s="1"/>
      <c r="Y816" s="1"/>
    </row>
    <row r="817" spans="1:25">
      <c r="A817" s="1"/>
      <c r="B817" s="1"/>
      <c r="C817" s="1"/>
      <c r="D817" s="1"/>
      <c r="E817" s="1"/>
      <c r="F817" s="1"/>
      <c r="G817" s="1"/>
      <c r="H817" s="3"/>
      <c r="I817" s="1"/>
      <c r="J817" s="1"/>
      <c r="K817" s="1"/>
      <c r="L817" s="1"/>
      <c r="M817" s="1"/>
      <c r="N817" s="1"/>
      <c r="O817" s="1"/>
      <c r="P817" s="1"/>
      <c r="Q817" s="1"/>
      <c r="R817" s="1"/>
      <c r="S817" s="1"/>
      <c r="T817" s="1"/>
      <c r="U817" s="1"/>
      <c r="V817" s="1"/>
      <c r="W817" s="1"/>
      <c r="X817" s="1"/>
      <c r="Y817" s="1"/>
    </row>
    <row r="818" spans="1:25">
      <c r="A818" s="1"/>
      <c r="B818" s="1"/>
      <c r="C818" s="1"/>
      <c r="D818" s="1"/>
      <c r="E818" s="1"/>
      <c r="F818" s="1"/>
      <c r="G818" s="1"/>
      <c r="H818" s="3"/>
      <c r="I818" s="1"/>
      <c r="J818" s="1"/>
      <c r="K818" s="1"/>
      <c r="L818" s="1"/>
      <c r="M818" s="1"/>
      <c r="N818" s="1"/>
      <c r="O818" s="1"/>
      <c r="P818" s="1"/>
      <c r="Q818" s="1"/>
      <c r="R818" s="1"/>
      <c r="S818" s="1"/>
      <c r="T818" s="1"/>
      <c r="U818" s="1"/>
      <c r="V818" s="1"/>
      <c r="W818" s="1"/>
      <c r="X818" s="1"/>
      <c r="Y818" s="1"/>
    </row>
    <row r="819" spans="1:25">
      <c r="A819" s="1"/>
      <c r="B819" s="1"/>
      <c r="C819" s="1"/>
      <c r="D819" s="1"/>
      <c r="E819" s="1"/>
      <c r="F819" s="1"/>
      <c r="G819" s="1"/>
      <c r="H819" s="3"/>
      <c r="I819" s="1"/>
      <c r="J819" s="1"/>
      <c r="K819" s="1"/>
      <c r="L819" s="1"/>
      <c r="M819" s="1"/>
      <c r="N819" s="1"/>
      <c r="O819" s="1"/>
      <c r="P819" s="1"/>
      <c r="Q819" s="1"/>
      <c r="R819" s="1"/>
      <c r="S819" s="1"/>
      <c r="T819" s="1"/>
      <c r="U819" s="1"/>
      <c r="V819" s="1"/>
      <c r="W819" s="1"/>
      <c r="X819" s="1"/>
      <c r="Y819" s="1"/>
    </row>
    <row r="820" spans="1:25">
      <c r="A820" s="1"/>
      <c r="B820" s="1"/>
      <c r="C820" s="1"/>
      <c r="D820" s="1"/>
      <c r="E820" s="1"/>
      <c r="F820" s="1"/>
      <c r="G820" s="1"/>
      <c r="H820" s="3"/>
      <c r="I820" s="1"/>
      <c r="J820" s="1"/>
      <c r="K820" s="1"/>
      <c r="L820" s="1"/>
      <c r="M820" s="1"/>
      <c r="N820" s="1"/>
      <c r="O820" s="1"/>
      <c r="P820" s="1"/>
      <c r="Q820" s="1"/>
      <c r="R820" s="1"/>
      <c r="S820" s="1"/>
      <c r="T820" s="1"/>
      <c r="U820" s="1"/>
      <c r="V820" s="1"/>
      <c r="W820" s="1"/>
      <c r="X820" s="1"/>
      <c r="Y820" s="1"/>
    </row>
    <row r="821" spans="1:25">
      <c r="A821" s="1"/>
      <c r="B821" s="1"/>
      <c r="C821" s="1"/>
      <c r="D821" s="1"/>
      <c r="E821" s="1"/>
      <c r="F821" s="1"/>
      <c r="G821" s="1"/>
      <c r="H821" s="3"/>
      <c r="I821" s="1"/>
      <c r="J821" s="1"/>
      <c r="K821" s="1"/>
      <c r="L821" s="1"/>
      <c r="M821" s="1"/>
      <c r="N821" s="1"/>
      <c r="O821" s="1"/>
      <c r="P821" s="1"/>
      <c r="Q821" s="1"/>
      <c r="R821" s="1"/>
      <c r="S821" s="1"/>
      <c r="T821" s="1"/>
      <c r="U821" s="1"/>
      <c r="V821" s="1"/>
      <c r="W821" s="1"/>
      <c r="X821" s="1"/>
      <c r="Y821" s="1"/>
    </row>
    <row r="822" spans="1:25">
      <c r="A822" s="1"/>
      <c r="B822" s="1"/>
      <c r="C822" s="1"/>
      <c r="D822" s="1"/>
      <c r="E822" s="1"/>
      <c r="F822" s="1"/>
      <c r="G822" s="1"/>
      <c r="H822" s="3"/>
      <c r="I822" s="1"/>
      <c r="J822" s="1"/>
      <c r="K822" s="1"/>
      <c r="L822" s="1"/>
      <c r="M822" s="1"/>
      <c r="N822" s="1"/>
      <c r="O822" s="1"/>
      <c r="P822" s="1"/>
      <c r="Q822" s="1"/>
      <c r="R822" s="1"/>
      <c r="S822" s="1"/>
      <c r="T822" s="1"/>
      <c r="U822" s="1"/>
      <c r="V822" s="1"/>
      <c r="W822" s="1"/>
      <c r="X822" s="1"/>
      <c r="Y822" s="1"/>
    </row>
    <row r="823" spans="1:25">
      <c r="A823" s="1"/>
      <c r="B823" s="1"/>
      <c r="C823" s="1"/>
      <c r="D823" s="1"/>
      <c r="E823" s="1"/>
      <c r="F823" s="1"/>
      <c r="G823" s="1"/>
      <c r="H823" s="3"/>
      <c r="I823" s="1"/>
      <c r="J823" s="1"/>
      <c r="K823" s="1"/>
      <c r="L823" s="1"/>
      <c r="M823" s="1"/>
      <c r="N823" s="1"/>
      <c r="O823" s="1"/>
      <c r="P823" s="1"/>
      <c r="Q823" s="1"/>
      <c r="R823" s="1"/>
      <c r="S823" s="1"/>
      <c r="T823" s="1"/>
      <c r="U823" s="1"/>
      <c r="V823" s="1"/>
      <c r="W823" s="1"/>
      <c r="X823" s="1"/>
      <c r="Y823" s="1"/>
    </row>
    <row r="824" spans="1:25">
      <c r="A824" s="1"/>
      <c r="B824" s="1"/>
      <c r="C824" s="1"/>
      <c r="D824" s="1"/>
      <c r="E824" s="1"/>
      <c r="F824" s="1"/>
      <c r="G824" s="1"/>
      <c r="H824" s="3"/>
      <c r="I824" s="1"/>
      <c r="J824" s="1"/>
      <c r="K824" s="1"/>
      <c r="L824" s="1"/>
      <c r="M824" s="1"/>
      <c r="N824" s="1"/>
      <c r="O824" s="1"/>
      <c r="P824" s="1"/>
      <c r="Q824" s="1"/>
      <c r="R824" s="1"/>
      <c r="S824" s="1"/>
      <c r="T824" s="1"/>
      <c r="U824" s="1"/>
      <c r="V824" s="1"/>
      <c r="W824" s="1"/>
      <c r="X824" s="1"/>
      <c r="Y824" s="1"/>
    </row>
    <row r="825" spans="1:25">
      <c r="A825" s="1"/>
      <c r="B825" s="1"/>
      <c r="C825" s="1"/>
      <c r="D825" s="1"/>
      <c r="E825" s="1"/>
      <c r="F825" s="1"/>
      <c r="G825" s="1"/>
      <c r="H825" s="3"/>
      <c r="I825" s="1"/>
      <c r="J825" s="1"/>
      <c r="K825" s="1"/>
      <c r="L825" s="1"/>
      <c r="M825" s="1"/>
      <c r="N825" s="1"/>
      <c r="O825" s="1"/>
      <c r="P825" s="1"/>
      <c r="Q825" s="1"/>
      <c r="R825" s="1"/>
      <c r="S825" s="1"/>
      <c r="T825" s="1"/>
      <c r="U825" s="1"/>
      <c r="V825" s="1"/>
      <c r="W825" s="1"/>
      <c r="X825" s="1"/>
      <c r="Y825" s="1"/>
    </row>
    <row r="826" spans="1:25">
      <c r="A826" s="1"/>
      <c r="B826" s="1"/>
      <c r="C826" s="1"/>
      <c r="D826" s="1"/>
      <c r="E826" s="1"/>
      <c r="F826" s="1"/>
      <c r="G826" s="1"/>
      <c r="H826" s="3"/>
      <c r="I826" s="1"/>
      <c r="J826" s="1"/>
      <c r="K826" s="1"/>
      <c r="L826" s="1"/>
      <c r="M826" s="1"/>
      <c r="N826" s="1"/>
      <c r="O826" s="1"/>
      <c r="P826" s="1"/>
      <c r="Q826" s="1"/>
      <c r="R826" s="1"/>
      <c r="S826" s="1"/>
      <c r="T826" s="1"/>
      <c r="U826" s="1"/>
      <c r="V826" s="1"/>
      <c r="W826" s="1"/>
      <c r="X826" s="1"/>
      <c r="Y826" s="1"/>
    </row>
    <row r="827" spans="1:25">
      <c r="A827" s="1"/>
      <c r="B827" s="1"/>
      <c r="C827" s="1"/>
      <c r="D827" s="1"/>
      <c r="E827" s="1"/>
      <c r="F827" s="1"/>
      <c r="G827" s="1"/>
      <c r="H827" s="3"/>
      <c r="I827" s="1"/>
      <c r="J827" s="1"/>
      <c r="K827" s="1"/>
      <c r="L827" s="1"/>
      <c r="M827" s="1"/>
      <c r="N827" s="1"/>
      <c r="O827" s="1"/>
      <c r="P827" s="1"/>
      <c r="Q827" s="1"/>
      <c r="R827" s="1"/>
      <c r="S827" s="1"/>
      <c r="T827" s="1"/>
      <c r="U827" s="1"/>
      <c r="V827" s="1"/>
      <c r="W827" s="1"/>
      <c r="X827" s="1"/>
      <c r="Y827" s="1"/>
    </row>
    <row r="828" spans="1:25">
      <c r="A828" s="1"/>
      <c r="B828" s="1"/>
      <c r="C828" s="1"/>
      <c r="D828" s="1"/>
      <c r="E828" s="1"/>
      <c r="F828" s="1"/>
      <c r="G828" s="1"/>
      <c r="H828" s="3"/>
      <c r="I828" s="1"/>
      <c r="J828" s="1"/>
      <c r="K828" s="1"/>
      <c r="L828" s="1"/>
      <c r="M828" s="1"/>
      <c r="N828" s="1"/>
      <c r="O828" s="1"/>
      <c r="P828" s="1"/>
      <c r="Q828" s="1"/>
      <c r="R828" s="1"/>
      <c r="S828" s="1"/>
      <c r="T828" s="1"/>
      <c r="U828" s="1"/>
      <c r="V828" s="1"/>
      <c r="W828" s="1"/>
      <c r="X828" s="1"/>
      <c r="Y828" s="1"/>
    </row>
    <row r="829" spans="1:25">
      <c r="A829" s="1"/>
      <c r="B829" s="1"/>
      <c r="C829" s="1"/>
      <c r="D829" s="1"/>
      <c r="E829" s="1"/>
      <c r="F829" s="1"/>
      <c r="G829" s="1"/>
      <c r="H829" s="3"/>
      <c r="I829" s="1"/>
      <c r="J829" s="1"/>
      <c r="K829" s="1"/>
      <c r="L829" s="1"/>
      <c r="M829" s="1"/>
      <c r="N829" s="1"/>
      <c r="O829" s="1"/>
      <c r="P829" s="1"/>
      <c r="Q829" s="1"/>
      <c r="R829" s="1"/>
      <c r="S829" s="1"/>
      <c r="T829" s="1"/>
      <c r="U829" s="1"/>
      <c r="V829" s="1"/>
      <c r="W829" s="1"/>
      <c r="X829" s="1"/>
      <c r="Y829" s="1"/>
    </row>
    <row r="830" spans="1:25">
      <c r="A830" s="1"/>
      <c r="B830" s="1"/>
      <c r="C830" s="1"/>
      <c r="D830" s="1"/>
      <c r="E830" s="1"/>
      <c r="F830" s="1"/>
      <c r="G830" s="1"/>
      <c r="H830" s="3"/>
      <c r="I830" s="1"/>
      <c r="J830" s="1"/>
      <c r="K830" s="1"/>
      <c r="L830" s="1"/>
      <c r="M830" s="1"/>
      <c r="N830" s="1"/>
      <c r="O830" s="1"/>
      <c r="P830" s="1"/>
      <c r="Q830" s="1"/>
      <c r="R830" s="1"/>
      <c r="S830" s="1"/>
      <c r="T830" s="1"/>
      <c r="U830" s="1"/>
      <c r="V830" s="1"/>
      <c r="W830" s="1"/>
      <c r="X830" s="1"/>
      <c r="Y830" s="1"/>
    </row>
    <row r="831" spans="1:25">
      <c r="A831" s="1"/>
      <c r="B831" s="1"/>
      <c r="C831" s="1"/>
      <c r="D831" s="1"/>
      <c r="E831" s="1"/>
      <c r="F831" s="1"/>
      <c r="G831" s="1"/>
      <c r="H831" s="3"/>
      <c r="I831" s="1"/>
      <c r="J831" s="1"/>
      <c r="K831" s="1"/>
      <c r="L831" s="1"/>
      <c r="M831" s="1"/>
      <c r="N831" s="1"/>
      <c r="O831" s="1"/>
      <c r="P831" s="1"/>
      <c r="Q831" s="1"/>
      <c r="R831" s="1"/>
      <c r="S831" s="1"/>
      <c r="T831" s="1"/>
      <c r="U831" s="1"/>
      <c r="V831" s="1"/>
      <c r="W831" s="1"/>
      <c r="X831" s="1"/>
      <c r="Y831" s="1"/>
    </row>
    <row r="832" spans="1:25">
      <c r="A832" s="1"/>
      <c r="B832" s="1"/>
      <c r="C832" s="1"/>
      <c r="D832" s="1"/>
      <c r="E832" s="1"/>
      <c r="F832" s="1"/>
      <c r="G832" s="1"/>
      <c r="H832" s="3"/>
      <c r="I832" s="1"/>
      <c r="J832" s="1"/>
      <c r="K832" s="1"/>
      <c r="L832" s="1"/>
      <c r="M832" s="1"/>
      <c r="N832" s="1"/>
      <c r="O832" s="1"/>
      <c r="P832" s="1"/>
      <c r="Q832" s="1"/>
      <c r="R832" s="1"/>
      <c r="S832" s="1"/>
      <c r="T832" s="1"/>
      <c r="U832" s="1"/>
      <c r="V832" s="1"/>
      <c r="W832" s="1"/>
      <c r="X832" s="1"/>
      <c r="Y832" s="1"/>
    </row>
    <row r="833" spans="1:25">
      <c r="A833" s="1"/>
      <c r="B833" s="1"/>
      <c r="C833" s="1"/>
      <c r="D833" s="1"/>
      <c r="E833" s="1"/>
      <c r="F833" s="1"/>
      <c r="G833" s="1"/>
      <c r="H833" s="3"/>
      <c r="I833" s="1"/>
      <c r="J833" s="1"/>
      <c r="K833" s="1"/>
      <c r="L833" s="1"/>
      <c r="M833" s="1"/>
      <c r="N833" s="1"/>
      <c r="O833" s="1"/>
      <c r="P833" s="1"/>
      <c r="Q833" s="1"/>
      <c r="R833" s="1"/>
      <c r="S833" s="1"/>
      <c r="T833" s="1"/>
      <c r="U833" s="1"/>
      <c r="V833" s="1"/>
      <c r="W833" s="1"/>
      <c r="X833" s="1"/>
      <c r="Y833" s="1"/>
    </row>
    <row r="834" spans="1:25">
      <c r="A834" s="1"/>
      <c r="B834" s="1"/>
      <c r="C834" s="1"/>
      <c r="D834" s="1"/>
      <c r="E834" s="1"/>
      <c r="F834" s="1"/>
      <c r="G834" s="1"/>
      <c r="H834" s="3"/>
      <c r="I834" s="1"/>
      <c r="J834" s="1"/>
      <c r="K834" s="1"/>
      <c r="L834" s="1"/>
      <c r="M834" s="1"/>
      <c r="N834" s="1"/>
      <c r="O834" s="1"/>
      <c r="P834" s="1"/>
      <c r="Q834" s="1"/>
      <c r="R834" s="1"/>
      <c r="S834" s="1"/>
      <c r="T834" s="1"/>
      <c r="U834" s="1"/>
      <c r="V834" s="1"/>
      <c r="W834" s="1"/>
      <c r="X834" s="1"/>
      <c r="Y834" s="1"/>
    </row>
    <row r="835" spans="1:25">
      <c r="A835" s="1"/>
      <c r="B835" s="1"/>
      <c r="C835" s="1"/>
      <c r="D835" s="1"/>
      <c r="E835" s="1"/>
      <c r="F835" s="1"/>
      <c r="G835" s="1"/>
      <c r="H835" s="3"/>
      <c r="I835" s="1"/>
      <c r="J835" s="1"/>
      <c r="K835" s="1"/>
      <c r="L835" s="1"/>
      <c r="M835" s="1"/>
      <c r="N835" s="1"/>
      <c r="O835" s="1"/>
      <c r="P835" s="1"/>
      <c r="Q835" s="1"/>
      <c r="R835" s="1"/>
      <c r="S835" s="1"/>
      <c r="T835" s="1"/>
      <c r="U835" s="1"/>
      <c r="V835" s="1"/>
      <c r="W835" s="1"/>
      <c r="X835" s="1"/>
      <c r="Y835" s="1"/>
    </row>
    <row r="836" spans="1:25">
      <c r="A836" s="1"/>
      <c r="B836" s="1"/>
      <c r="C836" s="1"/>
      <c r="D836" s="1"/>
      <c r="E836" s="1"/>
      <c r="F836" s="1"/>
      <c r="G836" s="1"/>
      <c r="H836" s="3"/>
      <c r="I836" s="1"/>
      <c r="J836" s="1"/>
      <c r="K836" s="1"/>
      <c r="L836" s="1"/>
      <c r="M836" s="1"/>
      <c r="N836" s="1"/>
      <c r="O836" s="1"/>
      <c r="P836" s="1"/>
      <c r="Q836" s="1"/>
      <c r="R836" s="1"/>
      <c r="S836" s="1"/>
      <c r="T836" s="1"/>
      <c r="U836" s="1"/>
      <c r="V836" s="1"/>
      <c r="W836" s="1"/>
      <c r="X836" s="1"/>
      <c r="Y836" s="1"/>
    </row>
    <row r="837" spans="1:25">
      <c r="A837" s="1"/>
      <c r="B837" s="1"/>
      <c r="C837" s="1"/>
      <c r="D837" s="1"/>
      <c r="E837" s="1"/>
      <c r="F837" s="1"/>
      <c r="G837" s="1"/>
      <c r="H837" s="3"/>
      <c r="I837" s="1"/>
      <c r="J837" s="1"/>
      <c r="K837" s="1"/>
      <c r="L837" s="1"/>
      <c r="M837" s="1"/>
      <c r="N837" s="1"/>
      <c r="O837" s="1"/>
      <c r="P837" s="1"/>
      <c r="Q837" s="1"/>
      <c r="R837" s="1"/>
      <c r="S837" s="1"/>
      <c r="T837" s="1"/>
      <c r="U837" s="1"/>
      <c r="V837" s="1"/>
      <c r="W837" s="1"/>
      <c r="X837" s="1"/>
      <c r="Y837" s="1"/>
    </row>
    <row r="838" spans="1:25">
      <c r="A838" s="1"/>
      <c r="B838" s="1"/>
      <c r="C838" s="1"/>
      <c r="D838" s="1"/>
      <c r="E838" s="1"/>
      <c r="F838" s="1"/>
      <c r="G838" s="1"/>
      <c r="H838" s="3"/>
      <c r="I838" s="1"/>
      <c r="J838" s="1"/>
      <c r="K838" s="1"/>
      <c r="L838" s="1"/>
      <c r="M838" s="1"/>
      <c r="N838" s="1"/>
      <c r="O838" s="1"/>
      <c r="P838" s="1"/>
      <c r="Q838" s="1"/>
      <c r="R838" s="1"/>
      <c r="S838" s="1"/>
      <c r="T838" s="1"/>
      <c r="U838" s="1"/>
      <c r="V838" s="1"/>
      <c r="W838" s="1"/>
      <c r="X838" s="1"/>
      <c r="Y838" s="1"/>
    </row>
    <row r="839" spans="1:25">
      <c r="A839" s="1"/>
      <c r="B839" s="1"/>
      <c r="C839" s="1"/>
      <c r="D839" s="1"/>
      <c r="E839" s="1"/>
      <c r="F839" s="1"/>
      <c r="G839" s="1"/>
      <c r="H839" s="3"/>
      <c r="I839" s="1"/>
      <c r="J839" s="1"/>
      <c r="K839" s="1"/>
      <c r="L839" s="1"/>
      <c r="M839" s="1"/>
      <c r="N839" s="1"/>
      <c r="O839" s="1"/>
      <c r="P839" s="1"/>
      <c r="Q839" s="1"/>
      <c r="R839" s="1"/>
      <c r="S839" s="1"/>
      <c r="T839" s="1"/>
      <c r="U839" s="1"/>
      <c r="V839" s="1"/>
      <c r="W839" s="1"/>
      <c r="X839" s="1"/>
      <c r="Y839" s="1"/>
    </row>
    <row r="840" spans="1:25">
      <c r="A840" s="1"/>
      <c r="B840" s="1"/>
      <c r="C840" s="1"/>
      <c r="D840" s="1"/>
      <c r="E840" s="1"/>
      <c r="F840" s="1"/>
      <c r="G840" s="1"/>
      <c r="H840" s="3"/>
      <c r="I840" s="1"/>
      <c r="J840" s="1"/>
      <c r="K840" s="1"/>
      <c r="L840" s="1"/>
      <c r="M840" s="1"/>
      <c r="N840" s="1"/>
      <c r="O840" s="1"/>
      <c r="P840" s="1"/>
      <c r="Q840" s="1"/>
      <c r="R840" s="1"/>
      <c r="S840" s="1"/>
      <c r="T840" s="1"/>
      <c r="U840" s="1"/>
      <c r="V840" s="1"/>
      <c r="W840" s="1"/>
      <c r="X840" s="1"/>
      <c r="Y840" s="1"/>
    </row>
    <row r="841" spans="1:25">
      <c r="A841" s="1"/>
      <c r="B841" s="1"/>
      <c r="C841" s="1"/>
      <c r="D841" s="1"/>
      <c r="E841" s="1"/>
      <c r="F841" s="1"/>
      <c r="G841" s="1"/>
      <c r="H841" s="3"/>
      <c r="I841" s="1"/>
      <c r="J841" s="1"/>
      <c r="K841" s="1"/>
      <c r="L841" s="1"/>
      <c r="M841" s="1"/>
      <c r="N841" s="1"/>
      <c r="O841" s="1"/>
      <c r="P841" s="1"/>
      <c r="Q841" s="1"/>
      <c r="R841" s="1"/>
      <c r="S841" s="1"/>
      <c r="T841" s="1"/>
      <c r="U841" s="1"/>
      <c r="V841" s="1"/>
      <c r="W841" s="1"/>
      <c r="X841" s="1"/>
      <c r="Y841" s="1"/>
    </row>
    <row r="842" spans="1:25">
      <c r="A842" s="1"/>
      <c r="B842" s="1"/>
      <c r="C842" s="1"/>
      <c r="D842" s="1"/>
      <c r="E842" s="1"/>
      <c r="F842" s="1"/>
      <c r="G842" s="1"/>
      <c r="H842" s="3"/>
      <c r="I842" s="1"/>
      <c r="J842" s="1"/>
      <c r="K842" s="1"/>
      <c r="L842" s="1"/>
      <c r="M842" s="1"/>
      <c r="N842" s="1"/>
      <c r="O842" s="1"/>
      <c r="P842" s="1"/>
      <c r="Q842" s="1"/>
      <c r="R842" s="1"/>
      <c r="S842" s="1"/>
      <c r="T842" s="1"/>
      <c r="U842" s="1"/>
      <c r="V842" s="1"/>
      <c r="W842" s="1"/>
      <c r="X842" s="1"/>
      <c r="Y842" s="1"/>
    </row>
    <row r="843" spans="1:25">
      <c r="A843" s="1"/>
      <c r="B843" s="1"/>
      <c r="C843" s="1"/>
      <c r="D843" s="1"/>
      <c r="E843" s="1"/>
      <c r="F843" s="1"/>
      <c r="G843" s="1"/>
      <c r="H843" s="3"/>
      <c r="I843" s="1"/>
      <c r="J843" s="1"/>
      <c r="K843" s="1"/>
      <c r="L843" s="1"/>
      <c r="M843" s="1"/>
      <c r="N843" s="1"/>
      <c r="O843" s="1"/>
      <c r="P843" s="1"/>
      <c r="Q843" s="1"/>
      <c r="R843" s="1"/>
      <c r="S843" s="1"/>
      <c r="T843" s="1"/>
      <c r="U843" s="1"/>
      <c r="V843" s="1"/>
      <c r="W843" s="1"/>
      <c r="X843" s="1"/>
      <c r="Y843" s="1"/>
    </row>
    <row r="844" spans="1:25">
      <c r="A844" s="1"/>
      <c r="B844" s="1"/>
      <c r="C844" s="1"/>
      <c r="D844" s="1"/>
      <c r="E844" s="1"/>
      <c r="F844" s="1"/>
      <c r="G844" s="1"/>
      <c r="H844" s="3"/>
      <c r="I844" s="1"/>
      <c r="J844" s="1"/>
      <c r="K844" s="1"/>
      <c r="L844" s="1"/>
      <c r="M844" s="1"/>
      <c r="N844" s="1"/>
      <c r="O844" s="1"/>
      <c r="P844" s="1"/>
      <c r="Q844" s="1"/>
      <c r="R844" s="1"/>
      <c r="S844" s="1"/>
      <c r="T844" s="1"/>
      <c r="U844" s="1"/>
      <c r="V844" s="1"/>
      <c r="W844" s="1"/>
      <c r="X844" s="1"/>
      <c r="Y844" s="1"/>
    </row>
    <row r="845" spans="1:25">
      <c r="A845" s="1"/>
      <c r="B845" s="1"/>
      <c r="C845" s="1"/>
      <c r="D845" s="1"/>
      <c r="E845" s="1"/>
      <c r="F845" s="1"/>
      <c r="G845" s="1"/>
      <c r="H845" s="3"/>
      <c r="I845" s="1"/>
      <c r="J845" s="1"/>
      <c r="K845" s="1"/>
      <c r="L845" s="1"/>
      <c r="M845" s="1"/>
      <c r="N845" s="1"/>
      <c r="O845" s="1"/>
      <c r="P845" s="1"/>
      <c r="Q845" s="1"/>
      <c r="R845" s="1"/>
      <c r="S845" s="1"/>
      <c r="T845" s="1"/>
      <c r="U845" s="1"/>
      <c r="V845" s="1"/>
      <c r="W845" s="1"/>
      <c r="X845" s="1"/>
      <c r="Y845" s="1"/>
    </row>
    <row r="846" spans="1:25">
      <c r="A846" s="1"/>
      <c r="B846" s="1"/>
      <c r="C846" s="1"/>
      <c r="D846" s="1"/>
      <c r="E846" s="1"/>
      <c r="F846" s="1"/>
      <c r="G846" s="1"/>
      <c r="H846" s="3"/>
      <c r="I846" s="1"/>
      <c r="J846" s="1"/>
      <c r="K846" s="1"/>
      <c r="L846" s="1"/>
      <c r="M846" s="1"/>
      <c r="N846" s="1"/>
      <c r="O846" s="1"/>
      <c r="P846" s="1"/>
      <c r="Q846" s="1"/>
      <c r="R846" s="1"/>
      <c r="S846" s="1"/>
      <c r="T846" s="1"/>
      <c r="U846" s="1"/>
      <c r="V846" s="1"/>
      <c r="W846" s="1"/>
      <c r="X846" s="1"/>
      <c r="Y846" s="1"/>
    </row>
    <row r="847" spans="1:25">
      <c r="A847" s="1"/>
      <c r="B847" s="1"/>
      <c r="C847" s="1"/>
      <c r="D847" s="1"/>
      <c r="E847" s="1"/>
      <c r="F847" s="1"/>
      <c r="G847" s="1"/>
      <c r="H847" s="3"/>
      <c r="I847" s="1"/>
      <c r="J847" s="1"/>
      <c r="K847" s="1"/>
      <c r="L847" s="1"/>
      <c r="M847" s="1"/>
      <c r="N847" s="1"/>
      <c r="O847" s="1"/>
      <c r="P847" s="1"/>
      <c r="Q847" s="1"/>
      <c r="R847" s="1"/>
      <c r="S847" s="1"/>
      <c r="T847" s="1"/>
      <c r="U847" s="1"/>
      <c r="V847" s="1"/>
      <c r="W847" s="1"/>
      <c r="X847" s="1"/>
      <c r="Y847" s="1"/>
    </row>
    <row r="848" spans="1:25">
      <c r="A848" s="1"/>
      <c r="B848" s="1"/>
      <c r="C848" s="1"/>
      <c r="D848" s="1"/>
      <c r="E848" s="1"/>
      <c r="F848" s="1"/>
      <c r="G848" s="1"/>
      <c r="H848" s="3"/>
      <c r="I848" s="1"/>
      <c r="J848" s="1"/>
      <c r="K848" s="1"/>
      <c r="L848" s="1"/>
      <c r="M848" s="1"/>
      <c r="N848" s="1"/>
      <c r="O848" s="1"/>
      <c r="P848" s="1"/>
      <c r="Q848" s="1"/>
      <c r="R848" s="1"/>
      <c r="S848" s="1"/>
      <c r="T848" s="1"/>
      <c r="U848" s="1"/>
      <c r="V848" s="1"/>
      <c r="W848" s="1"/>
      <c r="X848" s="1"/>
      <c r="Y848" s="1"/>
    </row>
    <row r="849" spans="1:25">
      <c r="A849" s="1"/>
      <c r="B849" s="1"/>
      <c r="C849" s="1"/>
      <c r="D849" s="1"/>
      <c r="E849" s="1"/>
      <c r="F849" s="1"/>
      <c r="G849" s="1"/>
      <c r="H849" s="3"/>
      <c r="I849" s="1"/>
      <c r="J849" s="1"/>
      <c r="K849" s="1"/>
      <c r="L849" s="1"/>
      <c r="M849" s="1"/>
      <c r="N849" s="1"/>
      <c r="O849" s="1"/>
      <c r="P849" s="1"/>
      <c r="Q849" s="1"/>
      <c r="R849" s="1"/>
      <c r="S849" s="1"/>
      <c r="T849" s="1"/>
      <c r="U849" s="1"/>
      <c r="V849" s="1"/>
      <c r="W849" s="1"/>
      <c r="X849" s="1"/>
      <c r="Y849" s="1"/>
    </row>
    <row r="850" spans="1:25">
      <c r="A850" s="1"/>
      <c r="B850" s="1"/>
      <c r="C850" s="1"/>
      <c r="D850" s="1"/>
      <c r="E850" s="1"/>
      <c r="F850" s="1"/>
      <c r="G850" s="1"/>
      <c r="H850" s="3"/>
      <c r="I850" s="1"/>
      <c r="J850" s="1"/>
      <c r="K850" s="1"/>
      <c r="L850" s="1"/>
      <c r="M850" s="1"/>
      <c r="N850" s="1"/>
      <c r="O850" s="1"/>
      <c r="P850" s="1"/>
      <c r="Q850" s="1"/>
      <c r="R850" s="1"/>
      <c r="S850" s="1"/>
      <c r="T850" s="1"/>
      <c r="U850" s="1"/>
      <c r="V850" s="1"/>
      <c r="W850" s="1"/>
      <c r="X850" s="1"/>
      <c r="Y850" s="1"/>
    </row>
    <row r="851" spans="1:25">
      <c r="A851" s="1"/>
      <c r="B851" s="1"/>
      <c r="C851" s="1"/>
      <c r="D851" s="1"/>
      <c r="E851" s="1"/>
      <c r="F851" s="1"/>
      <c r="G851" s="1"/>
      <c r="H851" s="3"/>
      <c r="I851" s="1"/>
      <c r="J851" s="1"/>
      <c r="K851" s="1"/>
      <c r="L851" s="1"/>
      <c r="M851" s="1"/>
      <c r="N851" s="1"/>
      <c r="O851" s="1"/>
      <c r="P851" s="1"/>
      <c r="Q851" s="1"/>
      <c r="R851" s="1"/>
      <c r="S851" s="1"/>
      <c r="T851" s="1"/>
      <c r="U851" s="1"/>
      <c r="V851" s="1"/>
      <c r="W851" s="1"/>
      <c r="X851" s="1"/>
      <c r="Y851" s="1"/>
    </row>
    <row r="852" spans="1:25">
      <c r="A852" s="1"/>
      <c r="B852" s="1"/>
      <c r="C852" s="1"/>
      <c r="D852" s="1"/>
      <c r="E852" s="1"/>
      <c r="F852" s="1"/>
      <c r="G852" s="1"/>
      <c r="H852" s="3"/>
      <c r="I852" s="1"/>
      <c r="J852" s="1"/>
      <c r="K852" s="1"/>
      <c r="L852" s="1"/>
      <c r="M852" s="1"/>
      <c r="N852" s="1"/>
      <c r="O852" s="1"/>
      <c r="P852" s="1"/>
      <c r="Q852" s="1"/>
      <c r="R852" s="1"/>
      <c r="S852" s="1"/>
      <c r="T852" s="1"/>
      <c r="U852" s="1"/>
      <c r="V852" s="1"/>
      <c r="W852" s="1"/>
      <c r="X852" s="1"/>
      <c r="Y852" s="1"/>
    </row>
    <row r="853" spans="1:25">
      <c r="A853" s="1"/>
      <c r="B853" s="1"/>
      <c r="C853" s="1"/>
      <c r="D853" s="1"/>
      <c r="E853" s="1"/>
      <c r="F853" s="1"/>
      <c r="G853" s="1"/>
      <c r="H853" s="3"/>
      <c r="I853" s="1"/>
      <c r="J853" s="1"/>
      <c r="K853" s="1"/>
      <c r="L853" s="1"/>
      <c r="M853" s="1"/>
      <c r="N853" s="1"/>
      <c r="O853" s="1"/>
      <c r="P853" s="1"/>
      <c r="Q853" s="1"/>
      <c r="R853" s="1"/>
      <c r="S853" s="1"/>
      <c r="T853" s="1"/>
      <c r="U853" s="1"/>
      <c r="V853" s="1"/>
      <c r="W853" s="1"/>
      <c r="X853" s="1"/>
      <c r="Y853" s="1"/>
    </row>
    <row r="854" spans="1:25">
      <c r="A854" s="1"/>
      <c r="B854" s="1"/>
      <c r="C854" s="1"/>
      <c r="D854" s="1"/>
      <c r="E854" s="1"/>
      <c r="F854" s="1"/>
      <c r="G854" s="1"/>
      <c r="H854" s="3"/>
      <c r="I854" s="1"/>
      <c r="J854" s="1"/>
      <c r="K854" s="1"/>
      <c r="L854" s="1"/>
      <c r="M854" s="1"/>
      <c r="N854" s="1"/>
      <c r="O854" s="1"/>
      <c r="P854" s="1"/>
      <c r="Q854" s="1"/>
      <c r="R854" s="1"/>
      <c r="S854" s="1"/>
      <c r="T854" s="1"/>
      <c r="U854" s="1"/>
      <c r="V854" s="1"/>
      <c r="W854" s="1"/>
      <c r="X854" s="1"/>
      <c r="Y854" s="1"/>
    </row>
    <row r="855" spans="1:25">
      <c r="A855" s="1"/>
      <c r="B855" s="1"/>
      <c r="C855" s="1"/>
      <c r="D855" s="1"/>
      <c r="E855" s="1"/>
      <c r="F855" s="1"/>
      <c r="G855" s="1"/>
      <c r="H855" s="3"/>
      <c r="I855" s="1"/>
      <c r="J855" s="1"/>
      <c r="K855" s="1"/>
      <c r="L855" s="1"/>
      <c r="M855" s="1"/>
      <c r="N855" s="1"/>
      <c r="O855" s="1"/>
      <c r="P855" s="1"/>
      <c r="Q855" s="1"/>
      <c r="R855" s="1"/>
      <c r="S855" s="1"/>
      <c r="T855" s="1"/>
      <c r="U855" s="1"/>
      <c r="V855" s="1"/>
      <c r="W855" s="1"/>
      <c r="X855" s="1"/>
      <c r="Y855" s="1"/>
    </row>
    <row r="856" spans="1:25">
      <c r="A856" s="1"/>
      <c r="B856" s="1"/>
      <c r="C856" s="1"/>
      <c r="D856" s="1"/>
      <c r="E856" s="1"/>
      <c r="F856" s="1"/>
      <c r="G856" s="1"/>
      <c r="H856" s="3"/>
      <c r="I856" s="1"/>
      <c r="J856" s="1"/>
      <c r="K856" s="1"/>
      <c r="L856" s="1"/>
      <c r="M856" s="1"/>
      <c r="N856" s="1"/>
      <c r="O856" s="1"/>
      <c r="P856" s="1"/>
      <c r="Q856" s="1"/>
      <c r="R856" s="1"/>
      <c r="S856" s="1"/>
      <c r="T856" s="1"/>
      <c r="U856" s="1"/>
      <c r="V856" s="1"/>
      <c r="W856" s="1"/>
      <c r="X856" s="1"/>
      <c r="Y856" s="1"/>
    </row>
    <row r="857" spans="1:25">
      <c r="A857" s="1"/>
      <c r="B857" s="1"/>
      <c r="C857" s="1"/>
      <c r="D857" s="1"/>
      <c r="E857" s="1"/>
      <c r="F857" s="1"/>
      <c r="G857" s="1"/>
      <c r="H857" s="3"/>
      <c r="I857" s="1"/>
      <c r="J857" s="1"/>
      <c r="K857" s="1"/>
      <c r="L857" s="1"/>
      <c r="M857" s="1"/>
      <c r="N857" s="1"/>
      <c r="O857" s="1"/>
      <c r="P857" s="1"/>
      <c r="Q857" s="1"/>
      <c r="R857" s="1"/>
      <c r="S857" s="1"/>
      <c r="T857" s="1"/>
      <c r="U857" s="1"/>
      <c r="V857" s="1"/>
      <c r="W857" s="1"/>
      <c r="X857" s="1"/>
      <c r="Y857" s="1"/>
    </row>
    <row r="858" spans="1:25">
      <c r="A858" s="1"/>
      <c r="B858" s="1"/>
      <c r="C858" s="1"/>
      <c r="D858" s="1"/>
      <c r="E858" s="1"/>
      <c r="F858" s="1"/>
      <c r="G858" s="1"/>
      <c r="H858" s="3"/>
      <c r="I858" s="1"/>
      <c r="J858" s="1"/>
      <c r="K858" s="1"/>
      <c r="L858" s="1"/>
      <c r="M858" s="1"/>
      <c r="N858" s="1"/>
      <c r="O858" s="1"/>
      <c r="P858" s="1"/>
      <c r="Q858" s="1"/>
      <c r="R858" s="1"/>
      <c r="S858" s="1"/>
      <c r="T858" s="1"/>
      <c r="U858" s="1"/>
      <c r="V858" s="1"/>
      <c r="W858" s="1"/>
      <c r="X858" s="1"/>
      <c r="Y858" s="1"/>
    </row>
    <row r="859" spans="1:25">
      <c r="A859" s="1"/>
      <c r="B859" s="1"/>
      <c r="C859" s="1"/>
      <c r="D859" s="1"/>
      <c r="E859" s="1"/>
      <c r="F859" s="1"/>
      <c r="G859" s="1"/>
      <c r="H859" s="3"/>
      <c r="I859" s="1"/>
      <c r="J859" s="1"/>
      <c r="K859" s="1"/>
      <c r="L859" s="1"/>
      <c r="M859" s="1"/>
      <c r="N859" s="1"/>
      <c r="O859" s="1"/>
      <c r="P859" s="1"/>
      <c r="Q859" s="1"/>
      <c r="R859" s="1"/>
      <c r="S859" s="1"/>
      <c r="T859" s="1"/>
      <c r="U859" s="1"/>
      <c r="V859" s="1"/>
      <c r="W859" s="1"/>
      <c r="X859" s="1"/>
      <c r="Y859" s="1"/>
    </row>
    <row r="860" spans="1:25">
      <c r="A860" s="1"/>
      <c r="B860" s="1"/>
      <c r="C860" s="1"/>
      <c r="D860" s="1"/>
      <c r="E860" s="1"/>
      <c r="F860" s="1"/>
      <c r="G860" s="1"/>
      <c r="H860" s="3"/>
      <c r="I860" s="1"/>
      <c r="J860" s="1"/>
      <c r="K860" s="1"/>
      <c r="L860" s="1"/>
      <c r="M860" s="1"/>
      <c r="N860" s="1"/>
      <c r="O860" s="1"/>
      <c r="P860" s="1"/>
      <c r="Q860" s="1"/>
      <c r="R860" s="1"/>
      <c r="S860" s="1"/>
      <c r="T860" s="1"/>
      <c r="U860" s="1"/>
      <c r="V860" s="1"/>
      <c r="W860" s="1"/>
      <c r="X860" s="1"/>
      <c r="Y860" s="1"/>
    </row>
    <row r="861" spans="1:25">
      <c r="A861" s="1"/>
      <c r="B861" s="1"/>
      <c r="C861" s="1"/>
      <c r="D861" s="1"/>
      <c r="E861" s="1"/>
      <c r="F861" s="1"/>
      <c r="G861" s="1"/>
      <c r="H861" s="3"/>
      <c r="I861" s="1"/>
      <c r="J861" s="1"/>
      <c r="K861" s="1"/>
      <c r="L861" s="1"/>
      <c r="M861" s="1"/>
      <c r="N861" s="1"/>
      <c r="O861" s="1"/>
      <c r="P861" s="1"/>
      <c r="Q861" s="1"/>
      <c r="R861" s="1"/>
      <c r="S861" s="1"/>
      <c r="T861" s="1"/>
      <c r="U861" s="1"/>
      <c r="V861" s="1"/>
      <c r="W861" s="1"/>
      <c r="X861" s="1"/>
      <c r="Y861" s="1"/>
    </row>
    <row r="862" spans="1:25">
      <c r="A862" s="1"/>
      <c r="B862" s="1"/>
      <c r="C862" s="1"/>
      <c r="D862" s="1"/>
      <c r="E862" s="1"/>
      <c r="F862" s="1"/>
      <c r="G862" s="1"/>
      <c r="H862" s="3"/>
      <c r="I862" s="1"/>
      <c r="J862" s="1"/>
      <c r="K862" s="1"/>
      <c r="L862" s="1"/>
      <c r="M862" s="1"/>
      <c r="N862" s="1"/>
      <c r="O862" s="1"/>
      <c r="P862" s="1"/>
      <c r="Q862" s="1"/>
      <c r="R862" s="1"/>
      <c r="S862" s="1"/>
      <c r="T862" s="1"/>
      <c r="U862" s="1"/>
      <c r="V862" s="1"/>
      <c r="W862" s="1"/>
      <c r="X862" s="1"/>
      <c r="Y862" s="1"/>
    </row>
    <row r="863" spans="1:25">
      <c r="A863" s="1"/>
      <c r="B863" s="1"/>
      <c r="C863" s="1"/>
      <c r="D863" s="1"/>
      <c r="E863" s="1"/>
      <c r="F863" s="1"/>
      <c r="G863" s="1"/>
      <c r="H863" s="3"/>
      <c r="I863" s="1"/>
      <c r="J863" s="1"/>
      <c r="K863" s="1"/>
      <c r="L863" s="1"/>
      <c r="M863" s="1"/>
      <c r="N863" s="1"/>
      <c r="O863" s="1"/>
      <c r="P863" s="1"/>
      <c r="Q863" s="1"/>
      <c r="R863" s="1"/>
      <c r="S863" s="1"/>
      <c r="T863" s="1"/>
      <c r="U863" s="1"/>
      <c r="V863" s="1"/>
      <c r="W863" s="1"/>
      <c r="X863" s="1"/>
      <c r="Y863" s="1"/>
    </row>
    <row r="864" spans="1:25">
      <c r="A864" s="1"/>
      <c r="B864" s="1"/>
      <c r="C864" s="1"/>
      <c r="D864" s="1"/>
      <c r="E864" s="1"/>
      <c r="F864" s="1"/>
      <c r="G864" s="1"/>
      <c r="H864" s="3"/>
      <c r="I864" s="1"/>
      <c r="J864" s="1"/>
      <c r="K864" s="1"/>
      <c r="L864" s="1"/>
      <c r="M864" s="1"/>
      <c r="N864" s="1"/>
      <c r="O864" s="1"/>
      <c r="P864" s="1"/>
      <c r="Q864" s="1"/>
      <c r="R864" s="1"/>
      <c r="S864" s="1"/>
      <c r="T864" s="1"/>
      <c r="U864" s="1"/>
      <c r="V864" s="1"/>
      <c r="W864" s="1"/>
      <c r="X864" s="1"/>
      <c r="Y864" s="1"/>
    </row>
    <row r="865" spans="1:25">
      <c r="A865" s="1"/>
      <c r="B865" s="1"/>
      <c r="C865" s="1"/>
      <c r="D865" s="1"/>
      <c r="E865" s="1"/>
      <c r="F865" s="1"/>
      <c r="G865" s="1"/>
      <c r="H865" s="3"/>
      <c r="I865" s="1"/>
      <c r="J865" s="1"/>
      <c r="K865" s="1"/>
      <c r="L865" s="1"/>
      <c r="M865" s="1"/>
      <c r="N865" s="1"/>
      <c r="O865" s="1"/>
      <c r="P865" s="1"/>
      <c r="Q865" s="1"/>
      <c r="R865" s="1"/>
      <c r="S865" s="1"/>
      <c r="T865" s="1"/>
      <c r="U865" s="1"/>
      <c r="V865" s="1"/>
      <c r="W865" s="1"/>
      <c r="X865" s="1"/>
      <c r="Y865" s="1"/>
    </row>
    <row r="866" spans="1:25">
      <c r="A866" s="1"/>
      <c r="B866" s="1"/>
      <c r="C866" s="1"/>
      <c r="D866" s="1"/>
      <c r="E866" s="1"/>
      <c r="F866" s="1"/>
      <c r="G866" s="1"/>
      <c r="H866" s="3"/>
      <c r="I866" s="1"/>
      <c r="J866" s="1"/>
      <c r="K866" s="1"/>
      <c r="L866" s="1"/>
      <c r="M866" s="1"/>
      <c r="N866" s="1"/>
      <c r="O866" s="1"/>
      <c r="P866" s="1"/>
      <c r="Q866" s="1"/>
      <c r="R866" s="1"/>
      <c r="S866" s="1"/>
      <c r="T866" s="1"/>
      <c r="U866" s="1"/>
      <c r="V866" s="1"/>
      <c r="W866" s="1"/>
      <c r="X866" s="1"/>
      <c r="Y866" s="1"/>
    </row>
    <row r="867" spans="1:25">
      <c r="A867" s="1"/>
      <c r="B867" s="1"/>
      <c r="C867" s="1"/>
      <c r="D867" s="1"/>
      <c r="E867" s="1"/>
      <c r="F867" s="1"/>
      <c r="G867" s="1"/>
      <c r="H867" s="3"/>
      <c r="I867" s="1"/>
      <c r="J867" s="1"/>
      <c r="K867" s="1"/>
      <c r="L867" s="1"/>
      <c r="M867" s="1"/>
      <c r="N867" s="1"/>
      <c r="O867" s="1"/>
      <c r="P867" s="1"/>
      <c r="Q867" s="1"/>
      <c r="R867" s="1"/>
      <c r="S867" s="1"/>
      <c r="T867" s="1"/>
      <c r="U867" s="1"/>
      <c r="V867" s="1"/>
      <c r="W867" s="1"/>
      <c r="X867" s="1"/>
      <c r="Y867" s="1"/>
    </row>
    <row r="868" spans="1:25">
      <c r="A868" s="1"/>
      <c r="B868" s="1"/>
      <c r="C868" s="1"/>
      <c r="D868" s="1"/>
      <c r="E868" s="1"/>
      <c r="F868" s="1"/>
      <c r="G868" s="1"/>
      <c r="H868" s="3"/>
      <c r="I868" s="1"/>
      <c r="J868" s="1"/>
      <c r="K868" s="1"/>
      <c r="L868" s="1"/>
      <c r="M868" s="1"/>
      <c r="N868" s="1"/>
      <c r="O868" s="1"/>
      <c r="P868" s="1"/>
      <c r="Q868" s="1"/>
      <c r="R868" s="1"/>
      <c r="S868" s="1"/>
      <c r="T868" s="1"/>
      <c r="U868" s="1"/>
      <c r="V868" s="1"/>
      <c r="W868" s="1"/>
      <c r="X868" s="1"/>
      <c r="Y868" s="1"/>
    </row>
    <row r="869" spans="1:25">
      <c r="A869" s="1"/>
      <c r="B869" s="1"/>
      <c r="C869" s="1"/>
      <c r="D869" s="1"/>
      <c r="E869" s="1"/>
      <c r="F869" s="1"/>
      <c r="G869" s="1"/>
      <c r="H869" s="3"/>
      <c r="I869" s="1"/>
      <c r="J869" s="1"/>
      <c r="K869" s="1"/>
      <c r="L869" s="1"/>
      <c r="M869" s="1"/>
      <c r="N869" s="1"/>
      <c r="O869" s="1"/>
      <c r="P869" s="1"/>
      <c r="Q869" s="1"/>
      <c r="R869" s="1"/>
      <c r="S869" s="1"/>
      <c r="T869" s="1"/>
      <c r="U869" s="1"/>
      <c r="V869" s="1"/>
      <c r="W869" s="1"/>
      <c r="X869" s="1"/>
      <c r="Y869" s="1"/>
    </row>
    <row r="870" spans="1:25">
      <c r="A870" s="1"/>
      <c r="B870" s="1"/>
      <c r="C870" s="1"/>
      <c r="D870" s="1"/>
      <c r="E870" s="1"/>
      <c r="F870" s="1"/>
      <c r="G870" s="1"/>
      <c r="H870" s="3"/>
      <c r="I870" s="1"/>
      <c r="J870" s="1"/>
      <c r="K870" s="1"/>
      <c r="L870" s="1"/>
      <c r="M870" s="1"/>
      <c r="N870" s="1"/>
      <c r="O870" s="1"/>
      <c r="P870" s="1"/>
      <c r="Q870" s="1"/>
      <c r="R870" s="1"/>
      <c r="S870" s="1"/>
      <c r="T870" s="1"/>
      <c r="U870" s="1"/>
      <c r="V870" s="1"/>
      <c r="W870" s="1"/>
      <c r="X870" s="1"/>
      <c r="Y870" s="1"/>
    </row>
    <row r="871" spans="1:25">
      <c r="A871" s="1"/>
      <c r="B871" s="1"/>
      <c r="C871" s="1"/>
      <c r="D871" s="1"/>
      <c r="E871" s="1"/>
      <c r="F871" s="1"/>
      <c r="G871" s="1"/>
      <c r="H871" s="3"/>
      <c r="I871" s="1"/>
      <c r="J871" s="1"/>
      <c r="K871" s="1"/>
      <c r="L871" s="1"/>
      <c r="M871" s="1"/>
      <c r="N871" s="1"/>
      <c r="O871" s="1"/>
      <c r="P871" s="1"/>
      <c r="Q871" s="1"/>
      <c r="R871" s="1"/>
      <c r="S871" s="1"/>
      <c r="T871" s="1"/>
      <c r="U871" s="1"/>
      <c r="V871" s="1"/>
      <c r="W871" s="1"/>
      <c r="X871" s="1"/>
      <c r="Y871" s="1"/>
    </row>
    <row r="872" spans="1:25">
      <c r="A872" s="1"/>
      <c r="B872" s="1"/>
      <c r="C872" s="1"/>
      <c r="D872" s="1"/>
      <c r="E872" s="1"/>
      <c r="F872" s="1"/>
      <c r="G872" s="1"/>
      <c r="H872" s="3"/>
      <c r="I872" s="1"/>
      <c r="J872" s="1"/>
      <c r="K872" s="1"/>
      <c r="L872" s="1"/>
      <c r="M872" s="1"/>
      <c r="N872" s="1"/>
      <c r="O872" s="1"/>
      <c r="P872" s="1"/>
      <c r="Q872" s="1"/>
      <c r="R872" s="1"/>
      <c r="S872" s="1"/>
      <c r="T872" s="1"/>
      <c r="U872" s="1"/>
      <c r="V872" s="1"/>
      <c r="W872" s="1"/>
      <c r="X872" s="1"/>
      <c r="Y872" s="1"/>
    </row>
    <row r="873" spans="1:25">
      <c r="A873" s="1"/>
      <c r="B873" s="1"/>
      <c r="C873" s="1"/>
      <c r="D873" s="1"/>
      <c r="E873" s="1"/>
      <c r="F873" s="1"/>
      <c r="G873" s="1"/>
      <c r="H873" s="3"/>
      <c r="I873" s="1"/>
      <c r="J873" s="1"/>
      <c r="K873" s="1"/>
      <c r="L873" s="1"/>
      <c r="M873" s="1"/>
      <c r="N873" s="1"/>
      <c r="O873" s="1"/>
      <c r="P873" s="1"/>
      <c r="Q873" s="1"/>
      <c r="R873" s="1"/>
      <c r="S873" s="1"/>
      <c r="T873" s="1"/>
      <c r="U873" s="1"/>
      <c r="V873" s="1"/>
      <c r="W873" s="1"/>
      <c r="X873" s="1"/>
      <c r="Y873" s="1"/>
    </row>
    <row r="874" spans="1:25">
      <c r="A874" s="1"/>
      <c r="B874" s="1"/>
      <c r="C874" s="1"/>
      <c r="D874" s="1"/>
      <c r="E874" s="1"/>
      <c r="F874" s="1"/>
      <c r="G874" s="1"/>
      <c r="H874" s="3"/>
      <c r="I874" s="1"/>
      <c r="J874" s="1"/>
      <c r="K874" s="1"/>
      <c r="L874" s="1"/>
      <c r="M874" s="1"/>
      <c r="N874" s="1"/>
      <c r="O874" s="1"/>
      <c r="P874" s="1"/>
      <c r="Q874" s="1"/>
      <c r="R874" s="1"/>
      <c r="S874" s="1"/>
      <c r="T874" s="1"/>
      <c r="U874" s="1"/>
      <c r="V874" s="1"/>
      <c r="W874" s="1"/>
      <c r="X874" s="1"/>
      <c r="Y874" s="1"/>
    </row>
    <row r="875" spans="1:25">
      <c r="A875" s="1"/>
      <c r="B875" s="1"/>
      <c r="C875" s="1"/>
      <c r="D875" s="1"/>
      <c r="E875" s="1"/>
      <c r="F875" s="1"/>
      <c r="G875" s="1"/>
      <c r="H875" s="3"/>
      <c r="I875" s="1"/>
      <c r="J875" s="1"/>
      <c r="K875" s="1"/>
      <c r="L875" s="1"/>
      <c r="M875" s="1"/>
      <c r="N875" s="1"/>
      <c r="O875" s="1"/>
      <c r="P875" s="1"/>
      <c r="Q875" s="1"/>
      <c r="R875" s="1"/>
      <c r="S875" s="1"/>
      <c r="T875" s="1"/>
      <c r="U875" s="1"/>
      <c r="V875" s="1"/>
      <c r="W875" s="1"/>
      <c r="X875" s="1"/>
      <c r="Y875" s="1"/>
    </row>
    <row r="876" spans="1:25">
      <c r="A876" s="1"/>
      <c r="B876" s="1"/>
      <c r="C876" s="1"/>
      <c r="D876" s="1"/>
      <c r="E876" s="1"/>
      <c r="F876" s="1"/>
      <c r="G876" s="1"/>
      <c r="H876" s="3"/>
      <c r="I876" s="1"/>
      <c r="J876" s="1"/>
      <c r="K876" s="1"/>
      <c r="L876" s="1"/>
      <c r="M876" s="1"/>
      <c r="N876" s="1"/>
      <c r="O876" s="1"/>
      <c r="P876" s="1"/>
      <c r="Q876" s="1"/>
      <c r="R876" s="1"/>
      <c r="S876" s="1"/>
      <c r="T876" s="1"/>
      <c r="U876" s="1"/>
      <c r="V876" s="1"/>
      <c r="W876" s="1"/>
      <c r="X876" s="1"/>
      <c r="Y876" s="1"/>
    </row>
    <row r="877" spans="1:25">
      <c r="A877" s="1"/>
      <c r="B877" s="1"/>
      <c r="C877" s="1"/>
      <c r="D877" s="1"/>
      <c r="E877" s="1"/>
      <c r="F877" s="1"/>
      <c r="G877" s="1"/>
      <c r="H877" s="3"/>
      <c r="I877" s="1"/>
      <c r="J877" s="1"/>
      <c r="K877" s="1"/>
      <c r="L877" s="1"/>
      <c r="M877" s="1"/>
      <c r="N877" s="1"/>
      <c r="O877" s="1"/>
      <c r="P877" s="1"/>
      <c r="Q877" s="1"/>
      <c r="R877" s="1"/>
      <c r="S877" s="1"/>
      <c r="T877" s="1"/>
      <c r="U877" s="1"/>
      <c r="V877" s="1"/>
      <c r="W877" s="1"/>
      <c r="X877" s="1"/>
      <c r="Y877" s="1"/>
    </row>
    <row r="878" spans="1:25">
      <c r="A878" s="1"/>
      <c r="B878" s="1"/>
      <c r="C878" s="1"/>
      <c r="D878" s="1"/>
      <c r="E878" s="1"/>
      <c r="F878" s="1"/>
      <c r="G878" s="1"/>
      <c r="H878" s="3"/>
      <c r="I878" s="1"/>
      <c r="J878" s="1"/>
      <c r="K878" s="1"/>
      <c r="L878" s="1"/>
      <c r="M878" s="1"/>
      <c r="N878" s="1"/>
      <c r="O878" s="1"/>
      <c r="P878" s="1"/>
      <c r="Q878" s="1"/>
      <c r="R878" s="1"/>
      <c r="S878" s="1"/>
      <c r="T878" s="1"/>
      <c r="U878" s="1"/>
      <c r="V878" s="1"/>
      <c r="W878" s="1"/>
      <c r="X878" s="1"/>
      <c r="Y878" s="1"/>
    </row>
    <row r="879" spans="1:25">
      <c r="A879" s="1"/>
      <c r="B879" s="1"/>
      <c r="C879" s="1"/>
      <c r="D879" s="1"/>
      <c r="E879" s="1"/>
      <c r="F879" s="1"/>
      <c r="G879" s="1"/>
      <c r="H879" s="3"/>
      <c r="I879" s="1"/>
      <c r="J879" s="1"/>
      <c r="K879" s="1"/>
      <c r="L879" s="1"/>
      <c r="M879" s="1"/>
      <c r="N879" s="1"/>
      <c r="O879" s="1"/>
      <c r="P879" s="1"/>
      <c r="Q879" s="1"/>
      <c r="R879" s="1"/>
      <c r="S879" s="1"/>
      <c r="T879" s="1"/>
      <c r="U879" s="1"/>
      <c r="V879" s="1"/>
      <c r="W879" s="1"/>
      <c r="X879" s="1"/>
      <c r="Y879" s="1"/>
    </row>
    <row r="880" spans="1:25">
      <c r="A880" s="1"/>
      <c r="B880" s="1"/>
      <c r="C880" s="1"/>
      <c r="D880" s="1"/>
      <c r="E880" s="1"/>
      <c r="F880" s="1"/>
      <c r="G880" s="1"/>
      <c r="H880" s="3"/>
      <c r="I880" s="1"/>
      <c r="J880" s="1"/>
      <c r="K880" s="1"/>
      <c r="L880" s="1"/>
      <c r="M880" s="1"/>
      <c r="N880" s="1"/>
      <c r="O880" s="1"/>
      <c r="P880" s="1"/>
      <c r="Q880" s="1"/>
      <c r="R880" s="1"/>
      <c r="S880" s="1"/>
      <c r="T880" s="1"/>
      <c r="U880" s="1"/>
      <c r="V880" s="1"/>
      <c r="W880" s="1"/>
      <c r="X880" s="1"/>
      <c r="Y880" s="1"/>
    </row>
    <row r="881" spans="1:25">
      <c r="A881" s="1"/>
      <c r="B881" s="1"/>
      <c r="C881" s="1"/>
      <c r="D881" s="1"/>
      <c r="E881" s="1"/>
      <c r="F881" s="1"/>
      <c r="G881" s="1"/>
      <c r="H881" s="3"/>
      <c r="I881" s="1"/>
      <c r="J881" s="1"/>
      <c r="K881" s="1"/>
      <c r="L881" s="1"/>
      <c r="M881" s="1"/>
      <c r="N881" s="1"/>
      <c r="O881" s="1"/>
      <c r="P881" s="1"/>
      <c r="Q881" s="1"/>
      <c r="R881" s="1"/>
      <c r="S881" s="1"/>
      <c r="T881" s="1"/>
      <c r="U881" s="1"/>
      <c r="V881" s="1"/>
      <c r="W881" s="1"/>
      <c r="X881" s="1"/>
      <c r="Y881" s="1"/>
    </row>
    <row r="882" spans="1:25">
      <c r="A882" s="1"/>
      <c r="B882" s="1"/>
      <c r="C882" s="1"/>
      <c r="D882" s="1"/>
      <c r="E882" s="1"/>
      <c r="F882" s="1"/>
      <c r="G882" s="1"/>
      <c r="H882" s="3"/>
      <c r="I882" s="1"/>
      <c r="J882" s="1"/>
      <c r="K882" s="1"/>
      <c r="L882" s="1"/>
      <c r="M882" s="1"/>
      <c r="N882" s="1"/>
      <c r="O882" s="1"/>
      <c r="P882" s="1"/>
      <c r="Q882" s="1"/>
      <c r="R882" s="1"/>
      <c r="S882" s="1"/>
      <c r="T882" s="1"/>
      <c r="U882" s="1"/>
      <c r="V882" s="1"/>
      <c r="W882" s="1"/>
      <c r="X882" s="1"/>
      <c r="Y882" s="1"/>
    </row>
    <row r="883" spans="1:25">
      <c r="A883" s="1"/>
      <c r="B883" s="1"/>
      <c r="C883" s="1"/>
      <c r="D883" s="1"/>
      <c r="E883" s="1"/>
      <c r="F883" s="1"/>
      <c r="G883" s="1"/>
      <c r="H883" s="3"/>
      <c r="I883" s="1"/>
      <c r="J883" s="1"/>
      <c r="K883" s="1"/>
      <c r="L883" s="1"/>
      <c r="M883" s="1"/>
      <c r="N883" s="1"/>
      <c r="O883" s="1"/>
      <c r="P883" s="1"/>
      <c r="Q883" s="1"/>
      <c r="R883" s="1"/>
      <c r="S883" s="1"/>
      <c r="T883" s="1"/>
      <c r="U883" s="1"/>
      <c r="V883" s="1"/>
      <c r="W883" s="1"/>
      <c r="X883" s="1"/>
      <c r="Y883" s="1"/>
    </row>
    <row r="884" spans="1:25">
      <c r="A884" s="1"/>
      <c r="B884" s="1"/>
      <c r="C884" s="1"/>
      <c r="D884" s="1"/>
      <c r="E884" s="1"/>
      <c r="F884" s="1"/>
      <c r="G884" s="1"/>
      <c r="H884" s="3"/>
      <c r="I884" s="1"/>
      <c r="J884" s="1"/>
      <c r="K884" s="1"/>
      <c r="L884" s="1"/>
      <c r="M884" s="1"/>
      <c r="N884" s="1"/>
      <c r="O884" s="1"/>
      <c r="P884" s="1"/>
      <c r="Q884" s="1"/>
      <c r="R884" s="1"/>
      <c r="S884" s="1"/>
      <c r="T884" s="1"/>
      <c r="U884" s="1"/>
      <c r="V884" s="1"/>
      <c r="W884" s="1"/>
      <c r="X884" s="1"/>
      <c r="Y884" s="1"/>
    </row>
    <row r="885" spans="1:25">
      <c r="A885" s="1"/>
      <c r="B885" s="1"/>
      <c r="C885" s="1"/>
      <c r="D885" s="1"/>
      <c r="E885" s="1"/>
      <c r="F885" s="1"/>
      <c r="G885" s="1"/>
      <c r="H885" s="3"/>
      <c r="I885" s="1"/>
      <c r="J885" s="1"/>
      <c r="K885" s="1"/>
      <c r="L885" s="1"/>
      <c r="M885" s="1"/>
      <c r="N885" s="1"/>
      <c r="O885" s="1"/>
      <c r="P885" s="1"/>
      <c r="Q885" s="1"/>
      <c r="R885" s="1"/>
      <c r="S885" s="1"/>
      <c r="T885" s="1"/>
      <c r="U885" s="1"/>
      <c r="V885" s="1"/>
      <c r="W885" s="1"/>
      <c r="X885" s="1"/>
      <c r="Y885" s="1"/>
    </row>
    <row r="886" spans="1:25">
      <c r="A886" s="1"/>
      <c r="B886" s="1"/>
      <c r="C886" s="1"/>
      <c r="D886" s="1"/>
      <c r="E886" s="1"/>
      <c r="F886" s="1"/>
      <c r="G886" s="1"/>
      <c r="H886" s="3"/>
      <c r="I886" s="1"/>
      <c r="J886" s="1"/>
      <c r="K886" s="1"/>
      <c r="L886" s="1"/>
      <c r="M886" s="1"/>
      <c r="N886" s="1"/>
      <c r="O886" s="1"/>
      <c r="P886" s="1"/>
      <c r="Q886" s="1"/>
      <c r="R886" s="1"/>
      <c r="S886" s="1"/>
      <c r="T886" s="1"/>
      <c r="U886" s="1"/>
      <c r="V886" s="1"/>
      <c r="W886" s="1"/>
      <c r="X886" s="1"/>
      <c r="Y886" s="1"/>
    </row>
    <row r="887" spans="1:25">
      <c r="A887" s="1"/>
      <c r="B887" s="1"/>
      <c r="C887" s="1"/>
      <c r="D887" s="1"/>
      <c r="E887" s="1"/>
      <c r="F887" s="1"/>
      <c r="G887" s="1"/>
      <c r="H887" s="3"/>
      <c r="I887" s="1"/>
      <c r="J887" s="1"/>
      <c r="K887" s="1"/>
      <c r="L887" s="1"/>
      <c r="M887" s="1"/>
      <c r="N887" s="1"/>
      <c r="O887" s="1"/>
      <c r="P887" s="1"/>
      <c r="Q887" s="1"/>
      <c r="R887" s="1"/>
      <c r="S887" s="1"/>
      <c r="T887" s="1"/>
      <c r="U887" s="1"/>
      <c r="V887" s="1"/>
      <c r="W887" s="1"/>
      <c r="X887" s="1"/>
      <c r="Y887" s="1"/>
    </row>
    <row r="888" spans="1:25">
      <c r="A888" s="1"/>
      <c r="B888" s="1"/>
      <c r="C888" s="1"/>
      <c r="D888" s="1"/>
      <c r="E888" s="1"/>
      <c r="F888" s="1"/>
      <c r="G888" s="1"/>
      <c r="H888" s="3"/>
      <c r="I888" s="1"/>
      <c r="J888" s="1"/>
      <c r="K888" s="1"/>
      <c r="L888" s="1"/>
      <c r="M888" s="1"/>
      <c r="N888" s="1"/>
      <c r="O888" s="1"/>
      <c r="P888" s="1"/>
      <c r="Q888" s="1"/>
      <c r="R888" s="1"/>
      <c r="S888" s="1"/>
      <c r="T888" s="1"/>
      <c r="U888" s="1"/>
      <c r="V888" s="1"/>
      <c r="W888" s="1"/>
      <c r="X888" s="1"/>
      <c r="Y888" s="1"/>
    </row>
    <row r="889" spans="1:25">
      <c r="A889" s="1"/>
      <c r="B889" s="1"/>
      <c r="C889" s="1"/>
      <c r="D889" s="1"/>
      <c r="E889" s="1"/>
      <c r="F889" s="1"/>
      <c r="G889" s="1"/>
      <c r="H889" s="3"/>
      <c r="I889" s="1"/>
      <c r="J889" s="1"/>
      <c r="K889" s="1"/>
      <c r="L889" s="1"/>
      <c r="M889" s="1"/>
      <c r="N889" s="1"/>
      <c r="O889" s="1"/>
      <c r="P889" s="1"/>
      <c r="Q889" s="1"/>
      <c r="R889" s="1"/>
      <c r="S889" s="1"/>
      <c r="T889" s="1"/>
      <c r="U889" s="1"/>
      <c r="V889" s="1"/>
      <c r="W889" s="1"/>
      <c r="X889" s="1"/>
      <c r="Y889" s="1"/>
    </row>
    <row r="890" spans="1:25">
      <c r="A890" s="1"/>
      <c r="B890" s="1"/>
      <c r="C890" s="1"/>
      <c r="D890" s="1"/>
      <c r="E890" s="1"/>
      <c r="F890" s="1"/>
      <c r="G890" s="1"/>
      <c r="H890" s="3"/>
      <c r="I890" s="1"/>
      <c r="J890" s="1"/>
      <c r="K890" s="1"/>
      <c r="L890" s="1"/>
      <c r="M890" s="1"/>
      <c r="N890" s="1"/>
      <c r="O890" s="1"/>
      <c r="P890" s="1"/>
      <c r="Q890" s="1"/>
      <c r="R890" s="1"/>
      <c r="S890" s="1"/>
      <c r="T890" s="1"/>
      <c r="U890" s="1"/>
      <c r="V890" s="1"/>
      <c r="W890" s="1"/>
      <c r="X890" s="1"/>
      <c r="Y890" s="1"/>
    </row>
    <row r="891" spans="1:25">
      <c r="A891" s="1"/>
      <c r="B891" s="1"/>
      <c r="C891" s="1"/>
      <c r="D891" s="1"/>
      <c r="E891" s="1"/>
      <c r="F891" s="1"/>
      <c r="G891" s="1"/>
      <c r="H891" s="3"/>
      <c r="I891" s="1"/>
      <c r="J891" s="1"/>
      <c r="K891" s="1"/>
      <c r="L891" s="1"/>
      <c r="M891" s="1"/>
      <c r="N891" s="1"/>
      <c r="O891" s="1"/>
      <c r="P891" s="1"/>
      <c r="Q891" s="1"/>
      <c r="R891" s="1"/>
      <c r="S891" s="1"/>
      <c r="T891" s="1"/>
      <c r="U891" s="1"/>
      <c r="V891" s="1"/>
      <c r="W891" s="1"/>
      <c r="X891" s="1"/>
      <c r="Y891" s="1"/>
    </row>
    <row r="892" spans="1:25">
      <c r="A892" s="1"/>
      <c r="B892" s="1"/>
      <c r="C892" s="1"/>
      <c r="D892" s="1"/>
      <c r="E892" s="1"/>
      <c r="F892" s="1"/>
      <c r="G892" s="1"/>
      <c r="H892" s="3"/>
      <c r="I892" s="1"/>
      <c r="J892" s="1"/>
      <c r="K892" s="1"/>
      <c r="L892" s="1"/>
      <c r="M892" s="1"/>
      <c r="N892" s="1"/>
      <c r="O892" s="1"/>
      <c r="P892" s="1"/>
      <c r="Q892" s="1"/>
      <c r="R892" s="1"/>
      <c r="S892" s="1"/>
      <c r="T892" s="1"/>
      <c r="U892" s="1"/>
      <c r="V892" s="1"/>
      <c r="W892" s="1"/>
      <c r="X892" s="1"/>
      <c r="Y892" s="1"/>
    </row>
    <row r="893" spans="1:25">
      <c r="A893" s="1"/>
      <c r="B893" s="1"/>
      <c r="C893" s="1"/>
      <c r="D893" s="1"/>
      <c r="E893" s="1"/>
      <c r="F893" s="1"/>
      <c r="G893" s="1"/>
      <c r="H893" s="3"/>
      <c r="I893" s="1"/>
      <c r="J893" s="1"/>
      <c r="K893" s="1"/>
      <c r="L893" s="1"/>
      <c r="M893" s="1"/>
      <c r="N893" s="1"/>
      <c r="O893" s="1"/>
      <c r="P893" s="1"/>
      <c r="Q893" s="1"/>
      <c r="R893" s="1"/>
      <c r="S893" s="1"/>
      <c r="T893" s="1"/>
      <c r="U893" s="1"/>
      <c r="V893" s="1"/>
      <c r="W893" s="1"/>
      <c r="X893" s="1"/>
      <c r="Y893" s="1"/>
    </row>
    <row r="894" spans="1:25">
      <c r="A894" s="1"/>
      <c r="B894" s="1"/>
      <c r="C894" s="1"/>
      <c r="D894" s="1"/>
      <c r="E894" s="1"/>
      <c r="F894" s="1"/>
      <c r="G894" s="1"/>
      <c r="H894" s="3"/>
      <c r="I894" s="1"/>
      <c r="J894" s="1"/>
      <c r="K894" s="1"/>
      <c r="L894" s="1"/>
      <c r="M894" s="1"/>
      <c r="N894" s="1"/>
      <c r="O894" s="1"/>
      <c r="P894" s="1"/>
      <c r="Q894" s="1"/>
      <c r="R894" s="1"/>
      <c r="S894" s="1"/>
      <c r="T894" s="1"/>
      <c r="U894" s="1"/>
      <c r="V894" s="1"/>
      <c r="W894" s="1"/>
      <c r="X894" s="1"/>
      <c r="Y894" s="1"/>
    </row>
    <row r="895" spans="1:25">
      <c r="A895" s="1"/>
      <c r="B895" s="1"/>
      <c r="C895" s="1"/>
      <c r="D895" s="1"/>
      <c r="E895" s="1"/>
      <c r="F895" s="1"/>
      <c r="G895" s="1"/>
      <c r="H895" s="3"/>
      <c r="I895" s="1"/>
      <c r="J895" s="1"/>
      <c r="K895" s="1"/>
      <c r="L895" s="1"/>
      <c r="M895" s="1"/>
      <c r="N895" s="1"/>
      <c r="O895" s="1"/>
      <c r="P895" s="1"/>
      <c r="Q895" s="1"/>
      <c r="R895" s="1"/>
      <c r="S895" s="1"/>
      <c r="T895" s="1"/>
      <c r="U895" s="1"/>
      <c r="V895" s="1"/>
      <c r="W895" s="1"/>
      <c r="X895" s="1"/>
      <c r="Y895" s="1"/>
    </row>
    <row r="896" spans="1:25">
      <c r="A896" s="1"/>
      <c r="B896" s="1"/>
      <c r="C896" s="1"/>
      <c r="D896" s="1"/>
      <c r="E896" s="1"/>
      <c r="F896" s="1"/>
      <c r="G896" s="1"/>
      <c r="H896" s="3"/>
      <c r="I896" s="1"/>
      <c r="J896" s="1"/>
      <c r="K896" s="1"/>
      <c r="L896" s="1"/>
      <c r="M896" s="1"/>
      <c r="N896" s="1"/>
      <c r="O896" s="1"/>
      <c r="P896" s="1"/>
      <c r="Q896" s="1"/>
      <c r="R896" s="1"/>
      <c r="S896" s="1"/>
      <c r="T896" s="1"/>
      <c r="U896" s="1"/>
      <c r="V896" s="1"/>
      <c r="W896" s="1"/>
      <c r="X896" s="1"/>
      <c r="Y896" s="1"/>
    </row>
    <row r="897" spans="1:25">
      <c r="A897" s="1"/>
      <c r="B897" s="1"/>
      <c r="C897" s="1"/>
      <c r="D897" s="1"/>
      <c r="E897" s="1"/>
      <c r="F897" s="1"/>
      <c r="G897" s="1"/>
      <c r="H897" s="3"/>
      <c r="I897" s="1"/>
      <c r="J897" s="1"/>
      <c r="K897" s="1"/>
      <c r="L897" s="1"/>
      <c r="M897" s="1"/>
      <c r="N897" s="1"/>
      <c r="O897" s="1"/>
      <c r="P897" s="1"/>
      <c r="Q897" s="1"/>
      <c r="R897" s="1"/>
      <c r="S897" s="1"/>
      <c r="T897" s="1"/>
      <c r="U897" s="1"/>
      <c r="V897" s="1"/>
      <c r="W897" s="1"/>
      <c r="X897" s="1"/>
      <c r="Y897" s="1"/>
    </row>
    <row r="898" spans="1:25">
      <c r="A898" s="1"/>
      <c r="B898" s="1"/>
      <c r="C898" s="1"/>
      <c r="D898" s="1"/>
      <c r="E898" s="1"/>
      <c r="F898" s="1"/>
      <c r="G898" s="1"/>
      <c r="H898" s="3"/>
      <c r="I898" s="1"/>
      <c r="J898" s="1"/>
      <c r="K898" s="1"/>
      <c r="L898" s="1"/>
      <c r="M898" s="1"/>
      <c r="N898" s="1"/>
      <c r="O898" s="1"/>
      <c r="P898" s="1"/>
      <c r="Q898" s="1"/>
      <c r="R898" s="1"/>
      <c r="S898" s="1"/>
      <c r="T898" s="1"/>
      <c r="U898" s="1"/>
      <c r="V898" s="1"/>
      <c r="W898" s="1"/>
      <c r="X898" s="1"/>
      <c r="Y898" s="1"/>
    </row>
    <row r="899" spans="1:25">
      <c r="A899" s="1"/>
      <c r="B899" s="1"/>
      <c r="C899" s="1"/>
      <c r="D899" s="1"/>
      <c r="E899" s="1"/>
      <c r="F899" s="1"/>
      <c r="G899" s="1"/>
      <c r="H899" s="3"/>
      <c r="I899" s="1"/>
      <c r="J899" s="1"/>
      <c r="K899" s="1"/>
      <c r="L899" s="1"/>
      <c r="M899" s="1"/>
      <c r="N899" s="1"/>
      <c r="O899" s="1"/>
      <c r="P899" s="1"/>
      <c r="Q899" s="1"/>
      <c r="R899" s="1"/>
      <c r="S899" s="1"/>
      <c r="T899" s="1"/>
      <c r="U899" s="1"/>
      <c r="V899" s="1"/>
      <c r="W899" s="1"/>
      <c r="X899" s="1"/>
      <c r="Y899" s="1"/>
    </row>
    <row r="900" spans="1:25">
      <c r="A900" s="1"/>
      <c r="B900" s="1"/>
      <c r="C900" s="1"/>
      <c r="D900" s="1"/>
      <c r="E900" s="1"/>
      <c r="F900" s="1"/>
      <c r="G900" s="1"/>
      <c r="H900" s="3"/>
      <c r="I900" s="1"/>
      <c r="J900" s="1"/>
      <c r="K900" s="1"/>
      <c r="L900" s="1"/>
      <c r="M900" s="1"/>
      <c r="N900" s="1"/>
      <c r="O900" s="1"/>
      <c r="P900" s="1"/>
      <c r="Q900" s="1"/>
      <c r="R900" s="1"/>
      <c r="S900" s="1"/>
      <c r="T900" s="1"/>
      <c r="U900" s="1"/>
      <c r="V900" s="1"/>
      <c r="W900" s="1"/>
      <c r="X900" s="1"/>
      <c r="Y900" s="1"/>
    </row>
    <row r="901" spans="1:25">
      <c r="A901" s="1"/>
      <c r="B901" s="1"/>
      <c r="C901" s="1"/>
      <c r="D901" s="1"/>
      <c r="E901" s="1"/>
      <c r="F901" s="1"/>
      <c r="G901" s="1"/>
      <c r="H901" s="3"/>
      <c r="I901" s="1"/>
      <c r="J901" s="1"/>
      <c r="K901" s="1"/>
      <c r="L901" s="1"/>
      <c r="M901" s="1"/>
      <c r="N901" s="1"/>
      <c r="O901" s="1"/>
      <c r="P901" s="1"/>
      <c r="Q901" s="1"/>
      <c r="R901" s="1"/>
      <c r="S901" s="1"/>
      <c r="T901" s="1"/>
      <c r="U901" s="1"/>
      <c r="V901" s="1"/>
      <c r="W901" s="1"/>
      <c r="X901" s="1"/>
      <c r="Y901" s="1"/>
    </row>
    <row r="902" spans="1:25">
      <c r="A902" s="1"/>
      <c r="B902" s="1"/>
      <c r="C902" s="1"/>
      <c r="D902" s="1"/>
      <c r="E902" s="1"/>
      <c r="F902" s="1"/>
      <c r="G902" s="1"/>
      <c r="H902" s="3"/>
      <c r="I902" s="1"/>
      <c r="J902" s="1"/>
      <c r="K902" s="1"/>
      <c r="L902" s="1"/>
      <c r="M902" s="1"/>
      <c r="N902" s="1"/>
      <c r="O902" s="1"/>
      <c r="P902" s="1"/>
      <c r="Q902" s="1"/>
      <c r="R902" s="1"/>
      <c r="S902" s="1"/>
      <c r="T902" s="1"/>
      <c r="U902" s="1"/>
      <c r="V902" s="1"/>
      <c r="W902" s="1"/>
      <c r="X902" s="1"/>
      <c r="Y902" s="1"/>
    </row>
    <row r="903" spans="1:25">
      <c r="A903" s="1"/>
      <c r="B903" s="1"/>
      <c r="C903" s="1"/>
      <c r="D903" s="1"/>
      <c r="E903" s="1"/>
      <c r="F903" s="1"/>
      <c r="G903" s="1"/>
      <c r="H903" s="3"/>
      <c r="I903" s="1"/>
      <c r="J903" s="1"/>
      <c r="K903" s="1"/>
      <c r="L903" s="1"/>
      <c r="M903" s="1"/>
      <c r="N903" s="1"/>
      <c r="O903" s="1"/>
      <c r="P903" s="1"/>
      <c r="Q903" s="1"/>
      <c r="R903" s="1"/>
      <c r="S903" s="1"/>
      <c r="T903" s="1"/>
      <c r="U903" s="1"/>
      <c r="V903" s="1"/>
      <c r="W903" s="1"/>
      <c r="X903" s="1"/>
      <c r="Y903" s="1"/>
    </row>
    <row r="904" spans="1:25">
      <c r="A904" s="1"/>
      <c r="B904" s="1"/>
      <c r="C904" s="1"/>
      <c r="D904" s="1"/>
      <c r="E904" s="1"/>
      <c r="F904" s="1"/>
      <c r="G904" s="1"/>
      <c r="H904" s="3"/>
      <c r="I904" s="1"/>
      <c r="J904" s="1"/>
      <c r="K904" s="1"/>
      <c r="L904" s="1"/>
      <c r="M904" s="1"/>
      <c r="N904" s="1"/>
      <c r="O904" s="1"/>
      <c r="P904" s="1"/>
      <c r="Q904" s="1"/>
      <c r="R904" s="1"/>
      <c r="S904" s="1"/>
      <c r="T904" s="1"/>
      <c r="U904" s="1"/>
      <c r="V904" s="1"/>
      <c r="W904" s="1"/>
      <c r="X904" s="1"/>
      <c r="Y904" s="1"/>
    </row>
    <row r="905" spans="1:25">
      <c r="A905" s="1"/>
      <c r="B905" s="1"/>
      <c r="C905" s="1"/>
      <c r="D905" s="1"/>
      <c r="E905" s="1"/>
      <c r="F905" s="1"/>
      <c r="G905" s="1"/>
      <c r="H905" s="3"/>
      <c r="I905" s="1"/>
      <c r="J905" s="1"/>
      <c r="K905" s="1"/>
      <c r="L905" s="1"/>
      <c r="M905" s="1"/>
      <c r="N905" s="1"/>
      <c r="O905" s="1"/>
      <c r="P905" s="1"/>
      <c r="Q905" s="1"/>
      <c r="R905" s="1"/>
      <c r="S905" s="1"/>
      <c r="T905" s="1"/>
      <c r="U905" s="1"/>
      <c r="V905" s="1"/>
      <c r="W905" s="1"/>
      <c r="X905" s="1"/>
      <c r="Y905" s="1"/>
    </row>
    <row r="906" spans="1:25">
      <c r="A906" s="1"/>
      <c r="B906" s="1"/>
      <c r="C906" s="1"/>
      <c r="D906" s="1"/>
      <c r="E906" s="1"/>
      <c r="F906" s="1"/>
      <c r="G906" s="1"/>
      <c r="H906" s="3"/>
      <c r="I906" s="1"/>
      <c r="J906" s="1"/>
      <c r="K906" s="1"/>
      <c r="L906" s="1"/>
      <c r="M906" s="1"/>
      <c r="N906" s="1"/>
      <c r="O906" s="1"/>
      <c r="P906" s="1"/>
      <c r="Q906" s="1"/>
      <c r="R906" s="1"/>
      <c r="S906" s="1"/>
      <c r="T906" s="1"/>
      <c r="U906" s="1"/>
      <c r="V906" s="1"/>
      <c r="W906" s="1"/>
      <c r="X906" s="1"/>
      <c r="Y906" s="1"/>
    </row>
    <row r="907" spans="1:25">
      <c r="A907" s="1"/>
      <c r="B907" s="1"/>
      <c r="C907" s="1"/>
      <c r="D907" s="1"/>
      <c r="E907" s="1"/>
      <c r="F907" s="1"/>
      <c r="G907" s="1"/>
      <c r="H907" s="3"/>
      <c r="I907" s="1"/>
      <c r="J907" s="1"/>
      <c r="K907" s="1"/>
      <c r="L907" s="1"/>
      <c r="M907" s="1"/>
      <c r="N907" s="1"/>
      <c r="O907" s="1"/>
      <c r="P907" s="1"/>
      <c r="Q907" s="1"/>
      <c r="R907" s="1"/>
      <c r="S907" s="1"/>
      <c r="T907" s="1"/>
      <c r="U907" s="1"/>
      <c r="V907" s="1"/>
      <c r="W907" s="1"/>
      <c r="X907" s="1"/>
      <c r="Y907" s="1"/>
    </row>
    <row r="908" spans="1:25">
      <c r="A908" s="1"/>
      <c r="B908" s="1"/>
      <c r="C908" s="1"/>
      <c r="D908" s="1"/>
      <c r="E908" s="1"/>
      <c r="F908" s="1"/>
      <c r="G908" s="1"/>
      <c r="H908" s="3"/>
      <c r="I908" s="1"/>
      <c r="J908" s="1"/>
      <c r="K908" s="1"/>
      <c r="L908" s="1"/>
      <c r="M908" s="1"/>
      <c r="N908" s="1"/>
      <c r="O908" s="1"/>
      <c r="P908" s="1"/>
      <c r="Q908" s="1"/>
      <c r="R908" s="1"/>
      <c r="S908" s="1"/>
      <c r="T908" s="1"/>
      <c r="U908" s="1"/>
      <c r="V908" s="1"/>
      <c r="W908" s="1"/>
      <c r="X908" s="1"/>
      <c r="Y908" s="1"/>
    </row>
    <row r="909" spans="1:25">
      <c r="A909" s="1"/>
      <c r="B909" s="1"/>
      <c r="C909" s="1"/>
      <c r="D909" s="1"/>
      <c r="E909" s="1"/>
      <c r="F909" s="1"/>
      <c r="G909" s="1"/>
      <c r="H909" s="3"/>
      <c r="I909" s="1"/>
      <c r="J909" s="1"/>
      <c r="K909" s="1"/>
      <c r="L909" s="1"/>
      <c r="M909" s="1"/>
      <c r="N909" s="1"/>
      <c r="O909" s="1"/>
      <c r="P909" s="1"/>
      <c r="Q909" s="1"/>
      <c r="R909" s="1"/>
      <c r="S909" s="1"/>
      <c r="T909" s="1"/>
      <c r="U909" s="1"/>
      <c r="V909" s="1"/>
      <c r="W909" s="1"/>
      <c r="X909" s="1"/>
      <c r="Y909" s="1"/>
    </row>
    <row r="910" spans="1:25">
      <c r="A910" s="1"/>
      <c r="B910" s="1"/>
      <c r="C910" s="1"/>
      <c r="D910" s="1"/>
      <c r="E910" s="1"/>
      <c r="F910" s="1"/>
      <c r="G910" s="1"/>
      <c r="H910" s="3"/>
      <c r="I910" s="1"/>
      <c r="J910" s="1"/>
      <c r="K910" s="1"/>
      <c r="L910" s="1"/>
      <c r="M910" s="1"/>
      <c r="N910" s="1"/>
      <c r="O910" s="1"/>
      <c r="P910" s="1"/>
      <c r="Q910" s="1"/>
      <c r="R910" s="1"/>
      <c r="S910" s="1"/>
      <c r="T910" s="1"/>
      <c r="U910" s="1"/>
      <c r="V910" s="1"/>
      <c r="W910" s="1"/>
      <c r="X910" s="1"/>
      <c r="Y910" s="1"/>
    </row>
    <row r="911" spans="1:25">
      <c r="A911" s="1"/>
      <c r="B911" s="1"/>
      <c r="C911" s="1"/>
      <c r="D911" s="1"/>
      <c r="E911" s="1"/>
      <c r="F911" s="1"/>
      <c r="G911" s="1"/>
      <c r="H911" s="3"/>
      <c r="I911" s="1"/>
      <c r="J911" s="1"/>
      <c r="K911" s="1"/>
      <c r="L911" s="1"/>
      <c r="M911" s="1"/>
      <c r="N911" s="1"/>
      <c r="O911" s="1"/>
      <c r="P911" s="1"/>
      <c r="Q911" s="1"/>
      <c r="R911" s="1"/>
      <c r="S911" s="1"/>
      <c r="T911" s="1"/>
      <c r="U911" s="1"/>
      <c r="V911" s="1"/>
      <c r="W911" s="1"/>
      <c r="X911" s="1"/>
      <c r="Y911" s="1"/>
    </row>
    <row r="912" spans="1:25">
      <c r="A912" s="1"/>
      <c r="B912" s="1"/>
      <c r="C912" s="1"/>
      <c r="D912" s="1"/>
      <c r="E912" s="1"/>
      <c r="F912" s="1"/>
      <c r="G912" s="1"/>
      <c r="H912" s="3"/>
      <c r="I912" s="1"/>
      <c r="J912" s="1"/>
      <c r="K912" s="1"/>
      <c r="L912" s="1"/>
      <c r="M912" s="1"/>
      <c r="N912" s="1"/>
      <c r="O912" s="1"/>
      <c r="P912" s="1"/>
      <c r="Q912" s="1"/>
      <c r="R912" s="1"/>
      <c r="S912" s="1"/>
      <c r="T912" s="1"/>
      <c r="U912" s="1"/>
      <c r="V912" s="1"/>
      <c r="W912" s="1"/>
      <c r="X912" s="1"/>
      <c r="Y912" s="1"/>
    </row>
    <row r="913" spans="1:25">
      <c r="A913" s="1"/>
      <c r="B913" s="1"/>
      <c r="C913" s="1"/>
      <c r="D913" s="1"/>
      <c r="E913" s="1"/>
      <c r="F913" s="1"/>
      <c r="G913" s="1"/>
      <c r="H913" s="3"/>
      <c r="I913" s="1"/>
      <c r="J913" s="1"/>
      <c r="K913" s="1"/>
      <c r="L913" s="1"/>
      <c r="M913" s="1"/>
      <c r="N913" s="1"/>
      <c r="O913" s="1"/>
      <c r="P913" s="1"/>
      <c r="Q913" s="1"/>
      <c r="R913" s="1"/>
      <c r="S913" s="1"/>
      <c r="T913" s="1"/>
      <c r="U913" s="1"/>
      <c r="V913" s="1"/>
      <c r="W913" s="1"/>
      <c r="X913" s="1"/>
      <c r="Y913" s="1"/>
    </row>
    <row r="914" spans="1:25">
      <c r="A914" s="1"/>
      <c r="B914" s="1"/>
      <c r="C914" s="1"/>
      <c r="D914" s="1"/>
      <c r="E914" s="1"/>
      <c r="F914" s="1"/>
      <c r="G914" s="1"/>
      <c r="H914" s="3"/>
      <c r="I914" s="1"/>
      <c r="J914" s="1"/>
      <c r="K914" s="1"/>
      <c r="L914" s="1"/>
      <c r="M914" s="1"/>
      <c r="N914" s="1"/>
      <c r="O914" s="1"/>
      <c r="P914" s="1"/>
      <c r="Q914" s="1"/>
      <c r="R914" s="1"/>
      <c r="S914" s="1"/>
      <c r="T914" s="1"/>
      <c r="U914" s="1"/>
      <c r="V914" s="1"/>
      <c r="W914" s="1"/>
      <c r="X914" s="1"/>
      <c r="Y914" s="1"/>
    </row>
    <row r="915" spans="1:25">
      <c r="A915" s="1"/>
      <c r="B915" s="1"/>
      <c r="C915" s="1"/>
      <c r="D915" s="1"/>
      <c r="E915" s="1"/>
      <c r="F915" s="1"/>
      <c r="G915" s="1"/>
      <c r="H915" s="3"/>
      <c r="I915" s="1"/>
      <c r="J915" s="1"/>
      <c r="K915" s="1"/>
      <c r="L915" s="1"/>
      <c r="M915" s="1"/>
      <c r="N915" s="1"/>
      <c r="O915" s="1"/>
      <c r="P915" s="1"/>
      <c r="Q915" s="1"/>
      <c r="R915" s="1"/>
      <c r="S915" s="1"/>
      <c r="T915" s="1"/>
      <c r="U915" s="1"/>
      <c r="V915" s="1"/>
      <c r="W915" s="1"/>
      <c r="X915" s="1"/>
      <c r="Y915" s="1"/>
    </row>
    <row r="916" spans="1:25">
      <c r="A916" s="1"/>
      <c r="B916" s="1"/>
      <c r="C916" s="1"/>
      <c r="D916" s="1"/>
      <c r="E916" s="1"/>
      <c r="F916" s="1"/>
      <c r="G916" s="1"/>
      <c r="H916" s="3"/>
      <c r="I916" s="1"/>
      <c r="J916" s="1"/>
      <c r="K916" s="1"/>
      <c r="L916" s="1"/>
      <c r="M916" s="1"/>
      <c r="N916" s="1"/>
      <c r="O916" s="1"/>
      <c r="P916" s="1"/>
      <c r="Q916" s="1"/>
      <c r="R916" s="1"/>
      <c r="S916" s="1"/>
      <c r="T916" s="1"/>
      <c r="U916" s="1"/>
      <c r="V916" s="1"/>
      <c r="W916" s="1"/>
      <c r="X916" s="1"/>
      <c r="Y916" s="1"/>
    </row>
    <row r="917" spans="1:25">
      <c r="A917" s="1"/>
      <c r="B917" s="1"/>
      <c r="C917" s="1"/>
      <c r="D917" s="1"/>
      <c r="E917" s="1"/>
      <c r="F917" s="1"/>
      <c r="G917" s="1"/>
      <c r="H917" s="3"/>
      <c r="I917" s="1"/>
      <c r="J917" s="1"/>
      <c r="K917" s="1"/>
      <c r="L917" s="1"/>
      <c r="M917" s="1"/>
      <c r="N917" s="1"/>
      <c r="O917" s="1"/>
      <c r="P917" s="1"/>
      <c r="Q917" s="1"/>
      <c r="R917" s="1"/>
      <c r="S917" s="1"/>
      <c r="T917" s="1"/>
      <c r="U917" s="1"/>
      <c r="V917" s="1"/>
      <c r="W917" s="1"/>
      <c r="X917" s="1"/>
      <c r="Y917" s="1"/>
    </row>
    <row r="918" spans="1:25">
      <c r="A918" s="1"/>
      <c r="B918" s="1"/>
      <c r="C918" s="1"/>
      <c r="D918" s="1"/>
      <c r="E918" s="1"/>
      <c r="F918" s="1"/>
      <c r="G918" s="1"/>
      <c r="H918" s="3"/>
      <c r="I918" s="1"/>
      <c r="J918" s="1"/>
      <c r="K918" s="1"/>
      <c r="L918" s="1"/>
      <c r="M918" s="1"/>
      <c r="N918" s="1"/>
      <c r="O918" s="1"/>
      <c r="P918" s="1"/>
      <c r="Q918" s="1"/>
      <c r="R918" s="1"/>
      <c r="S918" s="1"/>
      <c r="T918" s="1"/>
      <c r="U918" s="1"/>
      <c r="V918" s="1"/>
      <c r="W918" s="1"/>
      <c r="X918" s="1"/>
      <c r="Y918" s="1"/>
    </row>
    <row r="919" spans="1:25">
      <c r="A919" s="1"/>
      <c r="B919" s="1"/>
      <c r="C919" s="1"/>
      <c r="D919" s="1"/>
      <c r="E919" s="1"/>
      <c r="F919" s="1"/>
      <c r="G919" s="1"/>
      <c r="H919" s="3"/>
      <c r="I919" s="1"/>
      <c r="J919" s="1"/>
      <c r="K919" s="1"/>
      <c r="L919" s="1"/>
      <c r="M919" s="1"/>
      <c r="N919" s="1"/>
      <c r="O919" s="1"/>
      <c r="P919" s="1"/>
      <c r="Q919" s="1"/>
      <c r="R919" s="1"/>
      <c r="S919" s="1"/>
      <c r="T919" s="1"/>
      <c r="U919" s="1"/>
      <c r="V919" s="1"/>
      <c r="W919" s="1"/>
      <c r="X919" s="1"/>
      <c r="Y919" s="1"/>
    </row>
    <row r="920" spans="1:25">
      <c r="A920" s="1"/>
      <c r="B920" s="1"/>
      <c r="C920" s="1"/>
      <c r="D920" s="1"/>
      <c r="E920" s="1"/>
      <c r="F920" s="1"/>
      <c r="G920" s="1"/>
      <c r="H920" s="3"/>
      <c r="I920" s="1"/>
      <c r="J920" s="1"/>
      <c r="K920" s="1"/>
      <c r="L920" s="1"/>
      <c r="M920" s="1"/>
      <c r="N920" s="1"/>
      <c r="O920" s="1"/>
      <c r="P920" s="1"/>
      <c r="Q920" s="1"/>
      <c r="R920" s="1"/>
      <c r="S920" s="1"/>
      <c r="T920" s="1"/>
      <c r="U920" s="1"/>
      <c r="V920" s="1"/>
      <c r="W920" s="1"/>
      <c r="X920" s="1"/>
      <c r="Y920" s="1"/>
    </row>
    <row r="921" spans="1:25">
      <c r="A921" s="1"/>
      <c r="B921" s="1"/>
      <c r="C921" s="1"/>
      <c r="D921" s="1"/>
      <c r="E921" s="1"/>
      <c r="F921" s="1"/>
      <c r="G921" s="1"/>
      <c r="H921" s="3"/>
      <c r="I921" s="1"/>
      <c r="J921" s="1"/>
      <c r="K921" s="1"/>
      <c r="L921" s="1"/>
      <c r="M921" s="1"/>
      <c r="N921" s="1"/>
      <c r="O921" s="1"/>
      <c r="P921" s="1"/>
      <c r="Q921" s="1"/>
      <c r="R921" s="1"/>
      <c r="S921" s="1"/>
      <c r="T921" s="1"/>
      <c r="U921" s="1"/>
      <c r="V921" s="1"/>
      <c r="W921" s="1"/>
      <c r="X921" s="1"/>
      <c r="Y921" s="1"/>
    </row>
    <row r="922" spans="1:25">
      <c r="A922" s="1"/>
      <c r="B922" s="1"/>
      <c r="C922" s="1"/>
      <c r="D922" s="1"/>
      <c r="E922" s="1"/>
      <c r="F922" s="1"/>
      <c r="G922" s="1"/>
      <c r="H922" s="3"/>
      <c r="I922" s="1"/>
      <c r="J922" s="1"/>
      <c r="K922" s="1"/>
      <c r="L922" s="1"/>
      <c r="M922" s="1"/>
      <c r="N922" s="1"/>
      <c r="O922" s="1"/>
      <c r="P922" s="1"/>
      <c r="Q922" s="1"/>
      <c r="R922" s="1"/>
      <c r="S922" s="1"/>
      <c r="T922" s="1"/>
      <c r="U922" s="1"/>
      <c r="V922" s="1"/>
      <c r="W922" s="1"/>
      <c r="X922" s="1"/>
      <c r="Y922" s="1"/>
    </row>
    <row r="923" spans="1:25">
      <c r="A923" s="1"/>
      <c r="B923" s="1"/>
      <c r="C923" s="1"/>
      <c r="D923" s="1"/>
      <c r="E923" s="1"/>
      <c r="F923" s="1"/>
      <c r="G923" s="1"/>
      <c r="H923" s="3"/>
      <c r="I923" s="1"/>
      <c r="J923" s="1"/>
      <c r="K923" s="1"/>
      <c r="L923" s="1"/>
      <c r="M923" s="1"/>
      <c r="N923" s="1"/>
      <c r="O923" s="1"/>
      <c r="P923" s="1"/>
      <c r="Q923" s="1"/>
      <c r="R923" s="1"/>
      <c r="S923" s="1"/>
      <c r="T923" s="1"/>
      <c r="U923" s="1"/>
      <c r="V923" s="1"/>
      <c r="W923" s="1"/>
      <c r="X923" s="1"/>
      <c r="Y923" s="1"/>
    </row>
    <row r="924" spans="1:25">
      <c r="A924" s="1"/>
      <c r="B924" s="1"/>
      <c r="C924" s="1"/>
      <c r="D924" s="1"/>
      <c r="E924" s="1"/>
      <c r="F924" s="1"/>
      <c r="G924" s="1"/>
      <c r="H924" s="3"/>
      <c r="I924" s="1"/>
      <c r="J924" s="1"/>
      <c r="K924" s="1"/>
      <c r="L924" s="1"/>
      <c r="M924" s="1"/>
      <c r="N924" s="1"/>
      <c r="O924" s="1"/>
      <c r="P924" s="1"/>
      <c r="Q924" s="1"/>
      <c r="R924" s="1"/>
      <c r="S924" s="1"/>
      <c r="T924" s="1"/>
      <c r="U924" s="1"/>
      <c r="V924" s="1"/>
      <c r="W924" s="1"/>
      <c r="X924" s="1"/>
      <c r="Y924" s="1"/>
    </row>
    <row r="925" spans="1:25">
      <c r="A925" s="1"/>
      <c r="B925" s="1"/>
      <c r="C925" s="1"/>
      <c r="D925" s="1"/>
      <c r="E925" s="1"/>
      <c r="F925" s="1"/>
      <c r="G925" s="1"/>
      <c r="H925" s="3"/>
      <c r="I925" s="1"/>
      <c r="J925" s="1"/>
      <c r="K925" s="1"/>
      <c r="L925" s="1"/>
      <c r="M925" s="1"/>
      <c r="N925" s="1"/>
      <c r="O925" s="1"/>
      <c r="P925" s="1"/>
      <c r="Q925" s="1"/>
      <c r="R925" s="1"/>
      <c r="S925" s="1"/>
      <c r="T925" s="1"/>
      <c r="U925" s="1"/>
      <c r="V925" s="1"/>
      <c r="W925" s="1"/>
      <c r="X925" s="1"/>
      <c r="Y925" s="1"/>
    </row>
    <row r="926" spans="1:25">
      <c r="A926" s="1"/>
      <c r="B926" s="1"/>
      <c r="C926" s="1"/>
      <c r="D926" s="1"/>
      <c r="E926" s="1"/>
      <c r="F926" s="1"/>
      <c r="G926" s="1"/>
      <c r="H926" s="3"/>
      <c r="I926" s="1"/>
      <c r="J926" s="1"/>
      <c r="K926" s="1"/>
      <c r="L926" s="1"/>
      <c r="M926" s="1"/>
      <c r="N926" s="1"/>
      <c r="O926" s="1"/>
      <c r="P926" s="1"/>
      <c r="Q926" s="1"/>
      <c r="R926" s="1"/>
      <c r="S926" s="1"/>
      <c r="T926" s="1"/>
      <c r="U926" s="1"/>
      <c r="V926" s="1"/>
      <c r="W926" s="1"/>
      <c r="X926" s="1"/>
      <c r="Y926" s="1"/>
    </row>
    <row r="927" spans="1:25">
      <c r="A927" s="1"/>
      <c r="B927" s="1"/>
      <c r="C927" s="1"/>
      <c r="D927" s="1"/>
      <c r="E927" s="1"/>
      <c r="F927" s="1"/>
      <c r="G927" s="1"/>
      <c r="H927" s="3"/>
      <c r="I927" s="1"/>
      <c r="J927" s="1"/>
      <c r="K927" s="1"/>
      <c r="L927" s="1"/>
      <c r="M927" s="1"/>
      <c r="N927" s="1"/>
      <c r="O927" s="1"/>
      <c r="P927" s="1"/>
      <c r="Q927" s="1"/>
      <c r="R927" s="1"/>
      <c r="S927" s="1"/>
      <c r="T927" s="1"/>
      <c r="U927" s="1"/>
      <c r="V927" s="1"/>
      <c r="W927" s="1"/>
      <c r="X927" s="1"/>
      <c r="Y927" s="1"/>
    </row>
    <row r="928" spans="1:25">
      <c r="A928" s="1"/>
      <c r="B928" s="1"/>
      <c r="C928" s="1"/>
      <c r="D928" s="1"/>
      <c r="E928" s="1"/>
      <c r="F928" s="1"/>
      <c r="G928" s="1"/>
      <c r="H928" s="3"/>
      <c r="I928" s="1"/>
      <c r="J928" s="1"/>
      <c r="K928" s="1"/>
      <c r="L928" s="1"/>
      <c r="M928" s="1"/>
      <c r="N928" s="1"/>
      <c r="O928" s="1"/>
      <c r="P928" s="1"/>
      <c r="Q928" s="1"/>
      <c r="R928" s="1"/>
      <c r="S928" s="1"/>
      <c r="T928" s="1"/>
      <c r="U928" s="1"/>
      <c r="V928" s="1"/>
      <c r="W928" s="1"/>
      <c r="X928" s="1"/>
      <c r="Y928" s="1"/>
    </row>
    <row r="929" spans="1:25">
      <c r="A929" s="1"/>
      <c r="B929" s="1"/>
      <c r="C929" s="1"/>
      <c r="D929" s="1"/>
      <c r="E929" s="1"/>
      <c r="F929" s="1"/>
      <c r="G929" s="1"/>
      <c r="H929" s="3"/>
      <c r="I929" s="1"/>
      <c r="J929" s="1"/>
      <c r="K929" s="1"/>
      <c r="L929" s="1"/>
      <c r="M929" s="1"/>
      <c r="N929" s="1"/>
      <c r="O929" s="1"/>
      <c r="P929" s="1"/>
      <c r="Q929" s="1"/>
      <c r="R929" s="1"/>
      <c r="S929" s="1"/>
      <c r="T929" s="1"/>
      <c r="U929" s="1"/>
      <c r="V929" s="1"/>
      <c r="W929" s="1"/>
      <c r="X929" s="1"/>
      <c r="Y929" s="1"/>
    </row>
    <row r="930" spans="1:25">
      <c r="A930" s="1"/>
      <c r="B930" s="1"/>
      <c r="C930" s="1"/>
      <c r="D930" s="1"/>
      <c r="E930" s="1"/>
      <c r="F930" s="1"/>
      <c r="G930" s="1"/>
      <c r="H930" s="3"/>
      <c r="I930" s="1"/>
      <c r="J930" s="1"/>
      <c r="K930" s="1"/>
      <c r="L930" s="1"/>
      <c r="M930" s="1"/>
      <c r="N930" s="1"/>
      <c r="O930" s="1"/>
      <c r="P930" s="1"/>
      <c r="Q930" s="1"/>
      <c r="R930" s="1"/>
      <c r="S930" s="1"/>
      <c r="T930" s="1"/>
      <c r="U930" s="1"/>
      <c r="V930" s="1"/>
      <c r="W930" s="1"/>
      <c r="X930" s="1"/>
      <c r="Y930" s="1"/>
    </row>
    <row r="931" spans="1:25">
      <c r="A931" s="1"/>
      <c r="B931" s="1"/>
      <c r="C931" s="1"/>
      <c r="D931" s="1"/>
      <c r="E931" s="1"/>
      <c r="F931" s="1"/>
      <c r="G931" s="1"/>
      <c r="H931" s="3"/>
      <c r="I931" s="1"/>
      <c r="J931" s="1"/>
      <c r="K931" s="1"/>
      <c r="L931" s="1"/>
      <c r="M931" s="1"/>
      <c r="N931" s="1"/>
      <c r="O931" s="1"/>
      <c r="P931" s="1"/>
      <c r="Q931" s="1"/>
      <c r="R931" s="1"/>
      <c r="S931" s="1"/>
      <c r="T931" s="1"/>
      <c r="U931" s="1"/>
      <c r="V931" s="1"/>
      <c r="W931" s="1"/>
      <c r="X931" s="1"/>
      <c r="Y931" s="1"/>
    </row>
    <row r="932" spans="1:25">
      <c r="A932" s="1"/>
      <c r="B932" s="1"/>
      <c r="C932" s="1"/>
      <c r="D932" s="1"/>
      <c r="E932" s="1"/>
      <c r="F932" s="1"/>
      <c r="G932" s="1"/>
      <c r="H932" s="3"/>
      <c r="I932" s="1"/>
      <c r="J932" s="1"/>
      <c r="K932" s="1"/>
      <c r="L932" s="1"/>
      <c r="M932" s="1"/>
      <c r="N932" s="1"/>
      <c r="O932" s="1"/>
      <c r="P932" s="1"/>
      <c r="Q932" s="1"/>
      <c r="R932" s="1"/>
      <c r="S932" s="1"/>
      <c r="T932" s="1"/>
      <c r="U932" s="1"/>
      <c r="V932" s="1"/>
      <c r="W932" s="1"/>
      <c r="X932" s="1"/>
      <c r="Y932" s="1"/>
    </row>
    <row r="933" spans="1:25">
      <c r="A933" s="1"/>
      <c r="B933" s="1"/>
      <c r="C933" s="1"/>
      <c r="D933" s="1"/>
      <c r="E933" s="1"/>
      <c r="F933" s="1"/>
      <c r="G933" s="1"/>
      <c r="H933" s="3"/>
      <c r="I933" s="1"/>
      <c r="J933" s="1"/>
      <c r="K933" s="1"/>
      <c r="L933" s="1"/>
      <c r="M933" s="1"/>
      <c r="N933" s="1"/>
      <c r="O933" s="1"/>
      <c r="P933" s="1"/>
      <c r="Q933" s="1"/>
      <c r="R933" s="1"/>
      <c r="S933" s="1"/>
      <c r="T933" s="1"/>
      <c r="U933" s="1"/>
      <c r="V933" s="1"/>
      <c r="W933" s="1"/>
      <c r="X933" s="1"/>
      <c r="Y933" s="1"/>
    </row>
    <row r="934" spans="1:25">
      <c r="A934" s="1"/>
      <c r="B934" s="1"/>
      <c r="C934" s="1"/>
      <c r="D934" s="1"/>
      <c r="E934" s="1"/>
      <c r="F934" s="1"/>
      <c r="G934" s="1"/>
      <c r="H934" s="3"/>
      <c r="I934" s="1"/>
      <c r="J934" s="1"/>
      <c r="K934" s="1"/>
      <c r="L934" s="1"/>
      <c r="M934" s="1"/>
      <c r="N934" s="1"/>
      <c r="O934" s="1"/>
      <c r="P934" s="1"/>
      <c r="Q934" s="1"/>
      <c r="R934" s="1"/>
      <c r="S934" s="1"/>
      <c r="T934" s="1"/>
      <c r="U934" s="1"/>
      <c r="V934" s="1"/>
      <c r="W934" s="1"/>
      <c r="X934" s="1"/>
      <c r="Y934" s="1"/>
    </row>
    <row r="935" spans="1:25">
      <c r="A935" s="1"/>
      <c r="B935" s="1"/>
      <c r="C935" s="1"/>
      <c r="D935" s="1"/>
      <c r="E935" s="1"/>
      <c r="F935" s="1"/>
      <c r="G935" s="1"/>
      <c r="H935" s="3"/>
      <c r="I935" s="1"/>
      <c r="J935" s="1"/>
      <c r="K935" s="1"/>
      <c r="L935" s="1"/>
      <c r="M935" s="1"/>
      <c r="N935" s="1"/>
      <c r="O935" s="1"/>
      <c r="P935" s="1"/>
      <c r="Q935" s="1"/>
      <c r="R935" s="1"/>
      <c r="S935" s="1"/>
      <c r="T935" s="1"/>
      <c r="U935" s="1"/>
      <c r="V935" s="1"/>
      <c r="W935" s="1"/>
      <c r="X935" s="1"/>
      <c r="Y935" s="1"/>
    </row>
    <row r="936" spans="1:25">
      <c r="A936" s="1"/>
      <c r="B936" s="1"/>
      <c r="C936" s="1"/>
      <c r="D936" s="1"/>
      <c r="E936" s="1"/>
      <c r="F936" s="1"/>
      <c r="G936" s="1"/>
      <c r="H936" s="3"/>
      <c r="I936" s="1"/>
      <c r="J936" s="1"/>
      <c r="K936" s="1"/>
      <c r="L936" s="1"/>
      <c r="M936" s="1"/>
      <c r="N936" s="1"/>
      <c r="O936" s="1"/>
      <c r="P936" s="1"/>
      <c r="Q936" s="1"/>
      <c r="R936" s="1"/>
      <c r="S936" s="1"/>
      <c r="T936" s="1"/>
      <c r="U936" s="1"/>
      <c r="V936" s="1"/>
      <c r="W936" s="1"/>
      <c r="X936" s="1"/>
      <c r="Y936" s="1"/>
    </row>
    <row r="937" spans="1:25">
      <c r="A937" s="1"/>
      <c r="B937" s="1"/>
      <c r="C937" s="1"/>
      <c r="D937" s="1"/>
      <c r="E937" s="1"/>
      <c r="F937" s="1"/>
      <c r="G937" s="1"/>
      <c r="H937" s="3"/>
      <c r="I937" s="1"/>
      <c r="J937" s="1"/>
      <c r="K937" s="1"/>
      <c r="L937" s="1"/>
      <c r="M937" s="1"/>
      <c r="N937" s="1"/>
      <c r="O937" s="1"/>
      <c r="P937" s="1"/>
      <c r="Q937" s="1"/>
      <c r="R937" s="1"/>
      <c r="S937" s="1"/>
      <c r="T937" s="1"/>
      <c r="U937" s="1"/>
      <c r="V937" s="1"/>
      <c r="W937" s="1"/>
      <c r="X937" s="1"/>
      <c r="Y937" s="1"/>
    </row>
    <row r="938" spans="1:25">
      <c r="A938" s="1"/>
      <c r="B938" s="1"/>
      <c r="C938" s="1"/>
      <c r="D938" s="1"/>
      <c r="E938" s="1"/>
      <c r="F938" s="1"/>
      <c r="G938" s="1"/>
      <c r="H938" s="3"/>
      <c r="I938" s="1"/>
      <c r="J938" s="1"/>
      <c r="K938" s="1"/>
      <c r="L938" s="1"/>
      <c r="M938" s="1"/>
      <c r="N938" s="1"/>
      <c r="O938" s="1"/>
      <c r="P938" s="1"/>
      <c r="Q938" s="1"/>
      <c r="R938" s="1"/>
      <c r="S938" s="1"/>
      <c r="T938" s="1"/>
      <c r="U938" s="1"/>
      <c r="V938" s="1"/>
      <c r="W938" s="1"/>
      <c r="X938" s="1"/>
      <c r="Y938" s="1"/>
    </row>
    <row r="939" spans="1:25">
      <c r="A939" s="1"/>
      <c r="B939" s="1"/>
      <c r="C939" s="1"/>
      <c r="D939" s="1"/>
      <c r="E939" s="1"/>
      <c r="F939" s="1"/>
      <c r="G939" s="1"/>
      <c r="H939" s="3"/>
      <c r="I939" s="1"/>
      <c r="J939" s="1"/>
      <c r="K939" s="1"/>
      <c r="L939" s="1"/>
      <c r="M939" s="1"/>
      <c r="N939" s="1"/>
      <c r="O939" s="1"/>
      <c r="P939" s="1"/>
      <c r="Q939" s="1"/>
      <c r="R939" s="1"/>
      <c r="S939" s="1"/>
      <c r="T939" s="1"/>
      <c r="U939" s="1"/>
      <c r="V939" s="1"/>
      <c r="W939" s="1"/>
      <c r="X939" s="1"/>
      <c r="Y939" s="1"/>
    </row>
    <row r="940" spans="1:25">
      <c r="A940" s="1"/>
      <c r="B940" s="1"/>
      <c r="C940" s="1"/>
      <c r="D940" s="1"/>
      <c r="E940" s="1"/>
      <c r="F940" s="1"/>
      <c r="G940" s="1"/>
      <c r="H940" s="3"/>
      <c r="I940" s="1"/>
      <c r="J940" s="1"/>
      <c r="K940" s="1"/>
      <c r="L940" s="1"/>
      <c r="M940" s="1"/>
      <c r="N940" s="1"/>
      <c r="O940" s="1"/>
      <c r="P940" s="1"/>
      <c r="Q940" s="1"/>
      <c r="R940" s="1"/>
      <c r="S940" s="1"/>
      <c r="T940" s="1"/>
      <c r="U940" s="1"/>
      <c r="V940" s="1"/>
      <c r="W940" s="1"/>
      <c r="X940" s="1"/>
      <c r="Y940" s="1"/>
    </row>
    <row r="941" spans="1:25">
      <c r="A941" s="1"/>
      <c r="B941" s="1"/>
      <c r="C941" s="1"/>
      <c r="D941" s="1"/>
      <c r="E941" s="1"/>
      <c r="F941" s="1"/>
      <c r="G941" s="1"/>
      <c r="H941" s="3"/>
      <c r="I941" s="1"/>
      <c r="J941" s="1"/>
      <c r="K941" s="1"/>
      <c r="L941" s="1"/>
      <c r="M941" s="1"/>
      <c r="N941" s="1"/>
      <c r="O941" s="1"/>
      <c r="P941" s="1"/>
      <c r="Q941" s="1"/>
      <c r="R941" s="1"/>
      <c r="S941" s="1"/>
      <c r="T941" s="1"/>
      <c r="U941" s="1"/>
      <c r="V941" s="1"/>
      <c r="W941" s="1"/>
      <c r="X941" s="1"/>
      <c r="Y941" s="1"/>
    </row>
    <row r="942" spans="1:25">
      <c r="A942" s="1"/>
      <c r="B942" s="1"/>
      <c r="C942" s="1"/>
      <c r="D942" s="1"/>
      <c r="E942" s="1"/>
      <c r="F942" s="1"/>
      <c r="G942" s="1"/>
      <c r="H942" s="3"/>
      <c r="I942" s="1"/>
      <c r="J942" s="1"/>
      <c r="K942" s="1"/>
      <c r="L942" s="1"/>
      <c r="M942" s="1"/>
      <c r="N942" s="1"/>
      <c r="O942" s="1"/>
      <c r="P942" s="1"/>
      <c r="Q942" s="1"/>
      <c r="R942" s="1"/>
      <c r="S942" s="1"/>
      <c r="T942" s="1"/>
      <c r="U942" s="1"/>
      <c r="V942" s="1"/>
      <c r="W942" s="1"/>
      <c r="X942" s="1"/>
      <c r="Y942" s="1"/>
    </row>
    <row r="943" spans="1:25">
      <c r="A943" s="1"/>
      <c r="B943" s="1"/>
      <c r="C943" s="1"/>
      <c r="D943" s="1"/>
      <c r="E943" s="1"/>
      <c r="F943" s="1"/>
      <c r="G943" s="1"/>
      <c r="H943" s="3"/>
      <c r="I943" s="1"/>
      <c r="J943" s="1"/>
      <c r="K943" s="1"/>
      <c r="L943" s="1"/>
      <c r="M943" s="1"/>
      <c r="N943" s="1"/>
      <c r="O943" s="1"/>
      <c r="P943" s="1"/>
      <c r="Q943" s="1"/>
      <c r="R943" s="1"/>
      <c r="S943" s="1"/>
      <c r="T943" s="1"/>
      <c r="U943" s="1"/>
      <c r="V943" s="1"/>
      <c r="W943" s="1"/>
      <c r="X943" s="1"/>
      <c r="Y943" s="1"/>
    </row>
    <row r="944" spans="1:25">
      <c r="A944" s="1"/>
      <c r="B944" s="1"/>
      <c r="C944" s="1"/>
      <c r="D944" s="1"/>
      <c r="E944" s="1"/>
      <c r="F944" s="1"/>
      <c r="G944" s="1"/>
      <c r="H944" s="3"/>
      <c r="I944" s="1"/>
      <c r="J944" s="1"/>
      <c r="K944" s="1"/>
      <c r="L944" s="1"/>
      <c r="M944" s="1"/>
      <c r="N944" s="1"/>
      <c r="O944" s="1"/>
      <c r="P944" s="1"/>
      <c r="Q944" s="1"/>
      <c r="R944" s="1"/>
      <c r="S944" s="1"/>
      <c r="T944" s="1"/>
      <c r="U944" s="1"/>
      <c r="V944" s="1"/>
      <c r="W944" s="1"/>
      <c r="X944" s="1"/>
      <c r="Y944" s="1"/>
    </row>
    <row r="945" spans="1:25">
      <c r="A945" s="1"/>
      <c r="B945" s="1"/>
      <c r="C945" s="1"/>
      <c r="D945" s="1"/>
      <c r="E945" s="1"/>
      <c r="F945" s="1"/>
      <c r="G945" s="1"/>
      <c r="H945" s="3"/>
      <c r="I945" s="1"/>
      <c r="J945" s="1"/>
      <c r="K945" s="1"/>
      <c r="L945" s="1"/>
      <c r="M945" s="1"/>
      <c r="N945" s="1"/>
      <c r="O945" s="1"/>
      <c r="P945" s="1"/>
      <c r="Q945" s="1"/>
      <c r="R945" s="1"/>
      <c r="S945" s="1"/>
      <c r="T945" s="1"/>
      <c r="U945" s="1"/>
      <c r="V945" s="1"/>
      <c r="W945" s="1"/>
      <c r="X945" s="1"/>
      <c r="Y945" s="1"/>
    </row>
    <row r="946" spans="1:25">
      <c r="A946" s="1"/>
      <c r="B946" s="1"/>
      <c r="C946" s="1"/>
      <c r="D946" s="1"/>
      <c r="E946" s="1"/>
      <c r="F946" s="1"/>
      <c r="G946" s="1"/>
      <c r="H946" s="3"/>
      <c r="I946" s="1"/>
      <c r="J946" s="1"/>
      <c r="K946" s="1"/>
      <c r="L946" s="1"/>
      <c r="M946" s="1"/>
      <c r="N946" s="1"/>
      <c r="O946" s="1"/>
      <c r="P946" s="1"/>
      <c r="Q946" s="1"/>
      <c r="R946" s="1"/>
      <c r="S946" s="1"/>
      <c r="T946" s="1"/>
      <c r="U946" s="1"/>
      <c r="V946" s="1"/>
      <c r="W946" s="1"/>
      <c r="X946" s="1"/>
      <c r="Y946" s="1"/>
    </row>
    <row r="947" spans="1:25">
      <c r="A947" s="1"/>
      <c r="B947" s="1"/>
      <c r="C947" s="1"/>
      <c r="D947" s="1"/>
      <c r="E947" s="1"/>
      <c r="F947" s="1"/>
      <c r="G947" s="1"/>
      <c r="H947" s="3"/>
      <c r="I947" s="1"/>
      <c r="J947" s="1"/>
      <c r="K947" s="1"/>
      <c r="L947" s="1"/>
      <c r="M947" s="1"/>
      <c r="N947" s="1"/>
      <c r="O947" s="1"/>
      <c r="P947" s="1"/>
      <c r="Q947" s="1"/>
      <c r="R947" s="1"/>
      <c r="S947" s="1"/>
      <c r="T947" s="1"/>
      <c r="U947" s="1"/>
      <c r="V947" s="1"/>
      <c r="W947" s="1"/>
      <c r="X947" s="1"/>
      <c r="Y947" s="1"/>
    </row>
    <row r="948" spans="1:25">
      <c r="A948" s="1"/>
      <c r="B948" s="1"/>
      <c r="C948" s="1"/>
      <c r="D948" s="1"/>
      <c r="E948" s="1"/>
      <c r="F948" s="1"/>
      <c r="G948" s="1"/>
      <c r="H948" s="3"/>
      <c r="I948" s="1"/>
      <c r="J948" s="1"/>
      <c r="K948" s="1"/>
      <c r="L948" s="1"/>
      <c r="M948" s="1"/>
      <c r="N948" s="1"/>
      <c r="O948" s="1"/>
      <c r="P948" s="1"/>
      <c r="Q948" s="1"/>
      <c r="R948" s="1"/>
      <c r="S948" s="1"/>
      <c r="T948" s="1"/>
      <c r="U948" s="1"/>
      <c r="V948" s="1"/>
      <c r="W948" s="1"/>
      <c r="X948" s="1"/>
      <c r="Y948" s="1"/>
    </row>
    <row r="949" spans="1:25">
      <c r="A949" s="1"/>
      <c r="B949" s="1"/>
      <c r="C949" s="1"/>
      <c r="D949" s="1"/>
      <c r="E949" s="1"/>
      <c r="F949" s="1"/>
      <c r="G949" s="1"/>
      <c r="H949" s="3"/>
      <c r="I949" s="1"/>
      <c r="J949" s="1"/>
      <c r="K949" s="1"/>
      <c r="L949" s="1"/>
      <c r="M949" s="1"/>
      <c r="N949" s="1"/>
      <c r="O949" s="1"/>
      <c r="P949" s="1"/>
      <c r="Q949" s="1"/>
      <c r="R949" s="1"/>
      <c r="S949" s="1"/>
      <c r="T949" s="1"/>
      <c r="U949" s="1"/>
      <c r="V949" s="1"/>
      <c r="W949" s="1"/>
      <c r="X949" s="1"/>
      <c r="Y949" s="1"/>
    </row>
    <row r="950" spans="1:25">
      <c r="A950" s="1"/>
      <c r="B950" s="1"/>
      <c r="C950" s="1"/>
      <c r="D950" s="1"/>
      <c r="E950" s="1"/>
      <c r="F950" s="1"/>
      <c r="G950" s="1"/>
      <c r="H950" s="3"/>
      <c r="I950" s="1"/>
      <c r="J950" s="1"/>
      <c r="K950" s="1"/>
      <c r="L950" s="1"/>
      <c r="M950" s="1"/>
      <c r="N950" s="1"/>
      <c r="O950" s="1"/>
      <c r="P950" s="1"/>
      <c r="Q950" s="1"/>
      <c r="R950" s="1"/>
      <c r="S950" s="1"/>
      <c r="T950" s="1"/>
      <c r="U950" s="1"/>
      <c r="V950" s="1"/>
      <c r="W950" s="1"/>
      <c r="X950" s="1"/>
      <c r="Y950" s="1"/>
    </row>
    <row r="951" spans="1:25">
      <c r="A951" s="1"/>
      <c r="B951" s="1"/>
      <c r="C951" s="1"/>
      <c r="D951" s="1"/>
      <c r="E951" s="1"/>
      <c r="F951" s="1"/>
      <c r="G951" s="1"/>
      <c r="H951" s="3"/>
      <c r="I951" s="1"/>
      <c r="J951" s="1"/>
      <c r="K951" s="1"/>
      <c r="L951" s="1"/>
      <c r="M951" s="1"/>
      <c r="N951" s="1"/>
      <c r="O951" s="1"/>
      <c r="P951" s="1"/>
      <c r="Q951" s="1"/>
      <c r="R951" s="1"/>
      <c r="S951" s="1"/>
      <c r="T951" s="1"/>
      <c r="U951" s="1"/>
      <c r="V951" s="1"/>
      <c r="W951" s="1"/>
      <c r="X951" s="1"/>
      <c r="Y951" s="1"/>
    </row>
    <row r="952" spans="1:25">
      <c r="A952" s="1"/>
      <c r="B952" s="1"/>
      <c r="C952" s="1"/>
      <c r="D952" s="1"/>
      <c r="E952" s="1"/>
      <c r="F952" s="1"/>
      <c r="G952" s="1"/>
      <c r="H952" s="3"/>
      <c r="I952" s="1"/>
      <c r="J952" s="1"/>
      <c r="K952" s="1"/>
      <c r="L952" s="1"/>
      <c r="M952" s="1"/>
      <c r="N952" s="1"/>
      <c r="O952" s="1"/>
      <c r="P952" s="1"/>
      <c r="Q952" s="1"/>
      <c r="R952" s="1"/>
      <c r="S952" s="1"/>
      <c r="T952" s="1"/>
      <c r="U952" s="1"/>
      <c r="V952" s="1"/>
      <c r="W952" s="1"/>
      <c r="X952" s="1"/>
      <c r="Y952" s="1"/>
    </row>
    <row r="953" spans="1:25">
      <c r="A953" s="1"/>
      <c r="B953" s="1"/>
      <c r="C953" s="1"/>
      <c r="D953" s="1"/>
      <c r="E953" s="1"/>
      <c r="F953" s="1"/>
      <c r="G953" s="1"/>
      <c r="H953" s="3"/>
      <c r="I953" s="1"/>
      <c r="J953" s="1"/>
      <c r="K953" s="1"/>
      <c r="L953" s="1"/>
      <c r="M953" s="1"/>
      <c r="N953" s="1"/>
      <c r="O953" s="1"/>
      <c r="P953" s="1"/>
      <c r="Q953" s="1"/>
      <c r="R953" s="1"/>
      <c r="S953" s="1"/>
      <c r="T953" s="1"/>
      <c r="U953" s="1"/>
      <c r="V953" s="1"/>
      <c r="W953" s="1"/>
      <c r="X953" s="1"/>
      <c r="Y953" s="1"/>
    </row>
    <row r="954" spans="1:25">
      <c r="A954" s="1"/>
      <c r="B954" s="1"/>
      <c r="C954" s="1"/>
      <c r="D954" s="1"/>
      <c r="E954" s="1"/>
      <c r="F954" s="1"/>
      <c r="G954" s="1"/>
      <c r="H954" s="3"/>
      <c r="I954" s="1"/>
      <c r="J954" s="1"/>
      <c r="K954" s="1"/>
      <c r="L954" s="1"/>
      <c r="M954" s="1"/>
      <c r="N954" s="1"/>
      <c r="O954" s="1"/>
      <c r="P954" s="1"/>
      <c r="Q954" s="1"/>
      <c r="R954" s="1"/>
      <c r="S954" s="1"/>
      <c r="T954" s="1"/>
      <c r="U954" s="1"/>
      <c r="V954" s="1"/>
      <c r="W954" s="1"/>
      <c r="X954" s="1"/>
      <c r="Y954" s="1"/>
    </row>
    <row r="955" spans="1:25">
      <c r="A955" s="1"/>
      <c r="B955" s="1"/>
      <c r="C955" s="1"/>
      <c r="D955" s="1"/>
      <c r="E955" s="1"/>
      <c r="F955" s="1"/>
      <c r="G955" s="1"/>
      <c r="H955" s="3"/>
      <c r="I955" s="1"/>
      <c r="J955" s="1"/>
      <c r="K955" s="1"/>
      <c r="L955" s="1"/>
      <c r="M955" s="1"/>
      <c r="N955" s="1"/>
      <c r="O955" s="1"/>
      <c r="P955" s="1"/>
      <c r="Q955" s="1"/>
      <c r="R955" s="1"/>
      <c r="S955" s="1"/>
      <c r="T955" s="1"/>
      <c r="U955" s="1"/>
      <c r="V955" s="1"/>
      <c r="W955" s="1"/>
      <c r="X955" s="1"/>
      <c r="Y955" s="1"/>
    </row>
    <row r="956" spans="1:25">
      <c r="A956" s="1"/>
      <c r="B956" s="1"/>
      <c r="C956" s="1"/>
      <c r="D956" s="1"/>
      <c r="E956" s="1"/>
      <c r="F956" s="1"/>
      <c r="G956" s="1"/>
      <c r="H956" s="3"/>
      <c r="I956" s="1"/>
      <c r="J956" s="1"/>
      <c r="K956" s="1"/>
      <c r="L956" s="1"/>
      <c r="M956" s="1"/>
      <c r="N956" s="1"/>
      <c r="O956" s="1"/>
      <c r="P956" s="1"/>
      <c r="Q956" s="1"/>
      <c r="R956" s="1"/>
      <c r="S956" s="1"/>
      <c r="T956" s="1"/>
      <c r="U956" s="1"/>
      <c r="V956" s="1"/>
      <c r="W956" s="1"/>
      <c r="X956" s="1"/>
      <c r="Y956" s="1"/>
    </row>
    <row r="957" spans="1:25">
      <c r="A957" s="1"/>
      <c r="B957" s="1"/>
      <c r="C957" s="1"/>
      <c r="D957" s="1"/>
      <c r="E957" s="1"/>
      <c r="F957" s="1"/>
      <c r="G957" s="1"/>
      <c r="H957" s="3"/>
      <c r="I957" s="1"/>
      <c r="J957" s="1"/>
      <c r="K957" s="1"/>
      <c r="L957" s="1"/>
      <c r="M957" s="1"/>
      <c r="N957" s="1"/>
      <c r="O957" s="1"/>
      <c r="P957" s="1"/>
      <c r="Q957" s="1"/>
      <c r="R957" s="1"/>
      <c r="S957" s="1"/>
      <c r="T957" s="1"/>
      <c r="U957" s="1"/>
      <c r="V957" s="1"/>
      <c r="W957" s="1"/>
      <c r="X957" s="1"/>
      <c r="Y957" s="1"/>
    </row>
    <row r="958" spans="1:25">
      <c r="A958" s="1"/>
      <c r="B958" s="1"/>
      <c r="C958" s="1"/>
      <c r="D958" s="1"/>
      <c r="E958" s="1"/>
      <c r="F958" s="1"/>
      <c r="G958" s="1"/>
      <c r="H958" s="3"/>
      <c r="I958" s="1"/>
      <c r="J958" s="1"/>
      <c r="K958" s="1"/>
      <c r="L958" s="1"/>
      <c r="M958" s="1"/>
      <c r="N958" s="1"/>
      <c r="O958" s="1"/>
      <c r="P958" s="1"/>
      <c r="Q958" s="1"/>
      <c r="R958" s="1"/>
      <c r="S958" s="1"/>
      <c r="T958" s="1"/>
      <c r="U958" s="1"/>
      <c r="V958" s="1"/>
      <c r="W958" s="1"/>
      <c r="X958" s="1"/>
      <c r="Y958" s="1"/>
    </row>
    <row r="959" spans="1:25">
      <c r="A959" s="1"/>
      <c r="B959" s="1"/>
      <c r="C959" s="1"/>
      <c r="D959" s="1"/>
      <c r="E959" s="1"/>
      <c r="F959" s="1"/>
      <c r="G959" s="1"/>
      <c r="H959" s="3"/>
      <c r="I959" s="1"/>
      <c r="J959" s="1"/>
      <c r="K959" s="1"/>
      <c r="L959" s="1"/>
      <c r="M959" s="1"/>
      <c r="N959" s="1"/>
      <c r="O959" s="1"/>
      <c r="P959" s="1"/>
      <c r="Q959" s="1"/>
      <c r="R959" s="1"/>
      <c r="S959" s="1"/>
      <c r="T959" s="1"/>
      <c r="U959" s="1"/>
      <c r="V959" s="1"/>
      <c r="W959" s="1"/>
      <c r="X959" s="1"/>
      <c r="Y959" s="1"/>
    </row>
    <row r="960" spans="1:25">
      <c r="A960" s="1"/>
      <c r="B960" s="1"/>
      <c r="C960" s="1"/>
      <c r="D960" s="1"/>
      <c r="E960" s="1"/>
      <c r="F960" s="1"/>
      <c r="G960" s="1"/>
      <c r="H960" s="3"/>
      <c r="I960" s="1"/>
      <c r="J960" s="1"/>
      <c r="K960" s="1"/>
      <c r="L960" s="1"/>
      <c r="M960" s="1"/>
      <c r="N960" s="1"/>
      <c r="O960" s="1"/>
      <c r="P960" s="1"/>
      <c r="Q960" s="1"/>
      <c r="R960" s="1"/>
      <c r="S960" s="1"/>
      <c r="T960" s="1"/>
      <c r="U960" s="1"/>
      <c r="V960" s="1"/>
      <c r="W960" s="1"/>
      <c r="X960" s="1"/>
      <c r="Y960" s="1"/>
    </row>
    <row r="961" spans="1:25">
      <c r="A961" s="1"/>
      <c r="B961" s="1"/>
      <c r="C961" s="1"/>
      <c r="D961" s="1"/>
      <c r="E961" s="1"/>
      <c r="F961" s="1"/>
      <c r="G961" s="1"/>
      <c r="H961" s="3"/>
      <c r="I961" s="1"/>
      <c r="J961" s="1"/>
      <c r="K961" s="1"/>
      <c r="L961" s="1"/>
      <c r="M961" s="1"/>
      <c r="N961" s="1"/>
      <c r="O961" s="1"/>
      <c r="P961" s="1"/>
      <c r="Q961" s="1"/>
      <c r="R961" s="1"/>
      <c r="S961" s="1"/>
      <c r="T961" s="1"/>
      <c r="U961" s="1"/>
      <c r="V961" s="1"/>
      <c r="W961" s="1"/>
      <c r="X961" s="1"/>
      <c r="Y961" s="1"/>
    </row>
    <row r="962" spans="1:25">
      <c r="A962" s="1"/>
      <c r="B962" s="1"/>
      <c r="C962" s="1"/>
      <c r="D962" s="1"/>
      <c r="E962" s="1"/>
      <c r="F962" s="1"/>
      <c r="G962" s="1"/>
      <c r="H962" s="3"/>
      <c r="I962" s="1"/>
      <c r="J962" s="1"/>
      <c r="K962" s="1"/>
      <c r="L962" s="1"/>
      <c r="M962" s="1"/>
      <c r="N962" s="1"/>
      <c r="O962" s="1"/>
      <c r="P962" s="1"/>
      <c r="Q962" s="1"/>
      <c r="R962" s="1"/>
      <c r="S962" s="1"/>
      <c r="T962" s="1"/>
      <c r="U962" s="1"/>
      <c r="V962" s="1"/>
      <c r="W962" s="1"/>
      <c r="X962" s="1"/>
      <c r="Y962" s="1"/>
    </row>
    <row r="963" spans="1:25">
      <c r="A963" s="1"/>
      <c r="B963" s="1"/>
      <c r="C963" s="1"/>
      <c r="D963" s="1"/>
      <c r="E963" s="1"/>
      <c r="F963" s="1"/>
      <c r="G963" s="1"/>
      <c r="H963" s="3"/>
      <c r="I963" s="1"/>
      <c r="J963" s="1"/>
      <c r="K963" s="1"/>
      <c r="L963" s="1"/>
      <c r="M963" s="1"/>
      <c r="N963" s="1"/>
      <c r="O963" s="1"/>
      <c r="P963" s="1"/>
      <c r="Q963" s="1"/>
      <c r="R963" s="1"/>
      <c r="S963" s="1"/>
      <c r="T963" s="1"/>
      <c r="U963" s="1"/>
      <c r="V963" s="1"/>
      <c r="W963" s="1"/>
      <c r="X963" s="1"/>
      <c r="Y963" s="1"/>
    </row>
    <row r="964" spans="1:25">
      <c r="A964" s="1"/>
      <c r="B964" s="1"/>
      <c r="C964" s="1"/>
      <c r="D964" s="1"/>
      <c r="E964" s="1"/>
      <c r="F964" s="1"/>
      <c r="G964" s="1"/>
      <c r="H964" s="3"/>
      <c r="I964" s="1"/>
      <c r="J964" s="1"/>
      <c r="K964" s="1"/>
      <c r="L964" s="1"/>
      <c r="M964" s="1"/>
      <c r="N964" s="1"/>
      <c r="O964" s="1"/>
      <c r="P964" s="1"/>
      <c r="Q964" s="1"/>
      <c r="R964" s="1"/>
      <c r="S964" s="1"/>
      <c r="T964" s="1"/>
      <c r="U964" s="1"/>
      <c r="V964" s="1"/>
      <c r="W964" s="1"/>
      <c r="X964" s="1"/>
      <c r="Y964" s="1"/>
    </row>
    <row r="965" spans="1:25">
      <c r="A965" s="1"/>
      <c r="B965" s="1"/>
      <c r="C965" s="1"/>
      <c r="D965" s="1"/>
      <c r="E965" s="1"/>
      <c r="F965" s="1"/>
      <c r="G965" s="1"/>
      <c r="H965" s="3"/>
      <c r="I965" s="1"/>
      <c r="J965" s="1"/>
      <c r="K965" s="1"/>
      <c r="L965" s="1"/>
      <c r="M965" s="1"/>
      <c r="N965" s="1"/>
      <c r="O965" s="1"/>
      <c r="P965" s="1"/>
      <c r="Q965" s="1"/>
      <c r="R965" s="1"/>
      <c r="S965" s="1"/>
      <c r="T965" s="1"/>
      <c r="U965" s="1"/>
      <c r="V965" s="1"/>
      <c r="W965" s="1"/>
      <c r="X965" s="1"/>
      <c r="Y965" s="1"/>
    </row>
    <row r="966" spans="1:25">
      <c r="A966" s="1"/>
      <c r="B966" s="1"/>
      <c r="C966" s="1"/>
      <c r="D966" s="1"/>
      <c r="E966" s="1"/>
      <c r="F966" s="1"/>
      <c r="G966" s="1"/>
      <c r="H966" s="3"/>
      <c r="I966" s="1"/>
      <c r="J966" s="1"/>
      <c r="K966" s="1"/>
      <c r="L966" s="1"/>
      <c r="M966" s="1"/>
      <c r="N966" s="1"/>
      <c r="O966" s="1"/>
      <c r="P966" s="1"/>
      <c r="Q966" s="1"/>
      <c r="R966" s="1"/>
      <c r="S966" s="1"/>
      <c r="T966" s="1"/>
      <c r="U966" s="1"/>
      <c r="V966" s="1"/>
      <c r="W966" s="1"/>
      <c r="X966" s="1"/>
      <c r="Y966" s="1"/>
    </row>
    <row r="967" spans="1:25">
      <c r="A967" s="1"/>
      <c r="B967" s="1"/>
      <c r="C967" s="1"/>
      <c r="D967" s="1"/>
      <c r="E967" s="1"/>
      <c r="F967" s="1"/>
      <c r="G967" s="1"/>
      <c r="H967" s="3"/>
      <c r="I967" s="1"/>
      <c r="J967" s="1"/>
      <c r="K967" s="1"/>
      <c r="L967" s="1"/>
      <c r="M967" s="1"/>
      <c r="N967" s="1"/>
      <c r="O967" s="1"/>
      <c r="P967" s="1"/>
      <c r="Q967" s="1"/>
      <c r="R967" s="1"/>
      <c r="S967" s="1"/>
      <c r="T967" s="1"/>
      <c r="U967" s="1"/>
      <c r="V967" s="1"/>
      <c r="W967" s="1"/>
      <c r="X967" s="1"/>
      <c r="Y967" s="1"/>
    </row>
    <row r="968" spans="1:25">
      <c r="A968" s="1"/>
      <c r="B968" s="1"/>
      <c r="C968" s="1"/>
      <c r="D968" s="1"/>
      <c r="E968" s="1"/>
      <c r="F968" s="1"/>
      <c r="G968" s="1"/>
      <c r="H968" s="3"/>
      <c r="I968" s="1"/>
      <c r="J968" s="1"/>
      <c r="K968" s="1"/>
      <c r="L968" s="1"/>
      <c r="M968" s="1"/>
      <c r="N968" s="1"/>
      <c r="O968" s="1"/>
      <c r="P968" s="1"/>
      <c r="Q968" s="1"/>
      <c r="R968" s="1"/>
      <c r="S968" s="1"/>
      <c r="T968" s="1"/>
      <c r="U968" s="1"/>
      <c r="V968" s="1"/>
      <c r="W968" s="1"/>
      <c r="X968" s="1"/>
      <c r="Y968" s="1"/>
    </row>
    <row r="969" spans="1:25">
      <c r="A969" s="1"/>
      <c r="B969" s="1"/>
      <c r="C969" s="1"/>
      <c r="D969" s="1"/>
      <c r="E969" s="1"/>
      <c r="F969" s="1"/>
      <c r="G969" s="1"/>
      <c r="H969" s="3"/>
      <c r="I969" s="1"/>
      <c r="J969" s="1"/>
      <c r="K969" s="1"/>
      <c r="L969" s="1"/>
      <c r="M969" s="1"/>
      <c r="N969" s="1"/>
      <c r="O969" s="1"/>
      <c r="P969" s="1"/>
      <c r="Q969" s="1"/>
      <c r="R969" s="1"/>
      <c r="S969" s="1"/>
      <c r="T969" s="1"/>
      <c r="U969" s="1"/>
      <c r="V969" s="1"/>
      <c r="W969" s="1"/>
      <c r="X969" s="1"/>
      <c r="Y969" s="1"/>
    </row>
    <row r="970" spans="1:25">
      <c r="A970" s="1"/>
      <c r="B970" s="1"/>
      <c r="C970" s="1"/>
      <c r="D970" s="1"/>
      <c r="E970" s="1"/>
      <c r="F970" s="1"/>
      <c r="G970" s="1"/>
      <c r="H970" s="3"/>
      <c r="I970" s="1"/>
      <c r="J970" s="1"/>
      <c r="K970" s="1"/>
      <c r="L970" s="1"/>
      <c r="M970" s="1"/>
      <c r="N970" s="1"/>
      <c r="O970" s="1"/>
      <c r="P970" s="1"/>
      <c r="Q970" s="1"/>
      <c r="R970" s="1"/>
      <c r="S970" s="1"/>
      <c r="T970" s="1"/>
      <c r="U970" s="1"/>
      <c r="V970" s="1"/>
      <c r="W970" s="1"/>
      <c r="X970" s="1"/>
      <c r="Y970" s="1"/>
    </row>
    <row r="971" spans="1:25">
      <c r="A971" s="1"/>
      <c r="B971" s="1"/>
      <c r="C971" s="1"/>
      <c r="D971" s="1"/>
      <c r="E971" s="1"/>
      <c r="F971" s="1"/>
      <c r="G971" s="1"/>
      <c r="H971" s="3"/>
      <c r="I971" s="1"/>
      <c r="J971" s="1"/>
      <c r="K971" s="1"/>
      <c r="L971" s="1"/>
      <c r="M971" s="1"/>
      <c r="N971" s="1"/>
      <c r="O971" s="1"/>
      <c r="P971" s="1"/>
      <c r="Q971" s="1"/>
      <c r="R971" s="1"/>
      <c r="S971" s="1"/>
      <c r="T971" s="1"/>
      <c r="U971" s="1"/>
      <c r="V971" s="1"/>
      <c r="W971" s="1"/>
      <c r="X971" s="1"/>
      <c r="Y971" s="1"/>
    </row>
    <row r="972" spans="1:25">
      <c r="A972" s="1"/>
      <c r="B972" s="1"/>
      <c r="C972" s="1"/>
      <c r="D972" s="1"/>
      <c r="E972" s="1"/>
      <c r="F972" s="1"/>
      <c r="G972" s="1"/>
      <c r="H972" s="3"/>
      <c r="I972" s="1"/>
      <c r="J972" s="1"/>
      <c r="K972" s="1"/>
      <c r="L972" s="1"/>
      <c r="M972" s="1"/>
      <c r="N972" s="1"/>
      <c r="O972" s="1"/>
      <c r="P972" s="1"/>
      <c r="Q972" s="1"/>
      <c r="R972" s="1"/>
      <c r="S972" s="1"/>
      <c r="T972" s="1"/>
      <c r="U972" s="1"/>
      <c r="V972" s="1"/>
      <c r="W972" s="1"/>
      <c r="X972" s="1"/>
      <c r="Y972" s="1"/>
    </row>
    <row r="973" spans="1:25">
      <c r="A973" s="1"/>
      <c r="B973" s="1"/>
      <c r="C973" s="1"/>
      <c r="D973" s="1"/>
      <c r="E973" s="1"/>
      <c r="F973" s="1"/>
      <c r="G973" s="1"/>
      <c r="H973" s="3"/>
      <c r="I973" s="1"/>
      <c r="J973" s="1"/>
      <c r="K973" s="1"/>
      <c r="L973" s="1"/>
      <c r="M973" s="1"/>
      <c r="N973" s="1"/>
      <c r="O973" s="1"/>
      <c r="P973" s="1"/>
      <c r="Q973" s="1"/>
      <c r="R973" s="1"/>
      <c r="S973" s="1"/>
      <c r="T973" s="1"/>
      <c r="U973" s="1"/>
      <c r="V973" s="1"/>
      <c r="W973" s="1"/>
      <c r="X973" s="1"/>
      <c r="Y973" s="1"/>
    </row>
    <row r="974" spans="1:25">
      <c r="A974" s="1"/>
      <c r="B974" s="1"/>
      <c r="C974" s="1"/>
      <c r="D974" s="1"/>
      <c r="E974" s="1"/>
      <c r="F974" s="1"/>
      <c r="G974" s="1"/>
      <c r="H974" s="3"/>
      <c r="I974" s="1"/>
      <c r="J974" s="1"/>
      <c r="K974" s="1"/>
      <c r="L974" s="1"/>
      <c r="M974" s="1"/>
      <c r="N974" s="1"/>
      <c r="O974" s="1"/>
      <c r="P974" s="1"/>
      <c r="Q974" s="1"/>
      <c r="R974" s="1"/>
      <c r="S974" s="1"/>
      <c r="T974" s="1"/>
      <c r="U974" s="1"/>
      <c r="V974" s="1"/>
      <c r="W974" s="1"/>
      <c r="X974" s="1"/>
      <c r="Y974" s="1"/>
    </row>
    <row r="975" spans="1:25">
      <c r="A975" s="1"/>
      <c r="B975" s="1"/>
      <c r="C975" s="1"/>
      <c r="D975" s="1"/>
      <c r="E975" s="1"/>
      <c r="F975" s="1"/>
      <c r="G975" s="1"/>
      <c r="H975" s="3"/>
      <c r="I975" s="1"/>
      <c r="J975" s="1"/>
      <c r="K975" s="1"/>
      <c r="L975" s="1"/>
      <c r="M975" s="1"/>
      <c r="N975" s="1"/>
      <c r="O975" s="1"/>
      <c r="P975" s="1"/>
      <c r="Q975" s="1"/>
      <c r="R975" s="1"/>
      <c r="S975" s="1"/>
      <c r="T975" s="1"/>
      <c r="U975" s="1"/>
      <c r="V975" s="1"/>
      <c r="W975" s="1"/>
      <c r="X975" s="1"/>
      <c r="Y975" s="1"/>
    </row>
    <row r="976" spans="1:25">
      <c r="A976" s="1"/>
      <c r="B976" s="1"/>
      <c r="C976" s="1"/>
      <c r="D976" s="1"/>
      <c r="E976" s="1"/>
      <c r="F976" s="1"/>
      <c r="G976" s="1"/>
      <c r="H976" s="3"/>
      <c r="I976" s="1"/>
      <c r="J976" s="1"/>
      <c r="K976" s="1"/>
      <c r="L976" s="1"/>
      <c r="M976" s="1"/>
      <c r="N976" s="1"/>
      <c r="O976" s="1"/>
      <c r="P976" s="1"/>
      <c r="Q976" s="1"/>
      <c r="R976" s="1"/>
      <c r="S976" s="1"/>
      <c r="T976" s="1"/>
      <c r="U976" s="1"/>
      <c r="V976" s="1"/>
      <c r="W976" s="1"/>
      <c r="X976" s="1"/>
      <c r="Y976" s="1"/>
    </row>
    <row r="977" spans="1:25">
      <c r="A977" s="1"/>
      <c r="B977" s="1"/>
      <c r="C977" s="1"/>
      <c r="D977" s="1"/>
      <c r="E977" s="1"/>
      <c r="F977" s="1"/>
      <c r="G977" s="1"/>
      <c r="H977" s="3"/>
      <c r="I977" s="1"/>
      <c r="J977" s="1"/>
      <c r="K977" s="1"/>
      <c r="L977" s="1"/>
      <c r="M977" s="1"/>
      <c r="N977" s="1"/>
      <c r="O977" s="1"/>
      <c r="P977" s="1"/>
      <c r="Q977" s="1"/>
      <c r="R977" s="1"/>
      <c r="S977" s="1"/>
      <c r="T977" s="1"/>
      <c r="U977" s="1"/>
      <c r="V977" s="1"/>
      <c r="W977" s="1"/>
      <c r="X977" s="1"/>
      <c r="Y977" s="1"/>
    </row>
    <row r="978" spans="1:25">
      <c r="A978" s="1"/>
      <c r="B978" s="1"/>
      <c r="C978" s="1"/>
      <c r="D978" s="1"/>
      <c r="E978" s="1"/>
      <c r="F978" s="1"/>
      <c r="G978" s="1"/>
      <c r="H978" s="3"/>
      <c r="I978" s="1"/>
      <c r="J978" s="1"/>
      <c r="K978" s="1"/>
      <c r="L978" s="1"/>
      <c r="M978" s="1"/>
      <c r="N978" s="1"/>
      <c r="O978" s="1"/>
      <c r="P978" s="1"/>
      <c r="Q978" s="1"/>
      <c r="R978" s="1"/>
      <c r="S978" s="1"/>
      <c r="T978" s="1"/>
      <c r="U978" s="1"/>
      <c r="V978" s="1"/>
      <c r="W978" s="1"/>
      <c r="X978" s="1"/>
      <c r="Y978" s="1"/>
    </row>
    <row r="979" spans="1:25">
      <c r="A979" s="1"/>
      <c r="B979" s="1"/>
      <c r="C979" s="1"/>
      <c r="D979" s="1"/>
      <c r="E979" s="1"/>
      <c r="F979" s="1"/>
      <c r="G979" s="1"/>
      <c r="H979" s="3"/>
      <c r="I979" s="1"/>
      <c r="J979" s="1"/>
      <c r="K979" s="1"/>
      <c r="L979" s="1"/>
      <c r="M979" s="1"/>
      <c r="N979" s="1"/>
      <c r="O979" s="1"/>
      <c r="P979" s="1"/>
      <c r="Q979" s="1"/>
      <c r="R979" s="1"/>
      <c r="S979" s="1"/>
      <c r="T979" s="1"/>
      <c r="U979" s="1"/>
      <c r="V979" s="1"/>
      <c r="W979" s="1"/>
      <c r="X979" s="1"/>
      <c r="Y979" s="1"/>
    </row>
    <row r="980" spans="1:25">
      <c r="A980" s="1"/>
      <c r="B980" s="1"/>
      <c r="C980" s="1"/>
      <c r="D980" s="1"/>
      <c r="E980" s="1"/>
      <c r="F980" s="1"/>
      <c r="G980" s="1"/>
      <c r="H980" s="3"/>
      <c r="I980" s="1"/>
      <c r="J980" s="1"/>
      <c r="K980" s="1"/>
      <c r="L980" s="1"/>
      <c r="M980" s="1"/>
      <c r="N980" s="1"/>
      <c r="O980" s="1"/>
      <c r="P980" s="1"/>
      <c r="Q980" s="1"/>
      <c r="R980" s="1"/>
      <c r="S980" s="1"/>
      <c r="T980" s="1"/>
      <c r="U980" s="1"/>
      <c r="V980" s="1"/>
      <c r="W980" s="1"/>
      <c r="X980" s="1"/>
      <c r="Y980" s="1"/>
    </row>
    <row r="981" spans="1:25">
      <c r="A981" s="1"/>
      <c r="B981" s="1"/>
      <c r="C981" s="1"/>
      <c r="D981" s="1"/>
      <c r="E981" s="1"/>
      <c r="F981" s="1"/>
      <c r="G981" s="1"/>
      <c r="H981" s="3"/>
      <c r="I981" s="1"/>
      <c r="J981" s="1"/>
      <c r="K981" s="1"/>
      <c r="L981" s="1"/>
      <c r="M981" s="1"/>
      <c r="N981" s="1"/>
      <c r="O981" s="1"/>
      <c r="P981" s="1"/>
      <c r="Q981" s="1"/>
      <c r="R981" s="1"/>
      <c r="S981" s="1"/>
      <c r="T981" s="1"/>
      <c r="U981" s="1"/>
      <c r="V981" s="1"/>
      <c r="W981" s="1"/>
      <c r="X981" s="1"/>
      <c r="Y981" s="1"/>
    </row>
    <row r="982" spans="1:25">
      <c r="A982" s="1"/>
      <c r="B982" s="1"/>
      <c r="C982" s="1"/>
      <c r="D982" s="1"/>
      <c r="E982" s="1"/>
      <c r="F982" s="1"/>
      <c r="G982" s="1"/>
      <c r="H982" s="3"/>
      <c r="I982" s="1"/>
      <c r="J982" s="1"/>
      <c r="K982" s="1"/>
      <c r="L982" s="1"/>
      <c r="M982" s="1"/>
      <c r="N982" s="1"/>
      <c r="O982" s="1"/>
      <c r="P982" s="1"/>
      <c r="Q982" s="1"/>
      <c r="R982" s="1"/>
      <c r="S982" s="1"/>
      <c r="T982" s="1"/>
      <c r="U982" s="1"/>
      <c r="V982" s="1"/>
      <c r="W982" s="1"/>
      <c r="X982" s="1"/>
      <c r="Y982" s="1"/>
    </row>
    <row r="983" spans="1:25">
      <c r="A983" s="1"/>
      <c r="B983" s="1"/>
      <c r="C983" s="1"/>
      <c r="D983" s="1"/>
      <c r="E983" s="1"/>
      <c r="F983" s="1"/>
      <c r="G983" s="1"/>
      <c r="H983" s="3"/>
      <c r="I983" s="1"/>
      <c r="J983" s="1"/>
      <c r="K983" s="1"/>
      <c r="L983" s="1"/>
      <c r="M983" s="1"/>
      <c r="N983" s="1"/>
      <c r="O983" s="1"/>
      <c r="P983" s="1"/>
      <c r="Q983" s="1"/>
      <c r="R983" s="1"/>
      <c r="S983" s="1"/>
      <c r="T983" s="1"/>
      <c r="U983" s="1"/>
      <c r="V983" s="1"/>
      <c r="W983" s="1"/>
      <c r="X983" s="1"/>
      <c r="Y983" s="1"/>
    </row>
    <row r="984" spans="1:25">
      <c r="A984" s="1"/>
      <c r="B984" s="1"/>
      <c r="C984" s="1"/>
      <c r="D984" s="1"/>
      <c r="E984" s="1"/>
      <c r="F984" s="1"/>
      <c r="G984" s="1"/>
      <c r="H984" s="3"/>
      <c r="I984" s="1"/>
      <c r="J984" s="1"/>
      <c r="K984" s="1"/>
      <c r="L984" s="1"/>
      <c r="M984" s="1"/>
      <c r="N984" s="1"/>
      <c r="O984" s="1"/>
      <c r="P984" s="1"/>
      <c r="Q984" s="1"/>
      <c r="R984" s="1"/>
      <c r="S984" s="1"/>
      <c r="T984" s="1"/>
      <c r="U984" s="1"/>
      <c r="V984" s="1"/>
      <c r="W984" s="1"/>
      <c r="X984" s="1"/>
      <c r="Y984" s="1"/>
    </row>
    <row r="985" spans="1:25">
      <c r="A985" s="1"/>
      <c r="B985" s="1"/>
      <c r="C985" s="1"/>
      <c r="D985" s="1"/>
      <c r="E985" s="1"/>
      <c r="F985" s="1"/>
      <c r="G985" s="1"/>
      <c r="H985" s="3"/>
      <c r="I985" s="1"/>
      <c r="J985" s="1"/>
      <c r="K985" s="1"/>
      <c r="L985" s="1"/>
      <c r="M985" s="1"/>
      <c r="N985" s="1"/>
      <c r="O985" s="1"/>
      <c r="P985" s="1"/>
      <c r="Q985" s="1"/>
      <c r="R985" s="1"/>
      <c r="S985" s="1"/>
      <c r="T985" s="1"/>
      <c r="U985" s="1"/>
      <c r="V985" s="1"/>
      <c r="W985" s="1"/>
      <c r="X985" s="1"/>
      <c r="Y985" s="1"/>
    </row>
    <row r="986" spans="1:25">
      <c r="A986" s="1"/>
      <c r="B986" s="1"/>
      <c r="C986" s="1"/>
      <c r="D986" s="1"/>
      <c r="E986" s="1"/>
      <c r="F986" s="1"/>
      <c r="G986" s="1"/>
      <c r="H986" s="3"/>
      <c r="I986" s="1"/>
      <c r="J986" s="1"/>
      <c r="K986" s="1"/>
      <c r="L986" s="1"/>
      <c r="M986" s="1"/>
      <c r="N986" s="1"/>
      <c r="O986" s="1"/>
      <c r="P986" s="1"/>
      <c r="Q986" s="1"/>
      <c r="R986" s="1"/>
      <c r="S986" s="1"/>
      <c r="T986" s="1"/>
      <c r="U986" s="1"/>
      <c r="V986" s="1"/>
      <c r="W986" s="1"/>
      <c r="X986" s="1"/>
      <c r="Y986" s="1"/>
    </row>
    <row r="987" spans="1:25">
      <c r="A987" s="1"/>
      <c r="B987" s="1"/>
      <c r="C987" s="1"/>
      <c r="D987" s="1"/>
      <c r="E987" s="1"/>
      <c r="F987" s="1"/>
      <c r="G987" s="1"/>
      <c r="H987" s="3"/>
      <c r="I987" s="1"/>
      <c r="J987" s="1"/>
      <c r="K987" s="1"/>
      <c r="L987" s="1"/>
      <c r="M987" s="1"/>
      <c r="N987" s="1"/>
      <c r="O987" s="1"/>
      <c r="P987" s="1"/>
      <c r="Q987" s="1"/>
      <c r="R987" s="1"/>
      <c r="S987" s="1"/>
      <c r="T987" s="1"/>
      <c r="U987" s="1"/>
      <c r="V987" s="1"/>
      <c r="W987" s="1"/>
      <c r="X987" s="1"/>
      <c r="Y987" s="1"/>
    </row>
    <row r="988" spans="1:25">
      <c r="A988" s="1"/>
      <c r="B988" s="1"/>
      <c r="C988" s="1"/>
      <c r="D988" s="1"/>
      <c r="E988" s="1"/>
      <c r="F988" s="1"/>
      <c r="G988" s="1"/>
      <c r="H988" s="3"/>
      <c r="I988" s="1"/>
      <c r="J988" s="1"/>
      <c r="K988" s="1"/>
      <c r="L988" s="1"/>
      <c r="M988" s="1"/>
      <c r="N988" s="1"/>
      <c r="O988" s="1"/>
      <c r="P988" s="1"/>
      <c r="Q988" s="1"/>
      <c r="R988" s="1"/>
      <c r="S988" s="1"/>
      <c r="T988" s="1"/>
      <c r="U988" s="1"/>
      <c r="V988" s="1"/>
      <c r="W988" s="1"/>
      <c r="X988" s="1"/>
      <c r="Y988" s="1"/>
    </row>
    <row r="989" spans="1:25">
      <c r="A989" s="1"/>
      <c r="B989" s="1"/>
      <c r="C989" s="1"/>
      <c r="D989" s="1"/>
      <c r="E989" s="1"/>
      <c r="F989" s="1"/>
      <c r="G989" s="1"/>
      <c r="H989" s="3"/>
      <c r="I989" s="1"/>
      <c r="J989" s="1"/>
      <c r="K989" s="1"/>
      <c r="L989" s="1"/>
      <c r="M989" s="1"/>
      <c r="N989" s="1"/>
      <c r="O989" s="1"/>
      <c r="P989" s="1"/>
      <c r="Q989" s="1"/>
      <c r="R989" s="1"/>
      <c r="S989" s="1"/>
      <c r="T989" s="1"/>
      <c r="U989" s="1"/>
      <c r="V989" s="1"/>
      <c r="W989" s="1"/>
      <c r="X989" s="1"/>
      <c r="Y989" s="1"/>
    </row>
    <row r="990" spans="1:25">
      <c r="A990" s="1"/>
      <c r="B990" s="1"/>
      <c r="C990" s="1"/>
      <c r="D990" s="1"/>
      <c r="E990" s="1"/>
      <c r="F990" s="1"/>
      <c r="G990" s="1"/>
      <c r="H990" s="3"/>
      <c r="I990" s="1"/>
      <c r="J990" s="1"/>
      <c r="K990" s="1"/>
      <c r="L990" s="1"/>
      <c r="M990" s="1"/>
      <c r="N990" s="1"/>
      <c r="O990" s="1"/>
      <c r="P990" s="1"/>
      <c r="Q990" s="1"/>
      <c r="R990" s="1"/>
      <c r="S990" s="1"/>
      <c r="T990" s="1"/>
      <c r="U990" s="1"/>
      <c r="V990" s="1"/>
      <c r="W990" s="1"/>
      <c r="X990" s="1"/>
      <c r="Y990" s="1"/>
    </row>
    <row r="991" spans="1:25">
      <c r="A991" s="1"/>
      <c r="B991" s="1"/>
      <c r="C991" s="1"/>
      <c r="D991" s="1"/>
      <c r="E991" s="1"/>
      <c r="F991" s="1"/>
      <c r="G991" s="1"/>
      <c r="H991" s="3"/>
      <c r="I991" s="1"/>
      <c r="J991" s="1"/>
      <c r="K991" s="1"/>
      <c r="L991" s="1"/>
      <c r="M991" s="1"/>
      <c r="N991" s="1"/>
      <c r="O991" s="1"/>
      <c r="P991" s="1"/>
      <c r="Q991" s="1"/>
      <c r="R991" s="1"/>
      <c r="S991" s="1"/>
      <c r="T991" s="1"/>
      <c r="U991" s="1"/>
      <c r="V991" s="1"/>
      <c r="W991" s="1"/>
      <c r="X991" s="1"/>
      <c r="Y991" s="1"/>
    </row>
    <row r="992" spans="1:25">
      <c r="A992" s="1"/>
      <c r="B992" s="1"/>
      <c r="C992" s="1"/>
      <c r="D992" s="1"/>
      <c r="E992" s="1"/>
      <c r="F992" s="1"/>
      <c r="G992" s="1"/>
      <c r="H992" s="3"/>
      <c r="I992" s="1"/>
      <c r="J992" s="1"/>
      <c r="K992" s="1"/>
      <c r="L992" s="1"/>
      <c r="M992" s="1"/>
      <c r="N992" s="1"/>
      <c r="O992" s="1"/>
      <c r="P992" s="1"/>
      <c r="Q992" s="1"/>
      <c r="R992" s="1"/>
      <c r="S992" s="1"/>
      <c r="T992" s="1"/>
      <c r="U992" s="1"/>
      <c r="V992" s="1"/>
      <c r="W992" s="1"/>
      <c r="X992" s="1"/>
      <c r="Y992" s="1"/>
    </row>
    <row r="993" spans="1:25">
      <c r="A993" s="1"/>
      <c r="B993" s="1"/>
      <c r="C993" s="1"/>
      <c r="D993" s="1"/>
      <c r="E993" s="1"/>
      <c r="F993" s="1"/>
      <c r="G993" s="1"/>
      <c r="H993" s="3"/>
      <c r="I993" s="1"/>
      <c r="J993" s="1"/>
      <c r="K993" s="1"/>
      <c r="L993" s="1"/>
      <c r="M993" s="1"/>
      <c r="N993" s="1"/>
      <c r="O993" s="1"/>
      <c r="P993" s="1"/>
      <c r="Q993" s="1"/>
      <c r="R993" s="1"/>
      <c r="S993" s="1"/>
      <c r="T993" s="1"/>
      <c r="U993" s="1"/>
      <c r="V993" s="1"/>
      <c r="W993" s="1"/>
      <c r="X993" s="1"/>
      <c r="Y993" s="1"/>
    </row>
    <row r="994" spans="1:25">
      <c r="A994" s="1"/>
      <c r="B994" s="1"/>
      <c r="C994" s="1"/>
      <c r="D994" s="1"/>
      <c r="E994" s="1"/>
      <c r="F994" s="1"/>
      <c r="G994" s="1"/>
      <c r="H994" s="3"/>
      <c r="I994" s="1"/>
      <c r="J994" s="1"/>
      <c r="K994" s="1"/>
      <c r="L994" s="1"/>
      <c r="M994" s="1"/>
      <c r="N994" s="1"/>
      <c r="O994" s="1"/>
      <c r="P994" s="1"/>
      <c r="Q994" s="1"/>
      <c r="R994" s="1"/>
      <c r="S994" s="1"/>
      <c r="T994" s="1"/>
      <c r="U994" s="1"/>
      <c r="V994" s="1"/>
      <c r="W994" s="1"/>
      <c r="X994" s="1"/>
      <c r="Y994" s="1"/>
    </row>
    <row r="995" spans="1:25">
      <c r="A995" s="1"/>
      <c r="B995" s="1"/>
      <c r="C995" s="1"/>
      <c r="D995" s="1"/>
      <c r="E995" s="1"/>
      <c r="F995" s="1"/>
      <c r="G995" s="1"/>
      <c r="H995" s="3"/>
      <c r="I995" s="1"/>
      <c r="J995" s="1"/>
      <c r="K995" s="1"/>
      <c r="L995" s="1"/>
      <c r="M995" s="1"/>
      <c r="N995" s="1"/>
      <c r="O995" s="1"/>
      <c r="P995" s="1"/>
      <c r="Q995" s="1"/>
      <c r="R995" s="1"/>
      <c r="S995" s="1"/>
      <c r="T995" s="1"/>
      <c r="U995" s="1"/>
      <c r="V995" s="1"/>
      <c r="W995" s="1"/>
      <c r="X995" s="1"/>
      <c r="Y995" s="1"/>
    </row>
    <row r="996" spans="1:25">
      <c r="A996" s="1"/>
      <c r="B996" s="1"/>
      <c r="C996" s="1"/>
      <c r="D996" s="1"/>
      <c r="E996" s="1"/>
      <c r="F996" s="1"/>
      <c r="G996" s="1"/>
      <c r="H996" s="3"/>
      <c r="I996" s="1"/>
      <c r="J996" s="1"/>
      <c r="K996" s="1"/>
      <c r="L996" s="1"/>
      <c r="M996" s="1"/>
      <c r="N996" s="1"/>
      <c r="O996" s="1"/>
      <c r="P996" s="1"/>
      <c r="Q996" s="1"/>
      <c r="R996" s="1"/>
      <c r="S996" s="1"/>
      <c r="T996" s="1"/>
      <c r="U996" s="1"/>
      <c r="V996" s="1"/>
      <c r="W996" s="1"/>
      <c r="X996" s="1"/>
      <c r="Y996" s="1"/>
    </row>
    <row r="997" spans="1:25">
      <c r="A997" s="1"/>
      <c r="B997" s="1"/>
      <c r="C997" s="1"/>
      <c r="D997" s="1"/>
      <c r="E997" s="1"/>
      <c r="F997" s="1"/>
      <c r="G997" s="1"/>
      <c r="H997" s="3"/>
      <c r="I997" s="1"/>
      <c r="J997" s="1"/>
      <c r="K997" s="1"/>
      <c r="L997" s="1"/>
      <c r="M997" s="1"/>
      <c r="N997" s="1"/>
      <c r="O997" s="1"/>
      <c r="P997" s="1"/>
      <c r="Q997" s="1"/>
      <c r="R997" s="1"/>
      <c r="S997" s="1"/>
      <c r="T997" s="1"/>
      <c r="U997" s="1"/>
      <c r="V997" s="1"/>
      <c r="W997" s="1"/>
      <c r="X997" s="1"/>
      <c r="Y997" s="1"/>
    </row>
    <row r="998" spans="1:25">
      <c r="A998" s="1"/>
      <c r="B998" s="1"/>
      <c r="C998" s="1"/>
      <c r="D998" s="1"/>
      <c r="E998" s="1"/>
      <c r="F998" s="1"/>
      <c r="G998" s="1"/>
      <c r="H998" s="3"/>
      <c r="I998" s="1"/>
      <c r="J998" s="1"/>
      <c r="K998" s="1"/>
      <c r="L998" s="1"/>
      <c r="M998" s="1"/>
      <c r="N998" s="1"/>
      <c r="O998" s="1"/>
      <c r="P998" s="1"/>
      <c r="Q998" s="1"/>
      <c r="R998" s="1"/>
      <c r="S998" s="1"/>
      <c r="T998" s="1"/>
      <c r="U998" s="1"/>
      <c r="V998" s="1"/>
      <c r="W998" s="1"/>
      <c r="X998" s="1"/>
      <c r="Y998" s="1"/>
    </row>
    <row r="999" spans="1:25">
      <c r="A999" s="1"/>
      <c r="B999" s="1"/>
      <c r="C999" s="1"/>
      <c r="D999" s="1"/>
      <c r="E999" s="1"/>
      <c r="F999" s="1"/>
      <c r="G999" s="1"/>
      <c r="H999" s="3"/>
      <c r="I999" s="1"/>
      <c r="J999" s="1"/>
      <c r="K999" s="1"/>
      <c r="L999" s="1"/>
      <c r="M999" s="1"/>
      <c r="N999" s="1"/>
      <c r="O999" s="1"/>
      <c r="P999" s="1"/>
      <c r="Q999" s="1"/>
      <c r="R999" s="1"/>
      <c r="S999" s="1"/>
      <c r="T999" s="1"/>
      <c r="U999" s="1"/>
      <c r="V999" s="1"/>
      <c r="W999" s="1"/>
      <c r="X999" s="1"/>
      <c r="Y999" s="1"/>
    </row>
    <row r="1000" spans="1:25">
      <c r="A1000" s="1"/>
      <c r="B1000" s="1"/>
      <c r="C1000" s="1"/>
      <c r="D1000" s="1"/>
      <c r="E1000" s="1"/>
      <c r="F1000" s="1"/>
      <c r="G1000" s="1"/>
      <c r="H1000" s="3"/>
      <c r="I1000" s="1"/>
      <c r="J1000" s="1"/>
      <c r="K1000" s="1"/>
      <c r="L1000" s="1"/>
      <c r="M1000" s="1"/>
      <c r="N1000" s="1"/>
      <c r="O1000" s="1"/>
      <c r="P1000" s="1"/>
      <c r="Q1000" s="1"/>
      <c r="R1000" s="1"/>
      <c r="S1000" s="1"/>
      <c r="T1000" s="1"/>
      <c r="U1000" s="1"/>
      <c r="V1000" s="1"/>
      <c r="W1000" s="1"/>
      <c r="X1000" s="1"/>
      <c r="Y1000" s="1"/>
    </row>
    <row r="1001" spans="1:25">
      <c r="A1001" s="1"/>
      <c r="B1001" s="1"/>
      <c r="C1001" s="1"/>
      <c r="D1001" s="1"/>
      <c r="E1001" s="1"/>
      <c r="F1001" s="1"/>
      <c r="G1001" s="1"/>
      <c r="H1001" s="3"/>
      <c r="I1001" s="1"/>
      <c r="J1001" s="1"/>
      <c r="K1001" s="1"/>
      <c r="L1001" s="1"/>
      <c r="M1001" s="1"/>
      <c r="N1001" s="1"/>
      <c r="O1001" s="1"/>
      <c r="P1001" s="1"/>
      <c r="Q1001" s="1"/>
      <c r="R1001" s="1"/>
      <c r="S1001" s="1"/>
      <c r="T1001" s="1"/>
      <c r="U1001" s="1"/>
      <c r="V1001" s="1"/>
      <c r="W1001" s="1"/>
      <c r="X1001" s="1"/>
      <c r="Y1001" s="1"/>
    </row>
    <row r="1002" spans="1:25">
      <c r="A1002" s="1"/>
      <c r="B1002" s="1"/>
      <c r="C1002" s="1"/>
      <c r="D1002" s="1"/>
      <c r="E1002" s="1"/>
      <c r="F1002" s="1"/>
      <c r="G1002" s="1"/>
      <c r="H1002" s="3"/>
      <c r="I1002" s="1"/>
      <c r="J1002" s="1"/>
      <c r="K1002" s="1"/>
      <c r="L1002" s="1"/>
      <c r="M1002" s="1"/>
      <c r="N1002" s="1"/>
      <c r="O1002" s="1"/>
      <c r="P1002" s="1"/>
      <c r="Q1002" s="1"/>
      <c r="R1002" s="1"/>
      <c r="S1002" s="1"/>
      <c r="T1002" s="1"/>
      <c r="U1002" s="1"/>
      <c r="V1002" s="1"/>
      <c r="W1002" s="1"/>
      <c r="X1002" s="1"/>
      <c r="Y1002" s="1"/>
    </row>
    <row r="1003" spans="1:25">
      <c r="A1003" s="1"/>
      <c r="B1003" s="1"/>
      <c r="C1003" s="1"/>
      <c r="D1003" s="1"/>
      <c r="E1003" s="1"/>
      <c r="F1003" s="1"/>
      <c r="G1003" s="1"/>
      <c r="H1003" s="3"/>
      <c r="I1003" s="1"/>
      <c r="J1003" s="1"/>
      <c r="K1003" s="1"/>
      <c r="L1003" s="1"/>
      <c r="M1003" s="1"/>
      <c r="N1003" s="1"/>
      <c r="O1003" s="1"/>
      <c r="P1003" s="1"/>
      <c r="Q1003" s="1"/>
      <c r="R1003" s="1"/>
      <c r="S1003" s="1"/>
      <c r="T1003" s="1"/>
      <c r="U1003" s="1"/>
      <c r="V1003" s="1"/>
      <c r="W1003" s="1"/>
      <c r="X1003" s="1"/>
      <c r="Y1003" s="1"/>
    </row>
    <row r="1004" spans="1:25">
      <c r="A1004" s="1"/>
      <c r="B1004" s="1"/>
      <c r="C1004" s="1"/>
      <c r="D1004" s="1"/>
      <c r="E1004" s="1"/>
      <c r="F1004" s="1"/>
      <c r="G1004" s="1"/>
      <c r="H1004" s="3"/>
      <c r="I1004" s="1"/>
      <c r="J1004" s="1"/>
      <c r="K1004" s="1"/>
      <c r="L1004" s="1"/>
      <c r="M1004" s="1"/>
      <c r="N1004" s="1"/>
      <c r="O1004" s="1"/>
      <c r="P1004" s="1"/>
      <c r="Q1004" s="1"/>
      <c r="R1004" s="1"/>
      <c r="S1004" s="1"/>
      <c r="T1004" s="1"/>
      <c r="U1004" s="1"/>
      <c r="V1004" s="1"/>
      <c r="W1004" s="1"/>
      <c r="X1004" s="1"/>
      <c r="Y1004" s="1"/>
    </row>
    <row r="1005" spans="1:25">
      <c r="A1005" s="1"/>
      <c r="B1005" s="1"/>
      <c r="C1005" s="1"/>
      <c r="D1005" s="1"/>
      <c r="E1005" s="1"/>
      <c r="F1005" s="1"/>
      <c r="G1005" s="1"/>
      <c r="H1005" s="3"/>
      <c r="I1005" s="1"/>
      <c r="J1005" s="1"/>
      <c r="K1005" s="1"/>
      <c r="L1005" s="1"/>
      <c r="M1005" s="1"/>
      <c r="N1005" s="1"/>
      <c r="O1005" s="1"/>
      <c r="P1005" s="1"/>
      <c r="Q1005" s="1"/>
      <c r="R1005" s="1"/>
      <c r="S1005" s="1"/>
      <c r="T1005" s="1"/>
      <c r="U1005" s="1"/>
      <c r="V1005" s="1"/>
      <c r="W1005" s="1"/>
      <c r="X1005" s="1"/>
      <c r="Y1005" s="1"/>
    </row>
    <row r="1006" spans="1:25">
      <c r="A1006" s="1"/>
      <c r="B1006" s="1"/>
      <c r="C1006" s="1"/>
      <c r="D1006" s="1"/>
      <c r="E1006" s="1"/>
      <c r="F1006" s="1"/>
      <c r="G1006" s="1"/>
      <c r="H1006" s="3"/>
      <c r="I1006" s="1"/>
      <c r="J1006" s="1"/>
      <c r="K1006" s="1"/>
      <c r="L1006" s="1"/>
      <c r="M1006" s="1"/>
      <c r="N1006" s="1"/>
      <c r="O1006" s="1"/>
      <c r="P1006" s="1"/>
      <c r="Q1006" s="1"/>
      <c r="R1006" s="1"/>
      <c r="S1006" s="1"/>
      <c r="T1006" s="1"/>
      <c r="U1006" s="1"/>
      <c r="V1006" s="1"/>
      <c r="W1006" s="1"/>
      <c r="X1006" s="1"/>
      <c r="Y1006" s="1"/>
    </row>
    <row r="1007" spans="1:25">
      <c r="A1007" s="1"/>
      <c r="B1007" s="1"/>
      <c r="C1007" s="1"/>
      <c r="D1007" s="1"/>
      <c r="E1007" s="1"/>
      <c r="F1007" s="1"/>
      <c r="G1007" s="1"/>
      <c r="H1007" s="3"/>
      <c r="I1007" s="1"/>
      <c r="J1007" s="1"/>
      <c r="K1007" s="1"/>
      <c r="L1007" s="1"/>
      <c r="M1007" s="1"/>
      <c r="N1007" s="1"/>
      <c r="O1007" s="1"/>
      <c r="P1007" s="1"/>
      <c r="Q1007" s="1"/>
      <c r="R1007" s="1"/>
      <c r="S1007" s="1"/>
      <c r="T1007" s="1"/>
      <c r="U1007" s="1"/>
      <c r="V1007" s="1"/>
      <c r="W1007" s="1"/>
      <c r="X1007" s="1"/>
      <c r="Y1007" s="1"/>
    </row>
    <row r="1008" spans="1:25">
      <c r="A1008" s="1"/>
      <c r="B1008" s="1"/>
      <c r="C1008" s="1"/>
      <c r="D1008" s="1"/>
      <c r="E1008" s="1"/>
      <c r="F1008" s="1"/>
      <c r="G1008" s="1"/>
      <c r="H1008" s="3"/>
      <c r="I1008" s="1"/>
      <c r="J1008" s="1"/>
      <c r="K1008" s="1"/>
      <c r="L1008" s="1"/>
      <c r="M1008" s="1"/>
      <c r="N1008" s="1"/>
      <c r="O1008" s="1"/>
      <c r="P1008" s="1"/>
      <c r="Q1008" s="1"/>
      <c r="R1008" s="1"/>
      <c r="S1008" s="1"/>
      <c r="T1008" s="1"/>
      <c r="U1008" s="1"/>
      <c r="V1008" s="1"/>
      <c r="W1008" s="1"/>
      <c r="X1008" s="1"/>
      <c r="Y1008" s="1"/>
    </row>
    <row r="1009" spans="1:25">
      <c r="A1009" s="1"/>
      <c r="B1009" s="1"/>
      <c r="C1009" s="1"/>
      <c r="D1009" s="1"/>
      <c r="E1009" s="1"/>
      <c r="F1009" s="1"/>
      <c r="G1009" s="1"/>
      <c r="H1009" s="3"/>
      <c r="I1009" s="1"/>
      <c r="J1009" s="1"/>
      <c r="K1009" s="1"/>
      <c r="L1009" s="1"/>
      <c r="M1009" s="1"/>
      <c r="N1009" s="1"/>
      <c r="O1009" s="1"/>
      <c r="P1009" s="1"/>
      <c r="Q1009" s="1"/>
      <c r="R1009" s="1"/>
      <c r="S1009" s="1"/>
      <c r="T1009" s="1"/>
      <c r="U1009" s="1"/>
      <c r="V1009" s="1"/>
      <c r="W1009" s="1"/>
      <c r="X1009" s="1"/>
      <c r="Y1009" s="1"/>
    </row>
    <row r="1010" spans="1:25">
      <c r="A1010" s="1"/>
      <c r="B1010" s="1"/>
      <c r="C1010" s="1"/>
      <c r="D1010" s="1"/>
      <c r="E1010" s="1"/>
      <c r="F1010" s="1"/>
      <c r="G1010" s="1"/>
      <c r="H1010" s="3"/>
      <c r="I1010" s="1"/>
      <c r="J1010" s="1"/>
      <c r="K1010" s="1"/>
      <c r="L1010" s="1"/>
      <c r="M1010" s="1"/>
      <c r="N1010" s="1"/>
      <c r="O1010" s="1"/>
      <c r="P1010" s="1"/>
      <c r="Q1010" s="1"/>
      <c r="R1010" s="1"/>
      <c r="S1010" s="1"/>
      <c r="T1010" s="1"/>
      <c r="U1010" s="1"/>
      <c r="V1010" s="1"/>
      <c r="W1010" s="1"/>
      <c r="X1010" s="1"/>
      <c r="Y1010" s="1"/>
    </row>
    <row r="1011" spans="1:25">
      <c r="A1011" s="1"/>
      <c r="B1011" s="1"/>
      <c r="C1011" s="1"/>
      <c r="D1011" s="1"/>
      <c r="E1011" s="1"/>
      <c r="F1011" s="1"/>
      <c r="G1011" s="1"/>
      <c r="H1011" s="3"/>
      <c r="I1011" s="1"/>
      <c r="J1011" s="1"/>
      <c r="K1011" s="1"/>
      <c r="L1011" s="1"/>
      <c r="M1011" s="1"/>
      <c r="N1011" s="1"/>
      <c r="O1011" s="1"/>
      <c r="P1011" s="1"/>
      <c r="Q1011" s="1"/>
      <c r="R1011" s="1"/>
      <c r="S1011" s="1"/>
      <c r="T1011" s="1"/>
      <c r="U1011" s="1"/>
      <c r="V1011" s="1"/>
      <c r="W1011" s="1"/>
      <c r="X1011" s="1"/>
      <c r="Y1011" s="1"/>
    </row>
    <row r="1012" spans="1:25">
      <c r="A1012" s="1"/>
      <c r="B1012" s="1"/>
      <c r="C1012" s="1"/>
      <c r="D1012" s="1"/>
      <c r="E1012" s="1"/>
      <c r="F1012" s="1"/>
      <c r="G1012" s="1"/>
      <c r="H1012" s="3"/>
      <c r="I1012" s="1"/>
      <c r="J1012" s="1"/>
      <c r="K1012" s="1"/>
      <c r="L1012" s="1"/>
      <c r="M1012" s="1"/>
      <c r="N1012" s="1"/>
      <c r="O1012" s="1"/>
      <c r="P1012" s="1"/>
      <c r="Q1012" s="1"/>
      <c r="R1012" s="1"/>
      <c r="S1012" s="1"/>
      <c r="T1012" s="1"/>
      <c r="U1012" s="1"/>
      <c r="V1012" s="1"/>
      <c r="W1012" s="1"/>
      <c r="X1012" s="1"/>
      <c r="Y1012" s="1"/>
    </row>
    <row r="1013" spans="1:25">
      <c r="A1013" s="1"/>
      <c r="B1013" s="1"/>
      <c r="C1013" s="1"/>
      <c r="D1013" s="1"/>
      <c r="E1013" s="1"/>
      <c r="F1013" s="1"/>
      <c r="G1013" s="1"/>
      <c r="H1013" s="3"/>
      <c r="I1013" s="1"/>
      <c r="J1013" s="1"/>
      <c r="K1013" s="1"/>
      <c r="L1013" s="1"/>
      <c r="M1013" s="1"/>
      <c r="N1013" s="1"/>
      <c r="O1013" s="1"/>
      <c r="P1013" s="1"/>
      <c r="Q1013" s="1"/>
      <c r="R1013" s="1"/>
      <c r="S1013" s="1"/>
      <c r="T1013" s="1"/>
      <c r="U1013" s="1"/>
      <c r="V1013" s="1"/>
      <c r="W1013" s="1"/>
      <c r="X1013" s="1"/>
      <c r="Y1013" s="1"/>
    </row>
    <row r="1014" spans="1:25">
      <c r="A1014" s="1"/>
      <c r="B1014" s="1"/>
      <c r="C1014" s="1"/>
      <c r="D1014" s="1"/>
      <c r="E1014" s="1"/>
      <c r="F1014" s="1"/>
      <c r="G1014" s="1"/>
      <c r="H1014" s="3"/>
      <c r="I1014" s="1"/>
      <c r="J1014" s="1"/>
      <c r="K1014" s="1"/>
      <c r="L1014" s="1"/>
      <c r="M1014" s="1"/>
      <c r="N1014" s="1"/>
      <c r="O1014" s="1"/>
      <c r="P1014" s="1"/>
      <c r="Q1014" s="1"/>
      <c r="R1014" s="1"/>
      <c r="S1014" s="1"/>
      <c r="T1014" s="1"/>
      <c r="U1014" s="1"/>
      <c r="V1014" s="1"/>
      <c r="W1014" s="1"/>
      <c r="X1014" s="1"/>
      <c r="Y1014" s="1"/>
    </row>
    <row r="1015" spans="1:25">
      <c r="A1015" s="1"/>
      <c r="B1015" s="1"/>
      <c r="C1015" s="1"/>
      <c r="D1015" s="1"/>
      <c r="E1015" s="1"/>
      <c r="F1015" s="1"/>
      <c r="G1015" s="1"/>
      <c r="H1015" s="3"/>
      <c r="I1015" s="1"/>
      <c r="J1015" s="1"/>
      <c r="K1015" s="1"/>
      <c r="L1015" s="1"/>
      <c r="M1015" s="1"/>
      <c r="N1015" s="1"/>
      <c r="O1015" s="1"/>
      <c r="P1015" s="1"/>
      <c r="Q1015" s="1"/>
      <c r="R1015" s="1"/>
      <c r="S1015" s="1"/>
      <c r="T1015" s="1"/>
      <c r="U1015" s="1"/>
      <c r="V1015" s="1"/>
      <c r="W1015" s="1"/>
      <c r="X1015" s="1"/>
      <c r="Y1015" s="1"/>
    </row>
    <row r="1016" spans="1:25">
      <c r="A1016" s="1"/>
      <c r="B1016" s="1"/>
      <c r="C1016" s="1"/>
      <c r="D1016" s="1"/>
      <c r="E1016" s="1"/>
      <c r="F1016" s="1"/>
      <c r="G1016" s="1"/>
      <c r="H1016" s="3"/>
      <c r="I1016" s="1"/>
      <c r="J1016" s="1"/>
      <c r="K1016" s="1"/>
      <c r="L1016" s="1"/>
      <c r="M1016" s="1"/>
      <c r="N1016" s="1"/>
      <c r="O1016" s="1"/>
      <c r="P1016" s="1"/>
      <c r="Q1016" s="1"/>
      <c r="R1016" s="1"/>
      <c r="S1016" s="1"/>
      <c r="T1016" s="1"/>
      <c r="U1016" s="1"/>
      <c r="V1016" s="1"/>
      <c r="W1016" s="1"/>
      <c r="X1016" s="1"/>
      <c r="Y1016" s="1"/>
    </row>
    <row r="1017" spans="1:25">
      <c r="A1017" s="1"/>
      <c r="B1017" s="1"/>
      <c r="C1017" s="1"/>
      <c r="D1017" s="1"/>
      <c r="E1017" s="1"/>
      <c r="F1017" s="1"/>
      <c r="G1017" s="1"/>
      <c r="H1017" s="3"/>
      <c r="I1017" s="1"/>
      <c r="J1017" s="1"/>
      <c r="K1017" s="1"/>
      <c r="L1017" s="1"/>
      <c r="M1017" s="1"/>
      <c r="N1017" s="1"/>
      <c r="O1017" s="1"/>
      <c r="P1017" s="1"/>
      <c r="Q1017" s="1"/>
      <c r="R1017" s="1"/>
      <c r="S1017" s="1"/>
      <c r="T1017" s="1"/>
      <c r="U1017" s="1"/>
      <c r="V1017" s="1"/>
      <c r="W1017" s="1"/>
      <c r="X1017" s="1"/>
      <c r="Y1017" s="1"/>
    </row>
    <row r="1018" spans="1:25">
      <c r="A1018" s="1"/>
      <c r="B1018" s="1"/>
      <c r="C1018" s="1"/>
      <c r="D1018" s="1"/>
      <c r="E1018" s="1"/>
      <c r="F1018" s="1"/>
      <c r="G1018" s="1"/>
      <c r="H1018" s="3"/>
      <c r="I1018" s="1"/>
      <c r="J1018" s="1"/>
      <c r="K1018" s="1"/>
      <c r="L1018" s="1"/>
      <c r="M1018" s="1"/>
      <c r="N1018" s="1"/>
      <c r="O1018" s="1"/>
      <c r="P1018" s="1"/>
      <c r="Q1018" s="1"/>
      <c r="R1018" s="1"/>
      <c r="S1018" s="1"/>
      <c r="T1018" s="1"/>
      <c r="U1018" s="1"/>
      <c r="V1018" s="1"/>
      <c r="W1018" s="1"/>
      <c r="X1018" s="1"/>
      <c r="Y1018" s="1"/>
    </row>
    <row r="1019" spans="1:25">
      <c r="A1019" s="1"/>
      <c r="B1019" s="1"/>
      <c r="C1019" s="1"/>
      <c r="D1019" s="1"/>
      <c r="E1019" s="1"/>
      <c r="F1019" s="1"/>
      <c r="G1019" s="1"/>
      <c r="H1019" s="3"/>
      <c r="I1019" s="1"/>
      <c r="J1019" s="1"/>
      <c r="K1019" s="1"/>
      <c r="L1019" s="1"/>
      <c r="M1019" s="1"/>
      <c r="N1019" s="1"/>
      <c r="O1019" s="1"/>
      <c r="P1019" s="1"/>
      <c r="Q1019" s="1"/>
      <c r="R1019" s="1"/>
      <c r="S1019" s="1"/>
      <c r="T1019" s="1"/>
      <c r="U1019" s="1"/>
      <c r="V1019" s="1"/>
      <c r="W1019" s="1"/>
      <c r="X1019" s="1"/>
      <c r="Y1019" s="1"/>
    </row>
    <row r="1020" spans="1:25">
      <c r="A1020" s="1"/>
      <c r="B1020" s="1"/>
      <c r="C1020" s="1"/>
      <c r="D1020" s="1"/>
      <c r="E1020" s="1"/>
      <c r="F1020" s="1"/>
      <c r="G1020" s="1"/>
      <c r="H1020" s="3"/>
      <c r="I1020" s="1"/>
      <c r="J1020" s="1"/>
      <c r="K1020" s="1"/>
      <c r="L1020" s="1"/>
      <c r="M1020" s="1"/>
      <c r="N1020" s="1"/>
      <c r="O1020" s="1"/>
      <c r="P1020" s="1"/>
      <c r="Q1020" s="1"/>
      <c r="R1020" s="1"/>
      <c r="S1020" s="1"/>
      <c r="T1020" s="1"/>
      <c r="U1020" s="1"/>
      <c r="V1020" s="1"/>
      <c r="W1020" s="1"/>
      <c r="X1020" s="1"/>
      <c r="Y1020" s="1"/>
    </row>
    <row r="1021" spans="1:25">
      <c r="A1021" s="1"/>
      <c r="B1021" s="1"/>
      <c r="C1021" s="1"/>
      <c r="D1021" s="1"/>
      <c r="E1021" s="1"/>
      <c r="F1021" s="1"/>
      <c r="G1021" s="1"/>
      <c r="H1021" s="3"/>
      <c r="I1021" s="1"/>
      <c r="J1021" s="1"/>
      <c r="K1021" s="1"/>
      <c r="L1021" s="1"/>
      <c r="M1021" s="1"/>
      <c r="N1021" s="1"/>
      <c r="O1021" s="1"/>
      <c r="P1021" s="1"/>
      <c r="Q1021" s="1"/>
      <c r="R1021" s="1"/>
      <c r="S1021" s="1"/>
      <c r="T1021" s="1"/>
      <c r="U1021" s="1"/>
      <c r="V1021" s="1"/>
      <c r="W1021" s="1"/>
      <c r="X1021" s="1"/>
      <c r="Y1021" s="1"/>
    </row>
    <row r="1022" spans="1:25">
      <c r="A1022" s="1"/>
      <c r="B1022" s="1"/>
      <c r="C1022" s="1"/>
      <c r="D1022" s="1"/>
      <c r="E1022" s="1"/>
      <c r="F1022" s="1"/>
      <c r="G1022" s="1"/>
      <c r="H1022" s="3"/>
      <c r="I1022" s="1"/>
      <c r="J1022" s="1"/>
      <c r="K1022" s="1"/>
      <c r="L1022" s="1"/>
      <c r="M1022" s="1"/>
      <c r="N1022" s="1"/>
      <c r="O1022" s="1"/>
      <c r="P1022" s="1"/>
      <c r="Q1022" s="1"/>
      <c r="R1022" s="1"/>
      <c r="S1022" s="1"/>
      <c r="T1022" s="1"/>
      <c r="U1022" s="1"/>
      <c r="V1022" s="1"/>
      <c r="W1022" s="1"/>
      <c r="X1022" s="1"/>
      <c r="Y1022" s="1"/>
    </row>
    <row r="1023" spans="1:25">
      <c r="A1023" s="1"/>
      <c r="B1023" s="1"/>
      <c r="C1023" s="1"/>
      <c r="D1023" s="1"/>
      <c r="E1023" s="1"/>
      <c r="F1023" s="1"/>
      <c r="G1023" s="1"/>
      <c r="H1023" s="3"/>
      <c r="I1023" s="1"/>
      <c r="J1023" s="1"/>
      <c r="K1023" s="1"/>
      <c r="L1023" s="1"/>
      <c r="M1023" s="1"/>
      <c r="N1023" s="1"/>
      <c r="O1023" s="1"/>
      <c r="P1023" s="1"/>
      <c r="Q1023" s="1"/>
      <c r="R1023" s="1"/>
      <c r="S1023" s="1"/>
      <c r="T1023" s="1"/>
      <c r="U1023" s="1"/>
      <c r="V1023" s="1"/>
      <c r="W1023" s="1"/>
      <c r="X1023" s="1"/>
      <c r="Y1023" s="1"/>
    </row>
    <row r="1024" spans="1:25">
      <c r="A1024" s="1"/>
      <c r="B1024" s="1"/>
      <c r="C1024" s="1"/>
      <c r="D1024" s="1"/>
      <c r="E1024" s="1"/>
      <c r="F1024" s="1"/>
      <c r="G1024" s="1"/>
      <c r="H1024" s="3"/>
      <c r="I1024" s="1"/>
      <c r="J1024" s="1"/>
      <c r="K1024" s="1"/>
      <c r="L1024" s="1"/>
      <c r="M1024" s="1"/>
      <c r="N1024" s="1"/>
      <c r="O1024" s="1"/>
      <c r="P1024" s="1"/>
      <c r="Q1024" s="1"/>
      <c r="R1024" s="1"/>
      <c r="S1024" s="1"/>
      <c r="T1024" s="1"/>
      <c r="U1024" s="1"/>
      <c r="V1024" s="1"/>
      <c r="W1024" s="1"/>
      <c r="X1024" s="1"/>
      <c r="Y1024" s="1"/>
    </row>
    <row r="1025" spans="1:25">
      <c r="A1025" s="1"/>
      <c r="B1025" s="1"/>
      <c r="C1025" s="1"/>
      <c r="D1025" s="1"/>
      <c r="E1025" s="1"/>
      <c r="F1025" s="1"/>
      <c r="G1025" s="1"/>
      <c r="H1025" s="3"/>
      <c r="I1025" s="1"/>
      <c r="J1025" s="1"/>
      <c r="K1025" s="1"/>
      <c r="L1025" s="1"/>
      <c r="M1025" s="1"/>
      <c r="N1025" s="1"/>
      <c r="O1025" s="1"/>
      <c r="P1025" s="1"/>
      <c r="Q1025" s="1"/>
      <c r="R1025" s="1"/>
      <c r="S1025" s="1"/>
      <c r="T1025" s="1"/>
      <c r="U1025" s="1"/>
      <c r="V1025" s="1"/>
      <c r="W1025" s="1"/>
      <c r="X1025" s="1"/>
      <c r="Y1025" s="1"/>
    </row>
    <row r="1026" spans="1:25">
      <c r="A1026" s="1"/>
      <c r="B1026" s="1"/>
      <c r="C1026" s="1"/>
      <c r="D1026" s="1"/>
      <c r="E1026" s="1"/>
      <c r="F1026" s="1"/>
      <c r="G1026" s="1"/>
      <c r="H1026" s="3"/>
      <c r="I1026" s="1"/>
      <c r="J1026" s="1"/>
      <c r="K1026" s="1"/>
      <c r="L1026" s="1"/>
      <c r="M1026" s="1"/>
      <c r="N1026" s="1"/>
      <c r="O1026" s="1"/>
      <c r="P1026" s="1"/>
      <c r="Q1026" s="1"/>
      <c r="R1026" s="1"/>
      <c r="S1026" s="1"/>
      <c r="T1026" s="1"/>
      <c r="U1026" s="1"/>
      <c r="V1026" s="1"/>
      <c r="W1026" s="1"/>
      <c r="X1026" s="1"/>
      <c r="Y1026" s="1"/>
    </row>
    <row r="1027" spans="1:25">
      <c r="A1027" s="1"/>
      <c r="B1027" s="1"/>
      <c r="C1027" s="1"/>
      <c r="D1027" s="1"/>
      <c r="E1027" s="1"/>
      <c r="F1027" s="1"/>
      <c r="G1027" s="1"/>
      <c r="H1027" s="3"/>
      <c r="I1027" s="1"/>
      <c r="J1027" s="1"/>
      <c r="K1027" s="1"/>
      <c r="L1027" s="1"/>
      <c r="M1027" s="1"/>
      <c r="N1027" s="1"/>
      <c r="O1027" s="1"/>
      <c r="P1027" s="1"/>
      <c r="Q1027" s="1"/>
      <c r="R1027" s="1"/>
      <c r="S1027" s="1"/>
      <c r="T1027" s="1"/>
      <c r="U1027" s="1"/>
      <c r="V1027" s="1"/>
      <c r="W1027" s="1"/>
      <c r="X1027" s="1"/>
      <c r="Y1027" s="1"/>
    </row>
    <row r="1028" spans="1:25">
      <c r="A1028" s="1"/>
      <c r="B1028" s="1"/>
      <c r="C1028" s="1"/>
      <c r="D1028" s="1"/>
      <c r="E1028" s="1"/>
      <c r="F1028" s="1"/>
      <c r="G1028" s="1"/>
      <c r="H1028" s="3"/>
      <c r="I1028" s="1"/>
      <c r="J1028" s="1"/>
      <c r="K1028" s="1"/>
      <c r="L1028" s="1"/>
      <c r="M1028" s="1"/>
      <c r="N1028" s="1"/>
      <c r="O1028" s="1"/>
      <c r="P1028" s="1"/>
      <c r="Q1028" s="1"/>
      <c r="R1028" s="1"/>
      <c r="S1028" s="1"/>
      <c r="T1028" s="1"/>
      <c r="U1028" s="1"/>
      <c r="V1028" s="1"/>
      <c r="W1028" s="1"/>
      <c r="X1028" s="1"/>
      <c r="Y1028" s="1"/>
    </row>
    <row r="1029" spans="1:25">
      <c r="A1029" s="1"/>
      <c r="B1029" s="1"/>
      <c r="C1029" s="1"/>
      <c r="D1029" s="1"/>
      <c r="E1029" s="1"/>
      <c r="F1029" s="1"/>
      <c r="G1029" s="1"/>
      <c r="H1029" s="3"/>
      <c r="I1029" s="1"/>
      <c r="J1029" s="1"/>
      <c r="K1029" s="1"/>
      <c r="L1029" s="1"/>
      <c r="M1029" s="1"/>
      <c r="N1029" s="1"/>
      <c r="O1029" s="1"/>
      <c r="P1029" s="1"/>
      <c r="Q1029" s="1"/>
      <c r="R1029" s="1"/>
      <c r="S1029" s="1"/>
      <c r="T1029" s="1"/>
      <c r="U1029" s="1"/>
      <c r="V1029" s="1"/>
      <c r="W1029" s="1"/>
      <c r="X1029" s="1"/>
      <c r="Y1029" s="1"/>
    </row>
    <row r="1030" spans="1:25">
      <c r="A1030" s="1"/>
      <c r="B1030" s="1"/>
      <c r="C1030" s="1"/>
      <c r="D1030" s="1"/>
      <c r="E1030" s="1"/>
      <c r="F1030" s="1"/>
      <c r="G1030" s="1"/>
      <c r="H1030" s="3"/>
      <c r="I1030" s="1"/>
      <c r="J1030" s="1"/>
      <c r="K1030" s="1"/>
      <c r="L1030" s="1"/>
      <c r="M1030" s="1"/>
      <c r="N1030" s="1"/>
      <c r="O1030" s="1"/>
      <c r="P1030" s="1"/>
      <c r="Q1030" s="1"/>
      <c r="R1030" s="1"/>
      <c r="S1030" s="1"/>
      <c r="T1030" s="1"/>
      <c r="U1030" s="1"/>
      <c r="V1030" s="1"/>
      <c r="W1030" s="1"/>
      <c r="X1030" s="1"/>
      <c r="Y1030" s="1"/>
    </row>
    <row r="1031" spans="1:25">
      <c r="A1031" s="1"/>
      <c r="B1031" s="1"/>
      <c r="C1031" s="1"/>
      <c r="D1031" s="1"/>
      <c r="E1031" s="1"/>
      <c r="F1031" s="1"/>
      <c r="G1031" s="1"/>
      <c r="H1031" s="3"/>
      <c r="I1031" s="1"/>
      <c r="J1031" s="1"/>
      <c r="K1031" s="1"/>
      <c r="L1031" s="1"/>
      <c r="M1031" s="1"/>
      <c r="N1031" s="1"/>
      <c r="O1031" s="1"/>
      <c r="P1031" s="1"/>
      <c r="Q1031" s="1"/>
      <c r="R1031" s="1"/>
      <c r="S1031" s="1"/>
      <c r="T1031" s="1"/>
      <c r="U1031" s="1"/>
      <c r="V1031" s="1"/>
      <c r="W1031" s="1"/>
      <c r="X1031" s="1"/>
      <c r="Y1031" s="1"/>
    </row>
    <row r="1032" spans="1:25">
      <c r="A1032" s="1"/>
      <c r="B1032" s="1"/>
      <c r="C1032" s="1"/>
      <c r="D1032" s="1"/>
      <c r="E1032" s="1"/>
      <c r="F1032" s="1"/>
      <c r="G1032" s="1"/>
      <c r="H1032" s="3"/>
      <c r="I1032" s="1"/>
      <c r="J1032" s="1"/>
      <c r="K1032" s="1"/>
      <c r="L1032" s="1"/>
      <c r="M1032" s="1"/>
      <c r="N1032" s="1"/>
      <c r="O1032" s="1"/>
      <c r="P1032" s="1"/>
      <c r="Q1032" s="1"/>
      <c r="R1032" s="1"/>
      <c r="S1032" s="1"/>
      <c r="T1032" s="1"/>
      <c r="U1032" s="1"/>
      <c r="V1032" s="1"/>
      <c r="W1032" s="1"/>
      <c r="X1032" s="1"/>
      <c r="Y1032" s="1"/>
    </row>
    <row r="1033" spans="1:25">
      <c r="A1033" s="1"/>
      <c r="B1033" s="1"/>
      <c r="C1033" s="1"/>
      <c r="D1033" s="1"/>
      <c r="E1033" s="1"/>
      <c r="F1033" s="1"/>
      <c r="G1033" s="1"/>
      <c r="H1033" s="3"/>
      <c r="I1033" s="1"/>
      <c r="J1033" s="1"/>
      <c r="K1033" s="1"/>
      <c r="L1033" s="1"/>
      <c r="M1033" s="1"/>
      <c r="N1033" s="1"/>
      <c r="O1033" s="1"/>
      <c r="P1033" s="1"/>
      <c r="Q1033" s="1"/>
      <c r="R1033" s="1"/>
      <c r="S1033" s="1"/>
      <c r="T1033" s="1"/>
      <c r="U1033" s="1"/>
      <c r="V1033" s="1"/>
      <c r="W1033" s="1"/>
      <c r="X1033" s="1"/>
      <c r="Y1033" s="1"/>
    </row>
    <row r="1034" spans="1:25">
      <c r="A1034" s="1"/>
      <c r="B1034" s="1"/>
      <c r="C1034" s="1"/>
      <c r="D1034" s="1"/>
      <c r="E1034" s="1"/>
      <c r="F1034" s="1"/>
      <c r="G1034" s="1"/>
      <c r="H1034" s="3"/>
      <c r="I1034" s="1"/>
      <c r="J1034" s="1"/>
      <c r="K1034" s="1"/>
      <c r="L1034" s="1"/>
      <c r="M1034" s="1"/>
      <c r="N1034" s="1"/>
      <c r="O1034" s="1"/>
      <c r="P1034" s="1"/>
      <c r="Q1034" s="1"/>
      <c r="R1034" s="1"/>
      <c r="S1034" s="1"/>
      <c r="T1034" s="1"/>
      <c r="U1034" s="1"/>
      <c r="V1034" s="1"/>
      <c r="W1034" s="1"/>
      <c r="X1034" s="1"/>
      <c r="Y1034" s="1"/>
    </row>
    <row r="1035" spans="1:25">
      <c r="A1035" s="1"/>
      <c r="B1035" s="1"/>
      <c r="C1035" s="1"/>
      <c r="D1035" s="1"/>
      <c r="E1035" s="1"/>
      <c r="F1035" s="1"/>
      <c r="G1035" s="1"/>
      <c r="H1035" s="3"/>
      <c r="I1035" s="1"/>
      <c r="J1035" s="1"/>
      <c r="K1035" s="1"/>
      <c r="L1035" s="1"/>
      <c r="M1035" s="1"/>
      <c r="N1035" s="1"/>
      <c r="O1035" s="1"/>
      <c r="P1035" s="1"/>
      <c r="Q1035" s="1"/>
      <c r="R1035" s="1"/>
      <c r="S1035" s="1"/>
      <c r="T1035" s="1"/>
      <c r="U1035" s="1"/>
      <c r="V1035" s="1"/>
      <c r="W1035" s="1"/>
      <c r="X1035" s="1"/>
      <c r="Y1035" s="1"/>
    </row>
    <row r="1036" spans="1:25">
      <c r="A1036" s="1"/>
      <c r="B1036" s="1"/>
      <c r="C1036" s="1"/>
      <c r="D1036" s="1"/>
      <c r="E1036" s="1"/>
      <c r="F1036" s="1"/>
      <c r="G1036" s="1"/>
      <c r="H1036" s="3"/>
      <c r="I1036" s="1"/>
      <c r="J1036" s="1"/>
      <c r="K1036" s="1"/>
      <c r="L1036" s="1"/>
      <c r="M1036" s="1"/>
      <c r="N1036" s="1"/>
      <c r="O1036" s="1"/>
      <c r="P1036" s="1"/>
      <c r="Q1036" s="1"/>
      <c r="R1036" s="1"/>
      <c r="S1036" s="1"/>
      <c r="T1036" s="1"/>
      <c r="U1036" s="1"/>
      <c r="V1036" s="1"/>
      <c r="W1036" s="1"/>
      <c r="X1036" s="1"/>
      <c r="Y1036" s="1"/>
    </row>
    <row r="1037" spans="1:25">
      <c r="A1037" s="1"/>
      <c r="B1037" s="1"/>
      <c r="C1037" s="1"/>
      <c r="D1037" s="1"/>
      <c r="E1037" s="1"/>
      <c r="F1037" s="1"/>
      <c r="G1037" s="1"/>
      <c r="H1037" s="3"/>
      <c r="I1037" s="1"/>
      <c r="J1037" s="1"/>
      <c r="K1037" s="1"/>
      <c r="L1037" s="1"/>
      <c r="M1037" s="1"/>
      <c r="N1037" s="1"/>
      <c r="O1037" s="1"/>
      <c r="P1037" s="1"/>
      <c r="Q1037" s="1"/>
      <c r="R1037" s="1"/>
      <c r="S1037" s="1"/>
      <c r="T1037" s="1"/>
      <c r="U1037" s="1"/>
      <c r="V1037" s="1"/>
      <c r="W1037" s="1"/>
      <c r="X1037" s="1"/>
      <c r="Y1037" s="1"/>
    </row>
    <row r="1038" spans="1:25">
      <c r="A1038" s="1"/>
      <c r="B1038" s="1"/>
      <c r="C1038" s="1"/>
      <c r="D1038" s="1"/>
      <c r="E1038" s="1"/>
      <c r="F1038" s="1"/>
      <c r="G1038" s="1"/>
      <c r="H1038" s="3"/>
      <c r="I1038" s="1"/>
      <c r="J1038" s="1"/>
      <c r="K1038" s="1"/>
      <c r="L1038" s="1"/>
      <c r="M1038" s="1"/>
      <c r="N1038" s="1"/>
      <c r="O1038" s="1"/>
      <c r="P1038" s="1"/>
      <c r="Q1038" s="1"/>
      <c r="R1038" s="1"/>
      <c r="S1038" s="1"/>
      <c r="T1038" s="1"/>
      <c r="U1038" s="1"/>
      <c r="V1038" s="1"/>
      <c r="W1038" s="1"/>
      <c r="X1038" s="1"/>
      <c r="Y1038" s="1"/>
    </row>
    <row r="1039" spans="1:25">
      <c r="A1039" s="1"/>
      <c r="B1039" s="1"/>
      <c r="C1039" s="1"/>
      <c r="D1039" s="1"/>
      <c r="E1039" s="1"/>
      <c r="F1039" s="1"/>
      <c r="G1039" s="1"/>
      <c r="H1039" s="3"/>
      <c r="I1039" s="1"/>
      <c r="J1039" s="1"/>
      <c r="K1039" s="1"/>
      <c r="L1039" s="1"/>
      <c r="M1039" s="1"/>
      <c r="N1039" s="1"/>
      <c r="O1039" s="1"/>
      <c r="P1039" s="1"/>
      <c r="Q1039" s="1"/>
      <c r="R1039" s="1"/>
      <c r="S1039" s="1"/>
      <c r="T1039" s="1"/>
      <c r="U1039" s="1"/>
      <c r="V1039" s="1"/>
      <c r="W1039" s="1"/>
      <c r="X1039" s="1"/>
      <c r="Y1039" s="1"/>
    </row>
    <row r="1040" spans="1:25">
      <c r="A1040" s="1"/>
      <c r="B1040" s="1"/>
      <c r="C1040" s="1"/>
      <c r="D1040" s="1"/>
      <c r="E1040" s="1"/>
      <c r="F1040" s="1"/>
      <c r="G1040" s="1"/>
      <c r="H1040" s="3"/>
      <c r="I1040" s="1"/>
      <c r="J1040" s="1"/>
      <c r="K1040" s="1"/>
      <c r="L1040" s="1"/>
      <c r="M1040" s="1"/>
      <c r="N1040" s="1"/>
      <c r="O1040" s="1"/>
      <c r="P1040" s="1"/>
      <c r="Q1040" s="1"/>
      <c r="R1040" s="1"/>
      <c r="S1040" s="1"/>
      <c r="T1040" s="1"/>
      <c r="U1040" s="1"/>
      <c r="V1040" s="1"/>
      <c r="W1040" s="1"/>
      <c r="X1040" s="1"/>
      <c r="Y1040" s="1"/>
    </row>
    <row r="1041" spans="1:25">
      <c r="A1041" s="1"/>
      <c r="B1041" s="1"/>
      <c r="C1041" s="1"/>
      <c r="D1041" s="1"/>
      <c r="E1041" s="1"/>
      <c r="F1041" s="1"/>
      <c r="G1041" s="1"/>
      <c r="H1041" s="3"/>
      <c r="I1041" s="1"/>
      <c r="J1041" s="1"/>
      <c r="K1041" s="1"/>
      <c r="L1041" s="1"/>
      <c r="M1041" s="1"/>
      <c r="N1041" s="1"/>
      <c r="O1041" s="1"/>
      <c r="P1041" s="1"/>
      <c r="Q1041" s="1"/>
      <c r="R1041" s="1"/>
      <c r="S1041" s="1"/>
      <c r="T1041" s="1"/>
      <c r="U1041" s="1"/>
      <c r="V1041" s="1"/>
      <c r="W1041" s="1"/>
      <c r="X1041" s="1"/>
      <c r="Y1041" s="1"/>
    </row>
    <row r="1042" spans="1:25">
      <c r="A1042" s="1"/>
      <c r="B1042" s="1"/>
      <c r="C1042" s="1"/>
      <c r="D1042" s="1"/>
      <c r="E1042" s="1"/>
      <c r="F1042" s="1"/>
      <c r="G1042" s="1"/>
      <c r="H1042" s="3"/>
      <c r="I1042" s="1"/>
      <c r="J1042" s="1"/>
      <c r="K1042" s="1"/>
      <c r="L1042" s="1"/>
      <c r="M1042" s="1"/>
      <c r="N1042" s="1"/>
      <c r="O1042" s="1"/>
      <c r="P1042" s="1"/>
      <c r="Q1042" s="1"/>
      <c r="R1042" s="1"/>
      <c r="S1042" s="1"/>
      <c r="T1042" s="1"/>
      <c r="U1042" s="1"/>
      <c r="V1042" s="1"/>
      <c r="W1042" s="1"/>
      <c r="X1042" s="1"/>
      <c r="Y1042" s="1"/>
    </row>
    <row r="1043" spans="1:25">
      <c r="A1043" s="1"/>
      <c r="B1043" s="1"/>
      <c r="C1043" s="1"/>
      <c r="D1043" s="1"/>
      <c r="E1043" s="1"/>
      <c r="F1043" s="1"/>
      <c r="G1043" s="1"/>
      <c r="H1043" s="3"/>
      <c r="I1043" s="1"/>
      <c r="J1043" s="1"/>
      <c r="K1043" s="1"/>
      <c r="L1043" s="1"/>
      <c r="M1043" s="1"/>
      <c r="N1043" s="1"/>
      <c r="O1043" s="1"/>
      <c r="P1043" s="1"/>
      <c r="Q1043" s="1"/>
      <c r="R1043" s="1"/>
      <c r="S1043" s="1"/>
      <c r="T1043" s="1"/>
      <c r="U1043" s="1"/>
      <c r="V1043" s="1"/>
      <c r="W1043" s="1"/>
      <c r="X1043" s="1"/>
      <c r="Y1043" s="1"/>
    </row>
    <row r="1044" spans="1:25">
      <c r="A1044" s="1"/>
      <c r="B1044" s="1"/>
      <c r="C1044" s="1"/>
      <c r="D1044" s="1"/>
      <c r="E1044" s="1"/>
      <c r="F1044" s="1"/>
      <c r="G1044" s="1"/>
      <c r="H1044" s="3"/>
      <c r="I1044" s="1"/>
      <c r="J1044" s="1"/>
      <c r="K1044" s="1"/>
      <c r="L1044" s="1"/>
      <c r="M1044" s="1"/>
      <c r="N1044" s="1"/>
      <c r="O1044" s="1"/>
      <c r="P1044" s="1"/>
      <c r="Q1044" s="1"/>
      <c r="R1044" s="1"/>
      <c r="S1044" s="1"/>
      <c r="T1044" s="1"/>
      <c r="U1044" s="1"/>
      <c r="V1044" s="1"/>
      <c r="W1044" s="1"/>
      <c r="X1044" s="1"/>
      <c r="Y1044" s="1"/>
    </row>
    <row r="1045" spans="1:25">
      <c r="A1045" s="1"/>
      <c r="B1045" s="1"/>
      <c r="C1045" s="1"/>
      <c r="D1045" s="1"/>
      <c r="E1045" s="1"/>
      <c r="F1045" s="1"/>
      <c r="G1045" s="1"/>
      <c r="H1045" s="3"/>
      <c r="I1045" s="1"/>
      <c r="J1045" s="1"/>
      <c r="K1045" s="1"/>
      <c r="L1045" s="1"/>
      <c r="M1045" s="1"/>
      <c r="N1045" s="1"/>
      <c r="O1045" s="1"/>
      <c r="P1045" s="1"/>
      <c r="Q1045" s="1"/>
      <c r="R1045" s="1"/>
      <c r="S1045" s="1"/>
      <c r="T1045" s="1"/>
      <c r="U1045" s="1"/>
      <c r="V1045" s="1"/>
      <c r="W1045" s="1"/>
      <c r="X1045" s="1"/>
      <c r="Y1045" s="1"/>
    </row>
    <row r="1046" spans="1:25">
      <c r="A1046" s="1"/>
      <c r="B1046" s="1"/>
      <c r="C1046" s="1"/>
      <c r="D1046" s="1"/>
      <c r="E1046" s="1"/>
      <c r="F1046" s="1"/>
      <c r="G1046" s="1"/>
      <c r="H1046" s="3"/>
      <c r="I1046" s="1"/>
      <c r="J1046" s="1"/>
      <c r="K1046" s="1"/>
      <c r="L1046" s="1"/>
      <c r="M1046" s="1"/>
      <c r="N1046" s="1"/>
      <c r="O1046" s="1"/>
      <c r="P1046" s="1"/>
      <c r="Q1046" s="1"/>
      <c r="R1046" s="1"/>
      <c r="S1046" s="1"/>
      <c r="T1046" s="1"/>
      <c r="U1046" s="1"/>
      <c r="V1046" s="1"/>
      <c r="W1046" s="1"/>
      <c r="X1046" s="1"/>
      <c r="Y1046" s="1"/>
    </row>
    <row r="1047" spans="1:25">
      <c r="A1047" s="1"/>
      <c r="B1047" s="1"/>
      <c r="C1047" s="1"/>
      <c r="D1047" s="1"/>
      <c r="E1047" s="1"/>
      <c r="F1047" s="1"/>
      <c r="G1047" s="1"/>
      <c r="H1047" s="3"/>
      <c r="I1047" s="1"/>
      <c r="J1047" s="1"/>
      <c r="K1047" s="1"/>
      <c r="L1047" s="1"/>
      <c r="M1047" s="1"/>
      <c r="N1047" s="1"/>
      <c r="O1047" s="1"/>
      <c r="P1047" s="1"/>
      <c r="Q1047" s="1"/>
      <c r="R1047" s="1"/>
      <c r="S1047" s="1"/>
      <c r="T1047" s="1"/>
      <c r="U1047" s="1"/>
      <c r="V1047" s="1"/>
      <c r="W1047" s="1"/>
      <c r="X1047" s="1"/>
      <c r="Y1047" s="1"/>
    </row>
    <row r="1048" spans="1:25">
      <c r="A1048" s="1"/>
      <c r="B1048" s="1"/>
      <c r="C1048" s="1"/>
      <c r="D1048" s="1"/>
      <c r="E1048" s="1"/>
      <c r="F1048" s="1"/>
      <c r="G1048" s="1"/>
      <c r="H1048" s="3"/>
      <c r="I1048" s="1"/>
      <c r="J1048" s="1"/>
      <c r="K1048" s="1"/>
      <c r="L1048" s="1"/>
      <c r="M1048" s="1"/>
      <c r="N1048" s="1"/>
      <c r="O1048" s="1"/>
      <c r="P1048" s="1"/>
      <c r="Q1048" s="1"/>
      <c r="R1048" s="1"/>
      <c r="S1048" s="1"/>
      <c r="T1048" s="1"/>
      <c r="U1048" s="1"/>
      <c r="V1048" s="1"/>
      <c r="W1048" s="1"/>
      <c r="X1048" s="1"/>
      <c r="Y1048" s="1"/>
    </row>
    <row r="1049" spans="1:25">
      <c r="A1049" s="1"/>
      <c r="B1049" s="1"/>
      <c r="C1049" s="1"/>
      <c r="D1049" s="1"/>
      <c r="E1049" s="1"/>
      <c r="F1049" s="1"/>
      <c r="G1049" s="1"/>
      <c r="H1049" s="3"/>
      <c r="I1049" s="1"/>
      <c r="J1049" s="1"/>
      <c r="K1049" s="1"/>
      <c r="L1049" s="1"/>
      <c r="M1049" s="1"/>
      <c r="N1049" s="1"/>
      <c r="O1049" s="1"/>
      <c r="P1049" s="1"/>
      <c r="Q1049" s="1"/>
      <c r="R1049" s="1"/>
      <c r="S1049" s="1"/>
      <c r="T1049" s="1"/>
      <c r="U1049" s="1"/>
      <c r="V1049" s="1"/>
      <c r="W1049" s="1"/>
      <c r="X1049" s="1"/>
      <c r="Y1049" s="1"/>
    </row>
    <row r="1050" spans="1:25">
      <c r="A1050" s="1"/>
      <c r="B1050" s="1"/>
      <c r="C1050" s="1"/>
      <c r="D1050" s="1"/>
      <c r="E1050" s="1"/>
      <c r="F1050" s="1"/>
      <c r="G1050" s="1"/>
      <c r="H1050" s="3"/>
      <c r="I1050" s="1"/>
      <c r="J1050" s="1"/>
      <c r="K1050" s="1"/>
      <c r="L1050" s="1"/>
      <c r="M1050" s="1"/>
      <c r="N1050" s="1"/>
      <c r="O1050" s="1"/>
      <c r="P1050" s="1"/>
      <c r="Q1050" s="1"/>
      <c r="R1050" s="1"/>
      <c r="S1050" s="1"/>
      <c r="T1050" s="1"/>
      <c r="U1050" s="1"/>
      <c r="V1050" s="1"/>
      <c r="W1050" s="1"/>
      <c r="X1050" s="1"/>
      <c r="Y1050" s="1"/>
    </row>
    <row r="1051" spans="1:25">
      <c r="A1051" s="1"/>
      <c r="B1051" s="1"/>
      <c r="C1051" s="1"/>
      <c r="D1051" s="1"/>
      <c r="E1051" s="1"/>
      <c r="F1051" s="1"/>
      <c r="G1051" s="1"/>
      <c r="H1051" s="3"/>
      <c r="I1051" s="1"/>
      <c r="J1051" s="1"/>
      <c r="K1051" s="1"/>
      <c r="L1051" s="1"/>
      <c r="M1051" s="1"/>
      <c r="N1051" s="1"/>
      <c r="O1051" s="1"/>
      <c r="P1051" s="1"/>
      <c r="Q1051" s="1"/>
      <c r="R1051" s="1"/>
      <c r="S1051" s="1"/>
      <c r="T1051" s="1"/>
      <c r="U1051" s="1"/>
      <c r="V1051" s="1"/>
      <c r="W1051" s="1"/>
      <c r="X1051" s="1"/>
      <c r="Y1051" s="1"/>
    </row>
    <row r="1052" spans="1:25">
      <c r="A1052" s="1"/>
      <c r="B1052" s="1"/>
      <c r="C1052" s="1"/>
      <c r="D1052" s="1"/>
      <c r="E1052" s="1"/>
      <c r="F1052" s="1"/>
      <c r="G1052" s="1"/>
      <c r="H1052" s="3"/>
      <c r="I1052" s="1"/>
      <c r="J1052" s="1"/>
      <c r="K1052" s="1"/>
      <c r="L1052" s="1"/>
      <c r="M1052" s="1"/>
      <c r="N1052" s="1"/>
      <c r="O1052" s="1"/>
      <c r="P1052" s="1"/>
      <c r="Q1052" s="1"/>
      <c r="R1052" s="1"/>
      <c r="S1052" s="1"/>
      <c r="T1052" s="1"/>
      <c r="U1052" s="1"/>
      <c r="V1052" s="1"/>
      <c r="W1052" s="1"/>
      <c r="X1052" s="1"/>
      <c r="Y1052" s="1"/>
    </row>
    <row r="1053" spans="1:25">
      <c r="A1053" s="1"/>
      <c r="B1053" s="1"/>
      <c r="C1053" s="1"/>
      <c r="D1053" s="1"/>
      <c r="E1053" s="1"/>
      <c r="F1053" s="1"/>
      <c r="G1053" s="1"/>
      <c r="H1053" s="3"/>
      <c r="I1053" s="1"/>
      <c r="J1053" s="1"/>
      <c r="K1053" s="1"/>
      <c r="L1053" s="1"/>
      <c r="M1053" s="1"/>
      <c r="N1053" s="1"/>
      <c r="O1053" s="1"/>
      <c r="P1053" s="1"/>
      <c r="Q1053" s="1"/>
      <c r="R1053" s="1"/>
      <c r="S1053" s="1"/>
      <c r="T1053" s="1"/>
      <c r="U1053" s="1"/>
      <c r="V1053" s="1"/>
      <c r="W1053" s="1"/>
      <c r="X1053" s="1"/>
      <c r="Y1053" s="1"/>
    </row>
    <row r="1054" spans="1:25">
      <c r="A1054" s="1"/>
      <c r="B1054" s="1"/>
      <c r="C1054" s="1"/>
      <c r="D1054" s="1"/>
      <c r="E1054" s="1"/>
      <c r="F1054" s="1"/>
      <c r="G1054" s="1"/>
      <c r="H1054" s="3"/>
      <c r="I1054" s="1"/>
      <c r="J1054" s="1"/>
      <c r="K1054" s="1"/>
      <c r="L1054" s="1"/>
      <c r="M1054" s="1"/>
      <c r="N1054" s="1"/>
      <c r="O1054" s="1"/>
      <c r="P1054" s="1"/>
      <c r="Q1054" s="1"/>
      <c r="R1054" s="1"/>
      <c r="S1054" s="1"/>
      <c r="T1054" s="1"/>
      <c r="U1054" s="1"/>
      <c r="V1054" s="1"/>
      <c r="W1054" s="1"/>
      <c r="X1054" s="1"/>
      <c r="Y1054" s="1"/>
    </row>
    <row r="1055" spans="1:25">
      <c r="A1055" s="1"/>
      <c r="B1055" s="1"/>
      <c r="C1055" s="1"/>
      <c r="D1055" s="1"/>
      <c r="E1055" s="1"/>
      <c r="F1055" s="1"/>
      <c r="G1055" s="1"/>
      <c r="H1055" s="3"/>
      <c r="I1055" s="1"/>
      <c r="J1055" s="1"/>
      <c r="K1055" s="1"/>
      <c r="L1055" s="1"/>
      <c r="M1055" s="1"/>
      <c r="N1055" s="1"/>
      <c r="O1055" s="1"/>
      <c r="P1055" s="1"/>
      <c r="Q1055" s="1"/>
      <c r="R1055" s="1"/>
      <c r="S1055" s="1"/>
      <c r="T1055" s="1"/>
      <c r="U1055" s="1"/>
      <c r="V1055" s="1"/>
      <c r="W1055" s="1"/>
      <c r="X1055" s="1"/>
      <c r="Y1055" s="1"/>
    </row>
    <row r="1056" spans="1:25">
      <c r="A1056" s="1"/>
      <c r="B1056" s="1"/>
      <c r="C1056" s="1"/>
      <c r="D1056" s="1"/>
      <c r="E1056" s="1"/>
      <c r="F1056" s="1"/>
      <c r="G1056" s="1"/>
      <c r="H1056" s="3"/>
      <c r="I1056" s="1"/>
      <c r="J1056" s="1"/>
      <c r="K1056" s="1"/>
      <c r="L1056" s="1"/>
      <c r="M1056" s="1"/>
      <c r="N1056" s="1"/>
      <c r="O1056" s="1"/>
      <c r="P1056" s="1"/>
      <c r="Q1056" s="1"/>
      <c r="R1056" s="1"/>
      <c r="S1056" s="1"/>
      <c r="T1056" s="1"/>
      <c r="U1056" s="1"/>
      <c r="V1056" s="1"/>
      <c r="W1056" s="1"/>
      <c r="X1056" s="1"/>
      <c r="Y1056" s="1"/>
    </row>
    <row r="1057" spans="1:25">
      <c r="A1057" s="1"/>
      <c r="B1057" s="1"/>
      <c r="C1057" s="1"/>
      <c r="D1057" s="1"/>
      <c r="E1057" s="1"/>
      <c r="F1057" s="1"/>
      <c r="G1057" s="1"/>
      <c r="H1057" s="3"/>
      <c r="I1057" s="1"/>
      <c r="J1057" s="1"/>
      <c r="K1057" s="1"/>
      <c r="L1057" s="1"/>
      <c r="M1057" s="1"/>
      <c r="N1057" s="1"/>
      <c r="O1057" s="1"/>
      <c r="P1057" s="1"/>
      <c r="Q1057" s="1"/>
      <c r="R1057" s="1"/>
      <c r="S1057" s="1"/>
      <c r="T1057" s="1"/>
      <c r="U1057" s="1"/>
      <c r="V1057" s="1"/>
      <c r="W1057" s="1"/>
      <c r="X1057" s="1"/>
      <c r="Y1057" s="1"/>
    </row>
    <row r="1058" spans="1:25">
      <c r="A1058" s="1"/>
      <c r="B1058" s="1"/>
      <c r="C1058" s="1"/>
      <c r="D1058" s="1"/>
      <c r="E1058" s="1"/>
      <c r="F1058" s="1"/>
      <c r="G1058" s="1"/>
      <c r="H1058" s="3"/>
      <c r="I1058" s="1"/>
      <c r="J1058" s="1"/>
      <c r="K1058" s="1"/>
      <c r="L1058" s="1"/>
      <c r="M1058" s="1"/>
      <c r="N1058" s="1"/>
      <c r="O1058" s="1"/>
      <c r="P1058" s="1"/>
      <c r="Q1058" s="1"/>
      <c r="R1058" s="1"/>
      <c r="S1058" s="1"/>
      <c r="T1058" s="1"/>
      <c r="U1058" s="1"/>
      <c r="V1058" s="1"/>
      <c r="W1058" s="1"/>
      <c r="X1058" s="1"/>
      <c r="Y1058" s="1"/>
    </row>
    <row r="1059" spans="1:25">
      <c r="A1059" s="1"/>
      <c r="B1059" s="1"/>
      <c r="C1059" s="1"/>
      <c r="D1059" s="1"/>
      <c r="E1059" s="1"/>
      <c r="F1059" s="1"/>
      <c r="G1059" s="1"/>
      <c r="H1059" s="3"/>
      <c r="I1059" s="1"/>
      <c r="J1059" s="1"/>
      <c r="K1059" s="1"/>
      <c r="L1059" s="1"/>
      <c r="M1059" s="1"/>
      <c r="N1059" s="1"/>
      <c r="O1059" s="1"/>
      <c r="P1059" s="1"/>
      <c r="Q1059" s="1"/>
      <c r="R1059" s="1"/>
      <c r="S1059" s="1"/>
      <c r="T1059" s="1"/>
      <c r="U1059" s="1"/>
      <c r="V1059" s="1"/>
      <c r="W1059" s="1"/>
      <c r="X1059" s="1"/>
      <c r="Y1059" s="1"/>
    </row>
    <row r="1060" spans="1:25">
      <c r="A1060" s="1"/>
      <c r="B1060" s="1"/>
      <c r="C1060" s="1"/>
      <c r="D1060" s="1"/>
      <c r="E1060" s="1"/>
      <c r="F1060" s="1"/>
      <c r="G1060" s="1"/>
      <c r="H1060" s="3"/>
      <c r="I1060" s="1"/>
      <c r="J1060" s="1"/>
      <c r="K1060" s="1"/>
      <c r="L1060" s="1"/>
      <c r="M1060" s="1"/>
      <c r="N1060" s="1"/>
      <c r="O1060" s="1"/>
      <c r="P1060" s="1"/>
      <c r="Q1060" s="1"/>
      <c r="R1060" s="1"/>
      <c r="S1060" s="1"/>
      <c r="T1060" s="1"/>
      <c r="U1060" s="1"/>
      <c r="V1060" s="1"/>
      <c r="W1060" s="1"/>
      <c r="X1060" s="1"/>
      <c r="Y1060" s="1"/>
    </row>
    <row r="1061" spans="1:25">
      <c r="A1061" s="1"/>
      <c r="B1061" s="1"/>
      <c r="C1061" s="1"/>
      <c r="D1061" s="1"/>
      <c r="E1061" s="1"/>
      <c r="F1061" s="1"/>
      <c r="G1061" s="1"/>
      <c r="H1061" s="3"/>
      <c r="I1061" s="1"/>
      <c r="J1061" s="1"/>
      <c r="K1061" s="1"/>
      <c r="L1061" s="1"/>
      <c r="M1061" s="1"/>
      <c r="N1061" s="1"/>
      <c r="O1061" s="1"/>
      <c r="P1061" s="1"/>
      <c r="Q1061" s="1"/>
      <c r="R1061" s="1"/>
      <c r="S1061" s="1"/>
      <c r="T1061" s="1"/>
      <c r="U1061" s="1"/>
      <c r="V1061" s="1"/>
      <c r="W1061" s="1"/>
      <c r="X1061" s="1"/>
      <c r="Y1061" s="1"/>
    </row>
    <row r="1062" spans="1:25">
      <c r="A1062" s="1"/>
      <c r="B1062" s="1"/>
      <c r="C1062" s="1"/>
      <c r="D1062" s="1"/>
      <c r="E1062" s="1"/>
      <c r="F1062" s="1"/>
      <c r="G1062" s="1"/>
      <c r="H1062" s="3"/>
      <c r="I1062" s="1"/>
      <c r="J1062" s="1"/>
      <c r="K1062" s="1"/>
      <c r="L1062" s="1"/>
      <c r="M1062" s="1"/>
      <c r="N1062" s="1"/>
      <c r="O1062" s="1"/>
      <c r="P1062" s="1"/>
      <c r="Q1062" s="1"/>
      <c r="R1062" s="1"/>
      <c r="S1062" s="1"/>
      <c r="T1062" s="1"/>
      <c r="U1062" s="1"/>
      <c r="V1062" s="1"/>
      <c r="W1062" s="1"/>
      <c r="X1062" s="1"/>
      <c r="Y1062" s="1"/>
    </row>
    <row r="1063" spans="1:25">
      <c r="A1063" s="1"/>
      <c r="B1063" s="1"/>
      <c r="C1063" s="1"/>
      <c r="D1063" s="1"/>
      <c r="E1063" s="1"/>
      <c r="F1063" s="1"/>
      <c r="G1063" s="1"/>
      <c r="H1063" s="3"/>
      <c r="I1063" s="1"/>
      <c r="J1063" s="1"/>
      <c r="K1063" s="1"/>
      <c r="L1063" s="1"/>
      <c r="M1063" s="1"/>
      <c r="N1063" s="1"/>
      <c r="O1063" s="1"/>
      <c r="P1063" s="1"/>
      <c r="Q1063" s="1"/>
      <c r="R1063" s="1"/>
      <c r="S1063" s="1"/>
      <c r="T1063" s="1"/>
      <c r="U1063" s="1"/>
      <c r="V1063" s="1"/>
      <c r="W1063" s="1"/>
      <c r="X1063" s="1"/>
      <c r="Y1063" s="1"/>
    </row>
    <row r="1064" spans="1:25">
      <c r="A1064" s="1"/>
      <c r="B1064" s="1"/>
      <c r="C1064" s="1"/>
      <c r="D1064" s="1"/>
      <c r="E1064" s="1"/>
      <c r="F1064" s="1"/>
      <c r="G1064" s="1"/>
      <c r="H1064" s="3"/>
      <c r="I1064" s="1"/>
      <c r="J1064" s="1"/>
      <c r="K1064" s="1"/>
      <c r="L1064" s="1"/>
      <c r="M1064" s="1"/>
      <c r="N1064" s="1"/>
      <c r="O1064" s="1"/>
      <c r="P1064" s="1"/>
      <c r="Q1064" s="1"/>
      <c r="R1064" s="1"/>
      <c r="S1064" s="1"/>
      <c r="T1064" s="1"/>
      <c r="U1064" s="1"/>
      <c r="V1064" s="1"/>
      <c r="W1064" s="1"/>
      <c r="X1064" s="1"/>
      <c r="Y1064" s="1"/>
    </row>
    <row r="1065" spans="1:25">
      <c r="A1065" s="1"/>
      <c r="B1065" s="1"/>
      <c r="C1065" s="1"/>
      <c r="D1065" s="1"/>
      <c r="E1065" s="1"/>
      <c r="F1065" s="1"/>
      <c r="G1065" s="1"/>
      <c r="H1065" s="3"/>
      <c r="I1065" s="1"/>
      <c r="J1065" s="1"/>
      <c r="K1065" s="1"/>
      <c r="L1065" s="1"/>
      <c r="M1065" s="1"/>
      <c r="N1065" s="1"/>
      <c r="O1065" s="1"/>
      <c r="P1065" s="1"/>
      <c r="Q1065" s="1"/>
      <c r="R1065" s="1"/>
      <c r="S1065" s="1"/>
      <c r="T1065" s="1"/>
      <c r="U1065" s="1"/>
      <c r="V1065" s="1"/>
      <c r="W1065" s="1"/>
      <c r="X1065" s="1"/>
      <c r="Y1065" s="1"/>
    </row>
    <row r="1066" spans="1:25">
      <c r="A1066" s="1"/>
      <c r="B1066" s="1"/>
      <c r="C1066" s="1"/>
      <c r="D1066" s="1"/>
      <c r="E1066" s="1"/>
      <c r="F1066" s="1"/>
      <c r="G1066" s="1"/>
      <c r="H1066" s="3"/>
      <c r="I1066" s="1"/>
      <c r="J1066" s="1"/>
      <c r="K1066" s="1"/>
      <c r="L1066" s="1"/>
      <c r="M1066" s="1"/>
      <c r="N1066" s="1"/>
      <c r="O1066" s="1"/>
      <c r="P1066" s="1"/>
      <c r="Q1066" s="1"/>
      <c r="R1066" s="1"/>
      <c r="S1066" s="1"/>
      <c r="T1066" s="1"/>
      <c r="U1066" s="1"/>
      <c r="V1066" s="1"/>
      <c r="W1066" s="1"/>
      <c r="X1066" s="1"/>
      <c r="Y1066" s="1"/>
    </row>
    <row r="1067" spans="1:25">
      <c r="A1067" s="1"/>
      <c r="B1067" s="1"/>
      <c r="C1067" s="1"/>
      <c r="D1067" s="1"/>
      <c r="E1067" s="1"/>
      <c r="F1067" s="1"/>
      <c r="G1067" s="1"/>
      <c r="H1067" s="3"/>
      <c r="I1067" s="1"/>
      <c r="J1067" s="1"/>
      <c r="K1067" s="1"/>
      <c r="L1067" s="1"/>
      <c r="M1067" s="1"/>
      <c r="N1067" s="1"/>
      <c r="O1067" s="1"/>
      <c r="P1067" s="1"/>
      <c r="Q1067" s="1"/>
      <c r="R1067" s="1"/>
      <c r="S1067" s="1"/>
      <c r="T1067" s="1"/>
      <c r="U1067" s="1"/>
      <c r="V1067" s="1"/>
      <c r="W1067" s="1"/>
      <c r="X1067" s="1"/>
      <c r="Y1067" s="1"/>
    </row>
    <row r="1068" spans="1:25">
      <c r="A1068" s="1"/>
      <c r="B1068" s="1"/>
      <c r="C1068" s="1"/>
      <c r="D1068" s="1"/>
      <c r="E1068" s="1"/>
      <c r="F1068" s="1"/>
      <c r="G1068" s="1"/>
      <c r="H1068" s="3"/>
      <c r="I1068" s="1"/>
      <c r="J1068" s="1"/>
      <c r="K1068" s="1"/>
      <c r="L1068" s="1"/>
      <c r="M1068" s="1"/>
      <c r="N1068" s="1"/>
      <c r="O1068" s="1"/>
      <c r="P1068" s="1"/>
      <c r="Q1068" s="1"/>
      <c r="R1068" s="1"/>
      <c r="S1068" s="1"/>
      <c r="T1068" s="1"/>
      <c r="U1068" s="1"/>
      <c r="V1068" s="1"/>
      <c r="W1068" s="1"/>
      <c r="X1068" s="1"/>
      <c r="Y1068" s="1"/>
    </row>
    <row r="1069" spans="1:25">
      <c r="A1069" s="1"/>
      <c r="B1069" s="1"/>
      <c r="C1069" s="1"/>
      <c r="D1069" s="1"/>
      <c r="E1069" s="1"/>
      <c r="F1069" s="1"/>
      <c r="G1069" s="1"/>
      <c r="H1069" s="3"/>
      <c r="I1069" s="1"/>
      <c r="J1069" s="1"/>
      <c r="K1069" s="1"/>
      <c r="L1069" s="1"/>
      <c r="M1069" s="1"/>
      <c r="N1069" s="1"/>
      <c r="O1069" s="1"/>
      <c r="P1069" s="1"/>
      <c r="Q1069" s="1"/>
      <c r="R1069" s="1"/>
      <c r="S1069" s="1"/>
      <c r="T1069" s="1"/>
      <c r="U1069" s="1"/>
      <c r="V1069" s="1"/>
      <c r="W1069" s="1"/>
      <c r="X1069" s="1"/>
      <c r="Y1069" s="1"/>
    </row>
  </sheetData>
  <mergeCells count="1">
    <mergeCell ref="B4:C4"/>
  </mergeCells>
  <phoneticPr fontId="10" type="noConversion"/>
  <dataValidations count="1">
    <dataValidation type="list" allowBlank="1" showErrorMessage="1" sqref="G5:G116" xr:uid="{00000000-0002-0000-0200-000000000000}">
      <formula1>"공통,추후 개발"</formula1>
    </dataValidation>
  </dataValidations>
  <printOptions gridLines="1"/>
  <pageMargins left="0.7" right="0.7" top="0.75" bottom="0.75" header="0" footer="0"/>
  <pageSetup paperSize="9" pageOrder="overThenDown" orientation="portrait" cellComments="atEnd"/>
  <rowBreaks count="1" manualBreakCount="1">
    <brk id="116" man="1"/>
  </rowBreaks>
  <colBreaks count="1" manualBreakCount="1">
    <brk id="9" min="2" max="2"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L1053"/>
  <sheetViews>
    <sheetView topLeftCell="A63" workbookViewId="0">
      <selection activeCell="J51" sqref="J51"/>
    </sheetView>
  </sheetViews>
  <sheetFormatPr defaultColWidth="12.5703125" defaultRowHeight="15.75" customHeight="1"/>
  <cols>
    <col min="1" max="1" width="4.7109375" customWidth="1"/>
    <col min="2" max="2" width="7.7109375" customWidth="1"/>
    <col min="3" max="3" width="6.42578125" customWidth="1"/>
    <col min="4" max="4" width="13.5703125" customWidth="1"/>
    <col min="5" max="5" width="15.140625" customWidth="1"/>
    <col min="6" max="7" width="19.42578125" customWidth="1"/>
    <col min="8" max="8" width="14.42578125" customWidth="1"/>
    <col min="9" max="9" width="21.140625" customWidth="1"/>
    <col min="10" max="10" width="57.28515625" customWidth="1"/>
    <col min="11" max="11" width="8.5703125" customWidth="1"/>
    <col min="12" max="12" width="28.42578125" customWidth="1"/>
  </cols>
  <sheetData>
    <row r="1" spans="1:12" ht="39">
      <c r="B1" s="65"/>
      <c r="C1" s="65"/>
      <c r="D1" s="65"/>
      <c r="E1" s="65"/>
      <c r="G1" s="65"/>
      <c r="H1" s="65"/>
      <c r="I1" s="65"/>
      <c r="J1" s="65" t="s">
        <v>979</v>
      </c>
      <c r="K1" s="36"/>
      <c r="L1" s="36"/>
    </row>
    <row r="2" spans="1:12" ht="25.5">
      <c r="B2" s="72"/>
      <c r="C2" s="72"/>
      <c r="D2" s="72"/>
      <c r="E2" s="72"/>
      <c r="G2" s="72"/>
      <c r="H2" s="72"/>
      <c r="I2" s="72"/>
      <c r="J2" s="72" t="s">
        <v>980</v>
      </c>
      <c r="K2" s="36"/>
      <c r="L2" s="36"/>
    </row>
    <row r="3" spans="1:12" ht="31.5">
      <c r="A3" s="97"/>
      <c r="B3" s="97" t="s">
        <v>413</v>
      </c>
      <c r="C3" s="97"/>
      <c r="D3" s="97"/>
      <c r="E3" s="97"/>
      <c r="F3" s="97"/>
      <c r="G3" s="97"/>
      <c r="H3" s="97"/>
      <c r="I3" s="97"/>
      <c r="J3" s="97"/>
      <c r="K3" s="3"/>
      <c r="L3" s="3"/>
    </row>
    <row r="4" spans="1:12" ht="25.5">
      <c r="A4" s="98"/>
      <c r="B4" s="175" t="s">
        <v>250</v>
      </c>
      <c r="C4" s="176"/>
      <c r="D4" s="99" t="s">
        <v>251</v>
      </c>
      <c r="E4" s="99" t="s">
        <v>252</v>
      </c>
      <c r="F4" s="99" t="s">
        <v>253</v>
      </c>
      <c r="G4" s="99" t="s">
        <v>414</v>
      </c>
      <c r="H4" s="99" t="s">
        <v>254</v>
      </c>
      <c r="I4" s="99" t="s">
        <v>415</v>
      </c>
      <c r="J4" s="99" t="s">
        <v>255</v>
      </c>
      <c r="K4" s="19" t="s">
        <v>256</v>
      </c>
      <c r="L4" s="19" t="s">
        <v>416</v>
      </c>
    </row>
    <row r="5" spans="1:12" ht="25.5">
      <c r="A5" s="101"/>
      <c r="B5" s="102" t="s">
        <v>94</v>
      </c>
      <c r="C5" s="102" t="s">
        <v>258</v>
      </c>
      <c r="D5" s="102" t="s">
        <v>289</v>
      </c>
      <c r="E5" s="102" t="s">
        <v>262</v>
      </c>
      <c r="F5" s="102"/>
      <c r="G5" s="102"/>
      <c r="H5" s="102" t="s">
        <v>417</v>
      </c>
      <c r="I5" s="102"/>
      <c r="J5" s="102"/>
      <c r="K5" s="5"/>
      <c r="L5" s="4"/>
    </row>
    <row r="6" spans="1:12" ht="12.75">
      <c r="A6" s="73"/>
      <c r="B6" s="74"/>
      <c r="C6" s="74"/>
      <c r="D6" s="74"/>
      <c r="E6" s="74" t="s">
        <v>418</v>
      </c>
      <c r="F6" s="74" t="s">
        <v>419</v>
      </c>
      <c r="G6" s="74"/>
      <c r="H6" s="74" t="s">
        <v>420</v>
      </c>
      <c r="I6" s="74"/>
      <c r="J6" s="74" t="s">
        <v>421</v>
      </c>
      <c r="K6" s="5"/>
      <c r="L6" s="4"/>
    </row>
    <row r="7" spans="1:12" ht="25.5">
      <c r="A7" s="71"/>
      <c r="B7" s="75"/>
      <c r="C7" s="75"/>
      <c r="D7" s="75"/>
      <c r="E7" s="75"/>
      <c r="F7" s="75" t="s">
        <v>297</v>
      </c>
      <c r="G7" s="75"/>
      <c r="H7" s="75" t="s">
        <v>420</v>
      </c>
      <c r="I7" s="75"/>
      <c r="J7" s="75" t="s">
        <v>422</v>
      </c>
      <c r="K7" s="5"/>
      <c r="L7" s="4"/>
    </row>
    <row r="8" spans="1:12" ht="38.25">
      <c r="A8" s="73"/>
      <c r="B8" s="74"/>
      <c r="C8" s="74"/>
      <c r="D8" s="74"/>
      <c r="E8" s="74"/>
      <c r="F8" s="74" t="s">
        <v>299</v>
      </c>
      <c r="G8" s="74"/>
      <c r="H8" s="74" t="s">
        <v>420</v>
      </c>
      <c r="I8" s="74"/>
      <c r="J8" s="74" t="s">
        <v>423</v>
      </c>
      <c r="K8" s="5"/>
      <c r="L8" s="4"/>
    </row>
    <row r="9" spans="1:12" ht="12.75">
      <c r="A9" s="71"/>
      <c r="B9" s="75"/>
      <c r="C9" s="75"/>
      <c r="D9" s="75"/>
      <c r="E9" s="75"/>
      <c r="F9" s="75" t="s">
        <v>301</v>
      </c>
      <c r="G9" s="75"/>
      <c r="H9" s="75" t="s">
        <v>420</v>
      </c>
      <c r="I9" s="75"/>
      <c r="J9" s="75" t="s">
        <v>424</v>
      </c>
      <c r="K9" s="5"/>
      <c r="L9" s="4"/>
    </row>
    <row r="10" spans="1:12" ht="12.75">
      <c r="A10" s="73"/>
      <c r="B10" s="74"/>
      <c r="C10" s="74"/>
      <c r="D10" s="78"/>
      <c r="E10" s="78" t="s">
        <v>425</v>
      </c>
      <c r="F10" s="78" t="s">
        <v>426</v>
      </c>
      <c r="G10" s="78" t="s">
        <v>427</v>
      </c>
      <c r="H10" s="74" t="s">
        <v>413</v>
      </c>
      <c r="I10" s="74"/>
      <c r="J10" s="78" t="s">
        <v>428</v>
      </c>
      <c r="K10" s="4"/>
      <c r="L10" s="4"/>
    </row>
    <row r="11" spans="1:12" ht="12.75">
      <c r="A11" s="71"/>
      <c r="B11" s="75"/>
      <c r="C11" s="75"/>
      <c r="D11" s="77"/>
      <c r="E11" s="77"/>
      <c r="F11" s="77"/>
      <c r="G11" s="77" t="s">
        <v>429</v>
      </c>
      <c r="H11" s="75" t="s">
        <v>413</v>
      </c>
      <c r="I11" s="75"/>
      <c r="J11" s="77"/>
      <c r="K11" s="4"/>
      <c r="L11" s="4"/>
    </row>
    <row r="12" spans="1:12" ht="12.75">
      <c r="A12" s="73"/>
      <c r="B12" s="74"/>
      <c r="C12" s="74"/>
      <c r="D12" s="78"/>
      <c r="E12" s="78"/>
      <c r="F12" s="78" t="s">
        <v>430</v>
      </c>
      <c r="G12" s="78"/>
      <c r="H12" s="74" t="s">
        <v>413</v>
      </c>
      <c r="I12" s="74"/>
      <c r="J12" s="78"/>
      <c r="K12" s="4"/>
      <c r="L12" s="4"/>
    </row>
    <row r="13" spans="1:12" ht="12.75">
      <c r="A13" s="71"/>
      <c r="B13" s="75"/>
      <c r="C13" s="75"/>
      <c r="D13" s="77"/>
      <c r="E13" s="77"/>
      <c r="F13" s="77" t="s">
        <v>431</v>
      </c>
      <c r="G13" s="77" t="s">
        <v>244</v>
      </c>
      <c r="H13" s="75" t="s">
        <v>413</v>
      </c>
      <c r="I13" s="75"/>
      <c r="J13" s="77"/>
      <c r="K13" s="4"/>
      <c r="L13" s="4"/>
    </row>
    <row r="14" spans="1:12" ht="12.75">
      <c r="A14" s="73"/>
      <c r="B14" s="74"/>
      <c r="C14" s="74"/>
      <c r="D14" s="78"/>
      <c r="E14" s="78"/>
      <c r="F14" s="78"/>
      <c r="G14" s="78" t="s">
        <v>432</v>
      </c>
      <c r="H14" s="74" t="s">
        <v>413</v>
      </c>
      <c r="I14" s="74"/>
      <c r="J14" s="78"/>
      <c r="K14" s="4"/>
      <c r="L14" s="4"/>
    </row>
    <row r="15" spans="1:12" ht="12.75">
      <c r="A15" s="71"/>
      <c r="B15" s="75"/>
      <c r="C15" s="75"/>
      <c r="D15" s="77"/>
      <c r="E15" s="77"/>
      <c r="F15" s="77"/>
      <c r="G15" s="77" t="s">
        <v>433</v>
      </c>
      <c r="H15" s="75" t="s">
        <v>413</v>
      </c>
      <c r="I15" s="75"/>
      <c r="J15" s="77"/>
      <c r="K15" s="6"/>
      <c r="L15" s="6"/>
    </row>
    <row r="16" spans="1:12" ht="25.5">
      <c r="A16" s="73"/>
      <c r="B16" s="74"/>
      <c r="C16" s="74"/>
      <c r="D16" s="78"/>
      <c r="E16" s="78"/>
      <c r="F16" s="78"/>
      <c r="G16" s="78" t="s">
        <v>434</v>
      </c>
      <c r="H16" s="74" t="s">
        <v>413</v>
      </c>
      <c r="I16" s="74"/>
      <c r="J16" s="78"/>
      <c r="K16" s="6"/>
      <c r="L16" s="6"/>
    </row>
    <row r="17" spans="1:12" ht="12.75">
      <c r="A17" s="71"/>
      <c r="B17" s="75"/>
      <c r="C17" s="75"/>
      <c r="D17" s="77"/>
      <c r="E17" s="77"/>
      <c r="F17" s="77"/>
      <c r="G17" s="77" t="s">
        <v>431</v>
      </c>
      <c r="H17" s="75" t="s">
        <v>413</v>
      </c>
      <c r="I17" s="75"/>
      <c r="J17" s="77"/>
      <c r="K17" s="6"/>
      <c r="L17" s="6"/>
    </row>
    <row r="18" spans="1:12" ht="12.75">
      <c r="A18" s="73"/>
      <c r="B18" s="74"/>
      <c r="C18" s="74"/>
      <c r="D18" s="78"/>
      <c r="E18" s="78"/>
      <c r="F18" s="78"/>
      <c r="G18" s="78" t="s">
        <v>435</v>
      </c>
      <c r="H18" s="74" t="s">
        <v>413</v>
      </c>
      <c r="I18" s="74"/>
      <c r="J18" s="78" t="s">
        <v>436</v>
      </c>
      <c r="K18" s="6"/>
      <c r="L18" s="6"/>
    </row>
    <row r="19" spans="1:12" ht="12.75">
      <c r="A19" s="71"/>
      <c r="B19" s="75"/>
      <c r="C19" s="75"/>
      <c r="D19" s="77"/>
      <c r="E19" s="77"/>
      <c r="F19" s="77" t="s">
        <v>437</v>
      </c>
      <c r="G19" s="77"/>
      <c r="H19" s="75" t="s">
        <v>413</v>
      </c>
      <c r="I19" s="75"/>
      <c r="J19" s="77" t="s">
        <v>438</v>
      </c>
      <c r="K19" s="4"/>
      <c r="L19" s="4"/>
    </row>
    <row r="20" spans="1:12" ht="12.75">
      <c r="A20" s="73"/>
      <c r="B20" s="74"/>
      <c r="C20" s="74"/>
      <c r="D20" s="78"/>
      <c r="E20" s="78"/>
      <c r="F20" s="78" t="s">
        <v>439</v>
      </c>
      <c r="G20" s="78"/>
      <c r="H20" s="74" t="s">
        <v>413</v>
      </c>
      <c r="I20" s="74"/>
      <c r="J20" s="78" t="s">
        <v>440</v>
      </c>
      <c r="K20" s="4"/>
      <c r="L20" s="4"/>
    </row>
    <row r="21" spans="1:12" ht="25.5">
      <c r="A21" s="71"/>
      <c r="B21" s="75"/>
      <c r="C21" s="75"/>
      <c r="D21" s="77"/>
      <c r="E21" s="77"/>
      <c r="F21" s="77" t="s">
        <v>441</v>
      </c>
      <c r="G21" s="77"/>
      <c r="H21" s="75"/>
      <c r="I21" s="75"/>
      <c r="J21" s="100"/>
      <c r="K21" s="6"/>
      <c r="L21" s="6"/>
    </row>
    <row r="22" spans="1:12" ht="25.5">
      <c r="A22" s="73"/>
      <c r="B22" s="74"/>
      <c r="C22" s="74"/>
      <c r="D22" s="78"/>
      <c r="E22" s="78"/>
      <c r="F22" s="78" t="s">
        <v>442</v>
      </c>
      <c r="G22" s="78"/>
      <c r="H22" s="74"/>
      <c r="I22" s="74"/>
      <c r="J22" s="80"/>
      <c r="K22" s="6"/>
      <c r="L22" s="6"/>
    </row>
    <row r="23" spans="1:12" ht="12.75">
      <c r="A23" s="71"/>
      <c r="B23" s="75"/>
      <c r="C23" s="75"/>
      <c r="D23" s="77"/>
      <c r="E23" s="77"/>
      <c r="F23" s="77" t="s">
        <v>443</v>
      </c>
      <c r="G23" s="77"/>
      <c r="H23" s="75" t="s">
        <v>413</v>
      </c>
      <c r="I23" s="75"/>
      <c r="J23" s="79" t="s">
        <v>444</v>
      </c>
      <c r="K23" s="4"/>
      <c r="L23" s="4"/>
    </row>
    <row r="24" spans="1:12" ht="25.5">
      <c r="A24" s="73"/>
      <c r="B24" s="74"/>
      <c r="C24" s="74"/>
      <c r="D24" s="78"/>
      <c r="E24" s="78" t="s">
        <v>42</v>
      </c>
      <c r="F24" s="78" t="s">
        <v>299</v>
      </c>
      <c r="G24" s="78"/>
      <c r="H24" s="74" t="s">
        <v>413</v>
      </c>
      <c r="I24" s="74"/>
      <c r="J24" s="78" t="s">
        <v>445</v>
      </c>
      <c r="K24" s="4"/>
      <c r="L24" s="4"/>
    </row>
    <row r="25" spans="1:12" ht="12.75">
      <c r="A25" s="71"/>
      <c r="B25" s="75"/>
      <c r="C25" s="75"/>
      <c r="D25" s="77"/>
      <c r="E25" s="77"/>
      <c r="F25" s="77" t="s">
        <v>301</v>
      </c>
      <c r="G25" s="77"/>
      <c r="H25" s="75" t="s">
        <v>413</v>
      </c>
      <c r="I25" s="75"/>
      <c r="J25" s="77"/>
      <c r="K25" s="4"/>
      <c r="L25" s="4"/>
    </row>
    <row r="26" spans="1:12" ht="12.75">
      <c r="A26" s="73"/>
      <c r="B26" s="74"/>
      <c r="C26" s="74"/>
      <c r="D26" s="78"/>
      <c r="E26" s="78"/>
      <c r="F26" s="78" t="s">
        <v>446</v>
      </c>
      <c r="G26" s="78"/>
      <c r="H26" s="74" t="s">
        <v>413</v>
      </c>
      <c r="I26" s="74"/>
      <c r="J26" s="78" t="s">
        <v>447</v>
      </c>
      <c r="K26" s="4"/>
      <c r="L26" s="4"/>
    </row>
    <row r="27" spans="1:12" ht="12.75">
      <c r="A27" s="71"/>
      <c r="B27" s="75"/>
      <c r="C27" s="75"/>
      <c r="D27" s="75"/>
      <c r="E27" s="75" t="s">
        <v>296</v>
      </c>
      <c r="F27" s="75"/>
      <c r="G27" s="75"/>
      <c r="H27" s="75" t="s">
        <v>417</v>
      </c>
      <c r="I27" s="75"/>
      <c r="J27" s="75"/>
      <c r="K27" s="5"/>
      <c r="L27" s="4"/>
    </row>
    <row r="28" spans="1:12" ht="12.75">
      <c r="A28" s="73"/>
      <c r="B28" s="74"/>
      <c r="C28" s="74"/>
      <c r="D28" s="74" t="s">
        <v>195</v>
      </c>
      <c r="E28" s="74" t="s">
        <v>262</v>
      </c>
      <c r="F28" s="74" t="s">
        <v>314</v>
      </c>
      <c r="G28" s="74"/>
      <c r="H28" s="74" t="s">
        <v>417</v>
      </c>
      <c r="I28" s="74"/>
      <c r="J28" s="74"/>
      <c r="K28" s="5"/>
      <c r="L28" s="4"/>
    </row>
    <row r="29" spans="1:12" ht="12.75">
      <c r="A29" s="71"/>
      <c r="B29" s="75"/>
      <c r="C29" s="75"/>
      <c r="D29" s="75"/>
      <c r="E29" s="75"/>
      <c r="F29" s="75" t="s">
        <v>276</v>
      </c>
      <c r="G29" s="75"/>
      <c r="H29" s="75" t="s">
        <v>417</v>
      </c>
      <c r="I29" s="75"/>
      <c r="J29" s="75"/>
      <c r="K29" s="5"/>
      <c r="L29" s="4"/>
    </row>
    <row r="30" spans="1:12" ht="12.75">
      <c r="A30" s="73"/>
      <c r="B30" s="74"/>
      <c r="C30" s="74"/>
      <c r="D30" s="74"/>
      <c r="E30" s="74"/>
      <c r="F30" s="74" t="s">
        <v>317</v>
      </c>
      <c r="G30" s="74"/>
      <c r="H30" s="74" t="s">
        <v>417</v>
      </c>
      <c r="I30" s="74"/>
      <c r="J30" s="74"/>
      <c r="K30" s="5"/>
      <c r="L30" s="4"/>
    </row>
    <row r="31" spans="1:12" ht="12.75">
      <c r="A31" s="71"/>
      <c r="B31" s="75"/>
      <c r="C31" s="75"/>
      <c r="D31" s="75" t="s">
        <v>448</v>
      </c>
      <c r="E31" s="75" t="s">
        <v>418</v>
      </c>
      <c r="F31" s="75" t="s">
        <v>419</v>
      </c>
      <c r="G31" s="75"/>
      <c r="H31" s="75" t="s">
        <v>420</v>
      </c>
      <c r="I31" s="75"/>
      <c r="J31" s="75" t="s">
        <v>449</v>
      </c>
      <c r="K31" s="5"/>
      <c r="L31" s="4"/>
    </row>
    <row r="32" spans="1:12" ht="12.75">
      <c r="A32" s="73"/>
      <c r="B32" s="74"/>
      <c r="C32" s="74"/>
      <c r="D32" s="74"/>
      <c r="E32" s="74"/>
      <c r="F32" s="74" t="s">
        <v>297</v>
      </c>
      <c r="G32" s="74"/>
      <c r="H32" s="74" t="s">
        <v>420</v>
      </c>
      <c r="I32" s="74"/>
      <c r="J32" s="74" t="s">
        <v>450</v>
      </c>
      <c r="K32" s="5"/>
      <c r="L32" s="4"/>
    </row>
    <row r="33" spans="1:12" ht="25.5">
      <c r="A33" s="71"/>
      <c r="B33" s="75"/>
      <c r="C33" s="75"/>
      <c r="D33" s="75"/>
      <c r="E33" s="75"/>
      <c r="F33" s="75" t="s">
        <v>299</v>
      </c>
      <c r="G33" s="75"/>
      <c r="H33" s="75" t="s">
        <v>420</v>
      </c>
      <c r="I33" s="75"/>
      <c r="J33" s="75" t="s">
        <v>451</v>
      </c>
      <c r="K33" s="5"/>
      <c r="L33" s="4"/>
    </row>
    <row r="34" spans="1:12" ht="12.75">
      <c r="A34" s="73"/>
      <c r="B34" s="74"/>
      <c r="C34" s="74"/>
      <c r="D34" s="74"/>
      <c r="E34" s="74"/>
      <c r="F34" s="74" t="s">
        <v>301</v>
      </c>
      <c r="G34" s="74"/>
      <c r="H34" s="74" t="s">
        <v>420</v>
      </c>
      <c r="I34" s="74"/>
      <c r="J34" s="74" t="s">
        <v>452</v>
      </c>
      <c r="K34" s="5"/>
      <c r="L34" s="4"/>
    </row>
    <row r="35" spans="1:12" ht="51">
      <c r="A35" s="71"/>
      <c r="B35" s="75"/>
      <c r="C35" s="75"/>
      <c r="D35" s="75"/>
      <c r="E35" s="75" t="s">
        <v>453</v>
      </c>
      <c r="F35" s="75" t="s">
        <v>454</v>
      </c>
      <c r="G35" s="75"/>
      <c r="H35" s="75" t="s">
        <v>420</v>
      </c>
      <c r="I35" s="75"/>
      <c r="J35" s="75" t="s">
        <v>455</v>
      </c>
      <c r="K35" s="5"/>
      <c r="L35" s="4"/>
    </row>
    <row r="36" spans="1:12" ht="51">
      <c r="A36" s="73"/>
      <c r="B36" s="74"/>
      <c r="C36" s="74"/>
      <c r="D36" s="74"/>
      <c r="E36" s="74"/>
      <c r="F36" s="74" t="s">
        <v>299</v>
      </c>
      <c r="G36" s="74"/>
      <c r="H36" s="74" t="s">
        <v>420</v>
      </c>
      <c r="I36" s="74"/>
      <c r="J36" s="74" t="s">
        <v>456</v>
      </c>
      <c r="K36" s="5"/>
      <c r="L36" s="4"/>
    </row>
    <row r="37" spans="1:12" ht="12.75">
      <c r="A37" s="71"/>
      <c r="B37" s="75"/>
      <c r="C37" s="75"/>
      <c r="D37" s="75"/>
      <c r="E37" s="75"/>
      <c r="F37" s="75" t="s">
        <v>301</v>
      </c>
      <c r="G37" s="75" t="s">
        <v>457</v>
      </c>
      <c r="H37" s="75" t="s">
        <v>420</v>
      </c>
      <c r="I37" s="75"/>
      <c r="J37" s="75" t="s">
        <v>458</v>
      </c>
      <c r="K37" s="5"/>
      <c r="L37" s="4"/>
    </row>
    <row r="38" spans="1:12" ht="51">
      <c r="A38" s="73"/>
      <c r="B38" s="74"/>
      <c r="C38" s="74"/>
      <c r="D38" s="74"/>
      <c r="E38" s="74" t="s">
        <v>459</v>
      </c>
      <c r="F38" s="74" t="s">
        <v>460</v>
      </c>
      <c r="G38" s="74"/>
      <c r="H38" s="74" t="s">
        <v>413</v>
      </c>
      <c r="I38" s="74" t="s">
        <v>461</v>
      </c>
      <c r="J38" s="74" t="s">
        <v>462</v>
      </c>
      <c r="K38" s="4"/>
      <c r="L38" s="4"/>
    </row>
    <row r="39" spans="1:12" ht="25.5">
      <c r="A39" s="71"/>
      <c r="B39" s="75"/>
      <c r="C39" s="75"/>
      <c r="D39" s="75"/>
      <c r="E39" s="75" t="s">
        <v>463</v>
      </c>
      <c r="F39" s="75" t="s">
        <v>464</v>
      </c>
      <c r="G39" s="75" t="s">
        <v>465</v>
      </c>
      <c r="H39" s="75" t="s">
        <v>413</v>
      </c>
      <c r="I39" s="75"/>
      <c r="J39" s="75" t="s">
        <v>466</v>
      </c>
      <c r="K39" s="4"/>
      <c r="L39" s="4"/>
    </row>
    <row r="40" spans="1:12" ht="12.75">
      <c r="A40" s="73"/>
      <c r="B40" s="74"/>
      <c r="C40" s="74"/>
      <c r="D40" s="74"/>
      <c r="E40" s="74"/>
      <c r="F40" s="74"/>
      <c r="G40" s="74" t="s">
        <v>390</v>
      </c>
      <c r="H40" s="74" t="s">
        <v>413</v>
      </c>
      <c r="I40" s="74"/>
      <c r="J40" s="74" t="s">
        <v>467</v>
      </c>
      <c r="K40" s="4"/>
      <c r="L40" s="4"/>
    </row>
    <row r="41" spans="1:12" ht="12.75">
      <c r="A41" s="71"/>
      <c r="B41" s="75"/>
      <c r="C41" s="75"/>
      <c r="D41" s="75"/>
      <c r="E41" s="75"/>
      <c r="F41" s="75"/>
      <c r="G41" s="75" t="s">
        <v>468</v>
      </c>
      <c r="H41" s="75" t="s">
        <v>413</v>
      </c>
      <c r="I41" s="75"/>
      <c r="J41" s="75" t="s">
        <v>469</v>
      </c>
      <c r="K41" s="4"/>
      <c r="L41" s="4"/>
    </row>
    <row r="42" spans="1:12" ht="12.75">
      <c r="A42" s="73"/>
      <c r="B42" s="74"/>
      <c r="C42" s="74"/>
      <c r="D42" s="74"/>
      <c r="E42" s="74"/>
      <c r="F42" s="74"/>
      <c r="G42" s="74" t="s">
        <v>470</v>
      </c>
      <c r="H42" s="74" t="s">
        <v>413</v>
      </c>
      <c r="I42" s="74"/>
      <c r="J42" s="74"/>
      <c r="K42" s="4"/>
      <c r="L42" s="4"/>
    </row>
    <row r="43" spans="1:12" ht="12.75">
      <c r="A43" s="71"/>
      <c r="B43" s="75"/>
      <c r="C43" s="75"/>
      <c r="D43" s="75"/>
      <c r="E43" s="75"/>
      <c r="F43" s="75"/>
      <c r="G43" s="75" t="s">
        <v>471</v>
      </c>
      <c r="H43" s="75" t="s">
        <v>413</v>
      </c>
      <c r="I43" s="75"/>
      <c r="J43" s="75"/>
      <c r="K43" s="4"/>
      <c r="L43" s="4"/>
    </row>
    <row r="44" spans="1:12" ht="25.5">
      <c r="A44" s="73"/>
      <c r="B44" s="74"/>
      <c r="C44" s="74"/>
      <c r="D44" s="74"/>
      <c r="E44" s="74"/>
      <c r="F44" s="74"/>
      <c r="G44" s="74" t="s">
        <v>472</v>
      </c>
      <c r="H44" s="74" t="s">
        <v>473</v>
      </c>
      <c r="I44" s="74" t="s">
        <v>474</v>
      </c>
      <c r="J44" s="82" t="s">
        <v>475</v>
      </c>
      <c r="K44" s="5"/>
      <c r="L44" s="4"/>
    </row>
    <row r="45" spans="1:12" ht="25.5">
      <c r="A45" s="71"/>
      <c r="B45" s="75"/>
      <c r="C45" s="75"/>
      <c r="D45" s="75"/>
      <c r="E45" s="75"/>
      <c r="F45" s="75"/>
      <c r="G45" s="75" t="s">
        <v>476</v>
      </c>
      <c r="H45" s="75" t="s">
        <v>477</v>
      </c>
      <c r="I45" s="75" t="s">
        <v>474</v>
      </c>
      <c r="J45" s="81" t="s">
        <v>478</v>
      </c>
      <c r="K45" s="6"/>
      <c r="L45" s="6"/>
    </row>
    <row r="46" spans="1:12" ht="12.75">
      <c r="A46" s="73"/>
      <c r="B46" s="74"/>
      <c r="C46" s="74"/>
      <c r="D46" s="74"/>
      <c r="E46" s="74"/>
      <c r="F46" s="74"/>
      <c r="G46" s="74" t="s">
        <v>479</v>
      </c>
      <c r="H46" s="74" t="s">
        <v>413</v>
      </c>
      <c r="I46" s="74"/>
      <c r="J46" s="74" t="s">
        <v>480</v>
      </c>
      <c r="K46" s="4"/>
      <c r="L46" s="4"/>
    </row>
    <row r="47" spans="1:12" ht="12.75">
      <c r="A47" s="71"/>
      <c r="B47" s="75"/>
      <c r="C47" s="75"/>
      <c r="D47" s="75"/>
      <c r="E47" s="75"/>
      <c r="F47" s="75"/>
      <c r="G47" s="75" t="s">
        <v>481</v>
      </c>
      <c r="H47" s="75" t="s">
        <v>413</v>
      </c>
      <c r="I47" s="75"/>
      <c r="J47" s="75"/>
      <c r="K47" s="4"/>
      <c r="L47" s="4"/>
    </row>
    <row r="48" spans="1:12" ht="12.75">
      <c r="A48" s="73"/>
      <c r="B48" s="74"/>
      <c r="C48" s="74"/>
      <c r="D48" s="74"/>
      <c r="E48" s="74"/>
      <c r="F48" s="74"/>
      <c r="G48" s="74" t="s">
        <v>482</v>
      </c>
      <c r="H48" s="74" t="s">
        <v>413</v>
      </c>
      <c r="I48" s="74"/>
      <c r="J48" s="74" t="s">
        <v>483</v>
      </c>
      <c r="K48" s="4"/>
      <c r="L48" s="4"/>
    </row>
    <row r="49" spans="1:12" ht="12.75">
      <c r="A49" s="71"/>
      <c r="B49" s="75"/>
      <c r="C49" s="75"/>
      <c r="D49" s="75" t="s">
        <v>484</v>
      </c>
      <c r="E49" s="75" t="s">
        <v>418</v>
      </c>
      <c r="F49" s="75" t="s">
        <v>419</v>
      </c>
      <c r="G49" s="75"/>
      <c r="H49" s="75" t="s">
        <v>420</v>
      </c>
      <c r="I49" s="75"/>
      <c r="J49" s="75"/>
      <c r="K49" s="5"/>
      <c r="L49" s="4"/>
    </row>
    <row r="50" spans="1:12" ht="12.75">
      <c r="A50" s="73"/>
      <c r="B50" s="74"/>
      <c r="C50" s="74"/>
      <c r="D50" s="74"/>
      <c r="E50" s="74"/>
      <c r="F50" s="74" t="s">
        <v>297</v>
      </c>
      <c r="G50" s="74"/>
      <c r="H50" s="74" t="s">
        <v>420</v>
      </c>
      <c r="I50" s="74"/>
      <c r="J50" s="74" t="s">
        <v>485</v>
      </c>
      <c r="K50" s="5"/>
      <c r="L50" s="4"/>
    </row>
    <row r="51" spans="1:12" ht="25.5">
      <c r="A51" s="71"/>
      <c r="B51" s="75"/>
      <c r="C51" s="75"/>
      <c r="D51" s="75"/>
      <c r="E51" s="75"/>
      <c r="F51" s="75" t="s">
        <v>299</v>
      </c>
      <c r="G51" s="75"/>
      <c r="H51" s="75" t="s">
        <v>420</v>
      </c>
      <c r="I51" s="75"/>
      <c r="J51" s="75" t="s">
        <v>486</v>
      </c>
      <c r="K51" s="5"/>
      <c r="L51" s="4"/>
    </row>
    <row r="52" spans="1:12" ht="12.75">
      <c r="A52" s="73"/>
      <c r="B52" s="74"/>
      <c r="C52" s="74"/>
      <c r="D52" s="74"/>
      <c r="E52" s="74"/>
      <c r="F52" s="74" t="s">
        <v>301</v>
      </c>
      <c r="G52" s="74"/>
      <c r="H52" s="74" t="s">
        <v>420</v>
      </c>
      <c r="I52" s="74"/>
      <c r="J52" s="74"/>
      <c r="K52" s="5"/>
      <c r="L52" s="4"/>
    </row>
    <row r="53" spans="1:12" ht="12.75">
      <c r="A53" s="71"/>
      <c r="B53" s="75"/>
      <c r="C53" s="75"/>
      <c r="D53" s="75"/>
      <c r="E53" s="75" t="s">
        <v>487</v>
      </c>
      <c r="F53" s="75" t="s">
        <v>488</v>
      </c>
      <c r="G53" s="75"/>
      <c r="H53" s="75" t="s">
        <v>413</v>
      </c>
      <c r="I53" s="75"/>
      <c r="J53" s="75" t="s">
        <v>489</v>
      </c>
      <c r="K53" s="4"/>
      <c r="L53" s="4"/>
    </row>
    <row r="54" spans="1:12" ht="51">
      <c r="A54" s="73"/>
      <c r="B54" s="74"/>
      <c r="C54" s="74"/>
      <c r="D54" s="74"/>
      <c r="E54" s="74"/>
      <c r="F54" s="74" t="s">
        <v>490</v>
      </c>
      <c r="G54" s="74" t="s">
        <v>490</v>
      </c>
      <c r="H54" s="74" t="s">
        <v>413</v>
      </c>
      <c r="I54" s="74" t="s">
        <v>491</v>
      </c>
      <c r="J54" s="74"/>
      <c r="K54" s="7"/>
      <c r="L54" s="7" t="s">
        <v>492</v>
      </c>
    </row>
    <row r="55" spans="1:12" ht="12.75">
      <c r="A55" s="71"/>
      <c r="B55" s="75"/>
      <c r="C55" s="75"/>
      <c r="D55" s="75"/>
      <c r="E55" s="75"/>
      <c r="F55" s="75" t="s">
        <v>493</v>
      </c>
      <c r="G55" s="75" t="s">
        <v>432</v>
      </c>
      <c r="H55" s="75" t="s">
        <v>413</v>
      </c>
      <c r="I55" s="75"/>
      <c r="J55" s="75"/>
      <c r="K55" s="6"/>
      <c r="L55" s="6"/>
    </row>
    <row r="56" spans="1:12" ht="25.5">
      <c r="A56" s="73"/>
      <c r="B56" s="74"/>
      <c r="C56" s="74"/>
      <c r="D56" s="74"/>
      <c r="E56" s="74"/>
      <c r="F56" s="74"/>
      <c r="G56" s="74" t="s">
        <v>433</v>
      </c>
      <c r="H56" s="74" t="s">
        <v>473</v>
      </c>
      <c r="I56" s="74"/>
      <c r="J56" s="74" t="s">
        <v>494</v>
      </c>
      <c r="K56" s="5"/>
      <c r="L56" s="4"/>
    </row>
    <row r="57" spans="1:12" ht="25.5">
      <c r="A57" s="71"/>
      <c r="B57" s="75"/>
      <c r="C57" s="75"/>
      <c r="D57" s="75"/>
      <c r="E57" s="75"/>
      <c r="F57" s="75"/>
      <c r="G57" s="75" t="s">
        <v>495</v>
      </c>
      <c r="H57" s="75" t="s">
        <v>477</v>
      </c>
      <c r="I57" s="75"/>
      <c r="J57" s="75" t="s">
        <v>494</v>
      </c>
      <c r="K57" s="4"/>
      <c r="L57" s="4"/>
    </row>
    <row r="58" spans="1:12" ht="12.75">
      <c r="A58" s="73"/>
      <c r="B58" s="74"/>
      <c r="C58" s="74"/>
      <c r="D58" s="74"/>
      <c r="E58" s="74"/>
      <c r="F58" s="74"/>
      <c r="G58" s="74" t="s">
        <v>496</v>
      </c>
      <c r="H58" s="74" t="s">
        <v>413</v>
      </c>
      <c r="I58" s="74"/>
      <c r="J58" s="74"/>
      <c r="K58" s="4"/>
      <c r="L58" s="4"/>
    </row>
    <row r="59" spans="1:12" ht="12.75">
      <c r="A59" s="71"/>
      <c r="B59" s="75"/>
      <c r="C59" s="75"/>
      <c r="D59" s="75"/>
      <c r="E59" s="75"/>
      <c r="F59" s="75"/>
      <c r="G59" s="75" t="s">
        <v>497</v>
      </c>
      <c r="H59" s="75" t="s">
        <v>477</v>
      </c>
      <c r="I59" s="75"/>
      <c r="J59" s="75" t="s">
        <v>498</v>
      </c>
      <c r="K59" s="4"/>
      <c r="L59" s="4"/>
    </row>
    <row r="60" spans="1:12" ht="12.75">
      <c r="A60" s="73"/>
      <c r="B60" s="74"/>
      <c r="C60" s="74"/>
      <c r="D60" s="74"/>
      <c r="E60" s="74"/>
      <c r="F60" s="74" t="s">
        <v>499</v>
      </c>
      <c r="G60" s="74" t="s">
        <v>499</v>
      </c>
      <c r="H60" s="74" t="s">
        <v>413</v>
      </c>
      <c r="I60" s="74"/>
      <c r="J60" s="74" t="s">
        <v>500</v>
      </c>
      <c r="K60" s="4"/>
      <c r="L60" s="4"/>
    </row>
    <row r="61" spans="1:12" ht="12.75">
      <c r="A61" s="71"/>
      <c r="B61" s="75"/>
      <c r="C61" s="75"/>
      <c r="D61" s="75"/>
      <c r="E61" s="75"/>
      <c r="F61" s="75" t="s">
        <v>42</v>
      </c>
      <c r="G61" s="75" t="s">
        <v>42</v>
      </c>
      <c r="H61" s="75" t="s">
        <v>413</v>
      </c>
      <c r="I61" s="75"/>
      <c r="J61" s="75" t="s">
        <v>501</v>
      </c>
      <c r="K61" s="4"/>
      <c r="L61" s="4"/>
    </row>
    <row r="62" spans="1:12" ht="12.75">
      <c r="A62" s="73"/>
      <c r="B62" s="74"/>
      <c r="C62" s="74"/>
      <c r="D62" s="74" t="s">
        <v>502</v>
      </c>
      <c r="E62" s="74" t="s">
        <v>297</v>
      </c>
      <c r="F62" s="74"/>
      <c r="G62" s="74"/>
      <c r="H62" s="74" t="s">
        <v>413</v>
      </c>
      <c r="I62" s="74"/>
      <c r="J62" s="74" t="s">
        <v>503</v>
      </c>
      <c r="K62" s="4"/>
      <c r="L62" s="4"/>
    </row>
    <row r="63" spans="1:12" ht="63.75">
      <c r="A63" s="71"/>
      <c r="B63" s="75"/>
      <c r="C63" s="75"/>
      <c r="D63" s="75"/>
      <c r="E63" s="75" t="s">
        <v>299</v>
      </c>
      <c r="F63" s="75"/>
      <c r="G63" s="75"/>
      <c r="H63" s="75" t="s">
        <v>413</v>
      </c>
      <c r="I63" s="75"/>
      <c r="J63" s="75" t="s">
        <v>504</v>
      </c>
      <c r="K63" s="4"/>
      <c r="L63" s="4"/>
    </row>
    <row r="64" spans="1:12" ht="12.75">
      <c r="A64" s="73"/>
      <c r="B64" s="74"/>
      <c r="C64" s="74"/>
      <c r="D64" s="74"/>
      <c r="E64" s="74" t="s">
        <v>301</v>
      </c>
      <c r="F64" s="74"/>
      <c r="G64" s="74"/>
      <c r="H64" s="74" t="s">
        <v>413</v>
      </c>
      <c r="I64" s="74"/>
      <c r="J64" s="74" t="s">
        <v>505</v>
      </c>
      <c r="K64" s="4"/>
      <c r="L64" s="4"/>
    </row>
    <row r="65" spans="1:12" ht="12.75">
      <c r="A65" s="71"/>
      <c r="B65" s="75"/>
      <c r="C65" s="75"/>
      <c r="D65" s="75"/>
      <c r="E65" s="75" t="s">
        <v>506</v>
      </c>
      <c r="F65" s="75"/>
      <c r="G65" s="75"/>
      <c r="H65" s="75" t="s">
        <v>413</v>
      </c>
      <c r="I65" s="75"/>
      <c r="J65" s="75" t="s">
        <v>507</v>
      </c>
      <c r="K65" s="4"/>
      <c r="L65" s="4"/>
    </row>
    <row r="66" spans="1:12" ht="12.75">
      <c r="A66" s="73"/>
      <c r="B66" s="74"/>
      <c r="C66" s="74"/>
      <c r="D66" s="78"/>
      <c r="E66" s="74" t="s">
        <v>183</v>
      </c>
      <c r="F66" s="74"/>
      <c r="G66" s="74"/>
      <c r="H66" s="74" t="s">
        <v>417</v>
      </c>
      <c r="I66" s="78"/>
      <c r="J66" s="74"/>
      <c r="K66" s="5"/>
      <c r="L66" s="4"/>
    </row>
    <row r="67" spans="1:12" ht="25.5">
      <c r="A67" s="103"/>
      <c r="B67" s="104"/>
      <c r="C67" s="104" t="s">
        <v>331</v>
      </c>
      <c r="D67" s="104" t="s">
        <v>266</v>
      </c>
      <c r="E67" s="104"/>
      <c r="F67" s="104"/>
      <c r="G67" s="104"/>
      <c r="H67" s="104" t="s">
        <v>417</v>
      </c>
      <c r="I67" s="104"/>
      <c r="J67" s="104"/>
      <c r="K67" s="5"/>
      <c r="L67" s="4"/>
    </row>
    <row r="68" spans="1:12" ht="76.5">
      <c r="A68" s="73"/>
      <c r="B68" s="74"/>
      <c r="C68" s="74"/>
      <c r="D68" s="74" t="s">
        <v>419</v>
      </c>
      <c r="E68" s="74" t="s">
        <v>257</v>
      </c>
      <c r="F68" s="74" t="s">
        <v>508</v>
      </c>
      <c r="G68" s="74"/>
      <c r="H68" s="74" t="s">
        <v>420</v>
      </c>
      <c r="I68" s="74"/>
      <c r="J68" s="74" t="s">
        <v>509</v>
      </c>
      <c r="K68" s="5"/>
      <c r="L68" s="4"/>
    </row>
    <row r="69" spans="1:12" ht="12.75">
      <c r="A69" s="71"/>
      <c r="B69" s="75"/>
      <c r="C69" s="75"/>
      <c r="D69" s="75"/>
      <c r="E69" s="75" t="s">
        <v>510</v>
      </c>
      <c r="F69" s="75" t="s">
        <v>511</v>
      </c>
      <c r="G69" s="75"/>
      <c r="H69" s="75" t="s">
        <v>420</v>
      </c>
      <c r="I69" s="75"/>
      <c r="J69" s="75"/>
      <c r="K69" s="5"/>
      <c r="L69" s="4"/>
    </row>
    <row r="70" spans="1:12" ht="12.75">
      <c r="A70" s="73"/>
      <c r="B70" s="74"/>
      <c r="C70" s="74"/>
      <c r="D70" s="74" t="s">
        <v>512</v>
      </c>
      <c r="E70" s="74" t="s">
        <v>297</v>
      </c>
      <c r="F70" s="74"/>
      <c r="G70" s="74"/>
      <c r="H70" s="74" t="s">
        <v>420</v>
      </c>
      <c r="I70" s="74"/>
      <c r="J70" s="74"/>
      <c r="K70" s="5"/>
      <c r="L70" s="4"/>
    </row>
    <row r="71" spans="1:12" ht="63.75">
      <c r="A71" s="71"/>
      <c r="B71" s="75"/>
      <c r="C71" s="75"/>
      <c r="D71" s="75"/>
      <c r="E71" s="75" t="s">
        <v>299</v>
      </c>
      <c r="F71" s="75"/>
      <c r="G71" s="75"/>
      <c r="H71" s="75" t="s">
        <v>420</v>
      </c>
      <c r="I71" s="75"/>
      <c r="J71" s="75" t="s">
        <v>513</v>
      </c>
      <c r="K71" s="5"/>
      <c r="L71" s="4"/>
    </row>
    <row r="72" spans="1:12" ht="12.75">
      <c r="A72" s="73"/>
      <c r="B72" s="74"/>
      <c r="C72" s="74"/>
      <c r="D72" s="74"/>
      <c r="E72" s="74" t="s">
        <v>301</v>
      </c>
      <c r="F72" s="74"/>
      <c r="G72" s="74"/>
      <c r="H72" s="74" t="s">
        <v>420</v>
      </c>
      <c r="I72" s="74"/>
      <c r="J72" s="74" t="s">
        <v>514</v>
      </c>
      <c r="K72" s="5"/>
      <c r="L72" s="4"/>
    </row>
    <row r="73" spans="1:12" ht="12.75">
      <c r="A73" s="71"/>
      <c r="B73" s="75"/>
      <c r="C73" s="75"/>
      <c r="D73" s="75" t="s">
        <v>515</v>
      </c>
      <c r="E73" s="75" t="s">
        <v>297</v>
      </c>
      <c r="F73" s="75"/>
      <c r="G73" s="75"/>
      <c r="H73" s="75" t="s">
        <v>420</v>
      </c>
      <c r="I73" s="75"/>
      <c r="J73" s="75" t="s">
        <v>516</v>
      </c>
      <c r="K73" s="5"/>
      <c r="L73" s="4"/>
    </row>
    <row r="74" spans="1:12" ht="25.5">
      <c r="A74" s="73"/>
      <c r="B74" s="74"/>
      <c r="C74" s="74"/>
      <c r="D74" s="74"/>
      <c r="E74" s="74" t="s">
        <v>299</v>
      </c>
      <c r="F74" s="74"/>
      <c r="G74" s="74"/>
      <c r="H74" s="74" t="s">
        <v>420</v>
      </c>
      <c r="I74" s="74"/>
      <c r="J74" s="74" t="s">
        <v>517</v>
      </c>
      <c r="K74" s="5"/>
      <c r="L74" s="4"/>
    </row>
    <row r="75" spans="1:12" ht="12.75">
      <c r="A75" s="71"/>
      <c r="B75" s="75"/>
      <c r="C75" s="75"/>
      <c r="D75" s="75"/>
      <c r="E75" s="75" t="s">
        <v>301</v>
      </c>
      <c r="F75" s="75"/>
      <c r="G75" s="75"/>
      <c r="H75" s="75" t="s">
        <v>420</v>
      </c>
      <c r="I75" s="75"/>
      <c r="J75" s="75"/>
      <c r="K75" s="5"/>
      <c r="L75" s="4"/>
    </row>
    <row r="76" spans="1:12" ht="12.75">
      <c r="A76" s="73"/>
      <c r="B76" s="74"/>
      <c r="C76" s="74"/>
      <c r="D76" s="74"/>
      <c r="E76" s="74" t="s">
        <v>482</v>
      </c>
      <c r="F76" s="74" t="s">
        <v>518</v>
      </c>
      <c r="G76" s="74"/>
      <c r="H76" s="74" t="s">
        <v>413</v>
      </c>
      <c r="I76" s="74"/>
      <c r="J76" s="74" t="s">
        <v>519</v>
      </c>
      <c r="K76" s="4"/>
      <c r="L76" s="4"/>
    </row>
    <row r="77" spans="1:12" ht="25.5">
      <c r="A77" s="71"/>
      <c r="B77" s="75"/>
      <c r="C77" s="75"/>
      <c r="D77" s="75"/>
      <c r="E77" s="75"/>
      <c r="F77" s="75" t="s">
        <v>453</v>
      </c>
      <c r="G77" s="75"/>
      <c r="H77" s="75" t="s">
        <v>413</v>
      </c>
      <c r="I77" s="75"/>
      <c r="J77" s="75" t="s">
        <v>520</v>
      </c>
      <c r="K77" s="6"/>
      <c r="L77" s="6"/>
    </row>
    <row r="78" spans="1:12" ht="25.5">
      <c r="A78" s="73"/>
      <c r="B78" s="74"/>
      <c r="C78" s="74"/>
      <c r="D78" s="74"/>
      <c r="E78" s="74"/>
      <c r="F78" s="74" t="s">
        <v>431</v>
      </c>
      <c r="G78" s="74"/>
      <c r="H78" s="74" t="s">
        <v>413</v>
      </c>
      <c r="I78" s="74"/>
      <c r="J78" s="74" t="s">
        <v>521</v>
      </c>
      <c r="K78" s="4"/>
      <c r="L78" s="4"/>
    </row>
    <row r="79" spans="1:12" ht="38.25">
      <c r="A79" s="71"/>
      <c r="B79" s="75"/>
      <c r="C79" s="75"/>
      <c r="D79" s="75" t="s">
        <v>522</v>
      </c>
      <c r="E79" s="75" t="s">
        <v>297</v>
      </c>
      <c r="F79" s="75"/>
      <c r="G79" s="75"/>
      <c r="H79" s="75" t="s">
        <v>420</v>
      </c>
      <c r="I79" s="75"/>
      <c r="J79" s="75" t="s">
        <v>523</v>
      </c>
      <c r="K79" s="5"/>
      <c r="L79" s="4"/>
    </row>
    <row r="80" spans="1:12" ht="38.25">
      <c r="A80" s="73"/>
      <c r="B80" s="74"/>
      <c r="C80" s="74"/>
      <c r="D80" s="74"/>
      <c r="E80" s="74" t="s">
        <v>299</v>
      </c>
      <c r="F80" s="74"/>
      <c r="G80" s="74"/>
      <c r="H80" s="74" t="s">
        <v>420</v>
      </c>
      <c r="I80" s="74"/>
      <c r="J80" s="74" t="s">
        <v>524</v>
      </c>
      <c r="K80" s="5"/>
      <c r="L80" s="4"/>
    </row>
    <row r="81" spans="1:12" ht="51">
      <c r="A81" s="71"/>
      <c r="B81" s="75"/>
      <c r="C81" s="75"/>
      <c r="D81" s="75"/>
      <c r="E81" s="75" t="s">
        <v>301</v>
      </c>
      <c r="F81" s="75" t="s">
        <v>82</v>
      </c>
      <c r="G81" s="75" t="s">
        <v>525</v>
      </c>
      <c r="H81" s="75" t="s">
        <v>420</v>
      </c>
      <c r="I81" s="75"/>
      <c r="J81" s="75"/>
      <c r="K81" s="5"/>
      <c r="L81" s="4" t="s">
        <v>492</v>
      </c>
    </row>
    <row r="82" spans="1:12" ht="12.75">
      <c r="A82" s="73"/>
      <c r="B82" s="74"/>
      <c r="C82" s="74"/>
      <c r="D82" s="74"/>
      <c r="E82" s="74"/>
      <c r="F82" s="74" t="s">
        <v>140</v>
      </c>
      <c r="G82" s="74"/>
      <c r="H82" s="74" t="s">
        <v>413</v>
      </c>
      <c r="I82" s="74"/>
      <c r="J82" s="74"/>
      <c r="K82" s="6"/>
      <c r="L82" s="6"/>
    </row>
    <row r="83" spans="1:12" ht="25.5">
      <c r="A83" s="71"/>
      <c r="B83" s="75"/>
      <c r="C83" s="75"/>
      <c r="D83" s="75" t="s">
        <v>0</v>
      </c>
      <c r="E83" s="75" t="s">
        <v>297</v>
      </c>
      <c r="F83" s="75"/>
      <c r="G83" s="75"/>
      <c r="H83" s="75" t="s">
        <v>413</v>
      </c>
      <c r="I83" s="75"/>
      <c r="J83" s="75" t="s">
        <v>526</v>
      </c>
      <c r="K83" s="4"/>
      <c r="L83" s="4"/>
    </row>
    <row r="84" spans="1:12" ht="25.5">
      <c r="A84" s="73"/>
      <c r="B84" s="74"/>
      <c r="C84" s="74"/>
      <c r="D84" s="74"/>
      <c r="E84" s="74" t="s">
        <v>299</v>
      </c>
      <c r="F84" s="74"/>
      <c r="G84" s="74"/>
      <c r="H84" s="74" t="s">
        <v>413</v>
      </c>
      <c r="I84" s="74" t="s">
        <v>527</v>
      </c>
      <c r="J84" s="74" t="s">
        <v>528</v>
      </c>
      <c r="K84" s="4"/>
      <c r="L84" s="4"/>
    </row>
    <row r="85" spans="1:12" ht="12.75">
      <c r="A85" s="71"/>
      <c r="B85" s="75"/>
      <c r="C85" s="75"/>
      <c r="D85" s="75"/>
      <c r="E85" s="75" t="s">
        <v>301</v>
      </c>
      <c r="F85" s="75"/>
      <c r="G85" s="75"/>
      <c r="H85" s="75" t="s">
        <v>413</v>
      </c>
      <c r="I85" s="75"/>
      <c r="J85" s="75"/>
      <c r="K85" s="4"/>
      <c r="L85" s="4"/>
    </row>
    <row r="86" spans="1:12" ht="12.75">
      <c r="A86" s="73"/>
      <c r="B86" s="74"/>
      <c r="C86" s="74"/>
      <c r="D86" s="74" t="s">
        <v>336</v>
      </c>
      <c r="E86" s="78" t="s">
        <v>529</v>
      </c>
      <c r="F86" s="74"/>
      <c r="G86" s="74"/>
      <c r="H86" s="74" t="s">
        <v>420</v>
      </c>
      <c r="I86" s="74"/>
      <c r="J86" s="74"/>
      <c r="K86" s="5"/>
      <c r="L86" s="4"/>
    </row>
    <row r="87" spans="1:12" ht="25.5">
      <c r="A87" s="71"/>
      <c r="B87" s="75"/>
      <c r="C87" s="75"/>
      <c r="D87" s="75"/>
      <c r="E87" s="75" t="s">
        <v>530</v>
      </c>
      <c r="F87" s="75"/>
      <c r="G87" s="75"/>
      <c r="H87" s="75" t="s">
        <v>420</v>
      </c>
      <c r="I87" s="75"/>
      <c r="J87" s="75" t="s">
        <v>531</v>
      </c>
      <c r="K87" s="5"/>
      <c r="L87" s="4"/>
    </row>
    <row r="88" spans="1:12" ht="12.75">
      <c r="A88" s="73"/>
      <c r="B88" s="74"/>
      <c r="C88" s="74"/>
      <c r="D88" s="74"/>
      <c r="E88" s="74" t="s">
        <v>301</v>
      </c>
      <c r="F88" s="74"/>
      <c r="G88" s="74"/>
      <c r="H88" s="74" t="s">
        <v>420</v>
      </c>
      <c r="I88" s="74"/>
      <c r="J88" s="74" t="s">
        <v>532</v>
      </c>
      <c r="K88" s="5"/>
      <c r="L88" s="4"/>
    </row>
    <row r="89" spans="1:12" ht="12.75">
      <c r="A89" s="71"/>
      <c r="B89" s="75"/>
      <c r="C89" s="75"/>
      <c r="D89" s="75"/>
      <c r="E89" s="75" t="s">
        <v>533</v>
      </c>
      <c r="F89" s="75"/>
      <c r="G89" s="75"/>
      <c r="H89" s="75" t="s">
        <v>420</v>
      </c>
      <c r="I89" s="75"/>
      <c r="J89" s="75" t="s">
        <v>534</v>
      </c>
      <c r="K89" s="5"/>
      <c r="L89" s="4"/>
    </row>
    <row r="90" spans="1:12" ht="25.5">
      <c r="A90" s="73"/>
      <c r="B90" s="74"/>
      <c r="C90" s="74"/>
      <c r="D90" s="78" t="s">
        <v>535</v>
      </c>
      <c r="E90" s="78" t="s">
        <v>297</v>
      </c>
      <c r="F90" s="82"/>
      <c r="G90" s="82"/>
      <c r="H90" s="74" t="s">
        <v>420</v>
      </c>
      <c r="I90" s="82"/>
      <c r="J90" s="82" t="s">
        <v>536</v>
      </c>
      <c r="K90" s="5"/>
      <c r="L90" s="4"/>
    </row>
    <row r="91" spans="1:12" ht="25.5">
      <c r="A91" s="71"/>
      <c r="B91" s="75"/>
      <c r="C91" s="75"/>
      <c r="D91" s="77"/>
      <c r="E91" s="77" t="s">
        <v>299</v>
      </c>
      <c r="F91" s="81"/>
      <c r="G91" s="81"/>
      <c r="H91" s="75" t="s">
        <v>420</v>
      </c>
      <c r="I91" s="81"/>
      <c r="J91" s="81" t="s">
        <v>537</v>
      </c>
      <c r="K91" s="5"/>
      <c r="L91" s="4"/>
    </row>
    <row r="92" spans="1:12" ht="12.75">
      <c r="A92" s="73"/>
      <c r="B92" s="74"/>
      <c r="C92" s="74"/>
      <c r="D92" s="78"/>
      <c r="E92" s="78" t="s">
        <v>301</v>
      </c>
      <c r="F92" s="82"/>
      <c r="G92" s="82"/>
      <c r="H92" s="74" t="s">
        <v>420</v>
      </c>
      <c r="I92" s="82"/>
      <c r="J92" s="74"/>
      <c r="K92" s="5"/>
      <c r="L92" s="4"/>
    </row>
    <row r="93" spans="1:12" ht="25.5">
      <c r="A93" s="71"/>
      <c r="B93" s="75"/>
      <c r="C93" s="75"/>
      <c r="D93" s="77" t="s">
        <v>538</v>
      </c>
      <c r="E93" s="77" t="s">
        <v>297</v>
      </c>
      <c r="F93" s="81"/>
      <c r="G93" s="81"/>
      <c r="H93" s="75" t="s">
        <v>420</v>
      </c>
      <c r="I93" s="81"/>
      <c r="J93" s="81" t="s">
        <v>539</v>
      </c>
      <c r="K93" s="5"/>
      <c r="L93" s="4"/>
    </row>
    <row r="94" spans="1:12" ht="25.5">
      <c r="A94" s="73"/>
      <c r="B94" s="74"/>
      <c r="C94" s="74"/>
      <c r="D94" s="78"/>
      <c r="E94" s="78" t="s">
        <v>299</v>
      </c>
      <c r="F94" s="82"/>
      <c r="G94" s="82"/>
      <c r="H94" s="74" t="s">
        <v>420</v>
      </c>
      <c r="I94" s="82"/>
      <c r="J94" s="82" t="s">
        <v>540</v>
      </c>
      <c r="K94" s="5"/>
      <c r="L94" s="4"/>
    </row>
    <row r="95" spans="1:12" ht="12.75">
      <c r="A95" s="71"/>
      <c r="B95" s="75"/>
      <c r="C95" s="75"/>
      <c r="D95" s="75"/>
      <c r="E95" s="75" t="s">
        <v>301</v>
      </c>
      <c r="F95" s="75"/>
      <c r="G95" s="75"/>
      <c r="H95" s="75" t="s">
        <v>420</v>
      </c>
      <c r="I95" s="75"/>
      <c r="J95" s="75"/>
      <c r="K95" s="5"/>
      <c r="L95" s="4"/>
    </row>
    <row r="96" spans="1:12" ht="12.75">
      <c r="A96" s="73"/>
      <c r="B96" s="74"/>
      <c r="C96" s="74"/>
      <c r="D96" s="74"/>
      <c r="E96" s="74"/>
      <c r="F96" s="74"/>
      <c r="G96" s="74"/>
      <c r="H96" s="74"/>
      <c r="I96" s="74"/>
      <c r="J96" s="74"/>
      <c r="K96" s="4"/>
      <c r="L96" s="4"/>
    </row>
    <row r="97" spans="1:12" ht="12.75">
      <c r="A97" s="71"/>
      <c r="B97" s="75"/>
      <c r="C97" s="75"/>
      <c r="D97" s="75"/>
      <c r="E97" s="75"/>
      <c r="F97" s="75"/>
      <c r="G97" s="75"/>
      <c r="H97" s="75"/>
      <c r="I97" s="75"/>
      <c r="J97" s="75"/>
      <c r="K97" s="4"/>
      <c r="L97" s="4"/>
    </row>
    <row r="98" spans="1:12" ht="12.75">
      <c r="A98" s="73"/>
      <c r="B98" s="74"/>
      <c r="C98" s="74"/>
      <c r="D98" s="74"/>
      <c r="E98" s="74"/>
      <c r="F98" s="74"/>
      <c r="G98" s="74"/>
      <c r="H98" s="74"/>
      <c r="I98" s="74"/>
      <c r="J98" s="74"/>
      <c r="K98" s="4"/>
      <c r="L98" s="4"/>
    </row>
    <row r="99" spans="1:12" ht="12.75">
      <c r="A99" s="71"/>
      <c r="B99" s="75"/>
      <c r="C99" s="75"/>
      <c r="D99" s="75"/>
      <c r="E99" s="75"/>
      <c r="F99" s="75"/>
      <c r="G99" s="75"/>
      <c r="H99" s="75"/>
      <c r="I99" s="75"/>
      <c r="J99" s="75"/>
      <c r="K99" s="4"/>
      <c r="L99" s="4"/>
    </row>
    <row r="100" spans="1:12" ht="12.75">
      <c r="A100" s="73"/>
      <c r="B100" s="74"/>
      <c r="C100" s="74"/>
      <c r="D100" s="74"/>
      <c r="E100" s="74"/>
      <c r="F100" s="74"/>
      <c r="G100" s="74"/>
      <c r="H100" s="74"/>
      <c r="I100" s="74"/>
      <c r="J100" s="74"/>
      <c r="K100" s="4"/>
      <c r="L100" s="4"/>
    </row>
    <row r="101" spans="1:12" ht="12.75">
      <c r="A101" s="71"/>
      <c r="B101" s="71"/>
      <c r="C101" s="71"/>
      <c r="D101" s="71"/>
      <c r="E101" s="71"/>
      <c r="F101" s="71"/>
      <c r="G101" s="71"/>
      <c r="H101" s="71"/>
      <c r="I101" s="71"/>
      <c r="J101" s="71"/>
      <c r="K101" s="1"/>
      <c r="L101" s="3"/>
    </row>
    <row r="102" spans="1:12" ht="12.75">
      <c r="A102" s="73"/>
      <c r="B102" s="73"/>
      <c r="C102" s="73"/>
      <c r="D102" s="73"/>
      <c r="E102" s="73"/>
      <c r="F102" s="73"/>
      <c r="G102" s="73"/>
      <c r="H102" s="73"/>
      <c r="I102" s="73"/>
      <c r="J102" s="73"/>
      <c r="K102" s="1"/>
      <c r="L102" s="3"/>
    </row>
    <row r="103" spans="1:12" ht="12.75">
      <c r="A103" s="71"/>
      <c r="B103" s="71"/>
      <c r="C103" s="71"/>
      <c r="D103" s="71"/>
      <c r="E103" s="71"/>
      <c r="F103" s="71"/>
      <c r="G103" s="71"/>
      <c r="H103" s="71"/>
      <c r="I103" s="71"/>
      <c r="J103" s="71"/>
      <c r="K103" s="1"/>
      <c r="L103" s="3"/>
    </row>
    <row r="104" spans="1:12" ht="12.75">
      <c r="A104" s="73"/>
      <c r="B104" s="73"/>
      <c r="C104" s="73"/>
      <c r="D104" s="73"/>
      <c r="E104" s="73"/>
      <c r="F104" s="73"/>
      <c r="G104" s="73"/>
      <c r="H104" s="73"/>
      <c r="I104" s="73"/>
      <c r="J104" s="73"/>
      <c r="K104" s="1"/>
      <c r="L104" s="3"/>
    </row>
    <row r="105" spans="1:12" ht="12.75">
      <c r="A105" s="71"/>
      <c r="B105" s="71"/>
      <c r="C105" s="71"/>
      <c r="D105" s="71"/>
      <c r="E105" s="71"/>
      <c r="F105" s="71"/>
      <c r="G105" s="71"/>
      <c r="H105" s="71"/>
      <c r="I105" s="71"/>
      <c r="J105" s="71"/>
      <c r="K105" s="1"/>
      <c r="L105" s="3"/>
    </row>
    <row r="106" spans="1:12" ht="12.75">
      <c r="A106" s="1"/>
      <c r="B106" s="1"/>
      <c r="C106" s="1"/>
      <c r="D106" s="1"/>
      <c r="E106" s="1"/>
      <c r="F106" s="1"/>
      <c r="G106" s="1"/>
      <c r="H106" s="1"/>
      <c r="I106" s="3"/>
      <c r="J106" s="3"/>
      <c r="K106" s="1"/>
      <c r="L106" s="3"/>
    </row>
    <row r="107" spans="1:12" ht="12.75">
      <c r="A107" s="1"/>
      <c r="B107" s="1"/>
      <c r="C107" s="1"/>
      <c r="D107" s="1"/>
      <c r="E107" s="1"/>
      <c r="F107" s="1"/>
      <c r="G107" s="1"/>
      <c r="H107" s="1"/>
      <c r="I107" s="3"/>
      <c r="J107" s="3"/>
      <c r="K107" s="1"/>
      <c r="L107" s="3"/>
    </row>
    <row r="108" spans="1:12" ht="12.75">
      <c r="A108" s="1"/>
      <c r="B108" s="1"/>
      <c r="C108" s="1"/>
      <c r="D108" s="1"/>
      <c r="E108" s="1"/>
      <c r="F108" s="1"/>
      <c r="G108" s="1"/>
      <c r="H108" s="1"/>
      <c r="I108" s="3"/>
      <c r="J108" s="3"/>
      <c r="K108" s="1"/>
      <c r="L108" s="3"/>
    </row>
    <row r="109" spans="1:12" ht="12.75">
      <c r="A109" s="1"/>
      <c r="B109" s="1"/>
      <c r="C109" s="1"/>
      <c r="D109" s="1"/>
      <c r="E109" s="1"/>
      <c r="F109" s="1"/>
      <c r="G109" s="1"/>
      <c r="H109" s="1"/>
      <c r="I109" s="3"/>
      <c r="J109" s="3"/>
      <c r="K109" s="1"/>
      <c r="L109" s="3"/>
    </row>
    <row r="110" spans="1:12" ht="12.75">
      <c r="A110" s="1"/>
      <c r="B110" s="1"/>
      <c r="C110" s="1"/>
      <c r="D110" s="1"/>
      <c r="E110" s="1"/>
      <c r="F110" s="1"/>
      <c r="G110" s="1"/>
      <c r="H110" s="1"/>
      <c r="I110" s="3"/>
      <c r="J110" s="3"/>
      <c r="K110" s="1"/>
      <c r="L110" s="3"/>
    </row>
    <row r="111" spans="1:12" ht="12.75">
      <c r="A111" s="1"/>
      <c r="B111" s="1"/>
      <c r="C111" s="1"/>
      <c r="D111" s="1"/>
      <c r="E111" s="1"/>
      <c r="F111" s="1"/>
      <c r="G111" s="1"/>
      <c r="H111" s="1"/>
      <c r="I111" s="3"/>
      <c r="J111" s="3"/>
      <c r="K111" s="1"/>
      <c r="L111" s="3"/>
    </row>
    <row r="112" spans="1:12" ht="12.75">
      <c r="A112" s="1"/>
      <c r="B112" s="1"/>
      <c r="C112" s="1"/>
      <c r="D112" s="1"/>
      <c r="E112" s="1"/>
      <c r="F112" s="1"/>
      <c r="G112" s="1"/>
      <c r="H112" s="1"/>
      <c r="I112" s="3"/>
      <c r="J112" s="3"/>
      <c r="K112" s="1"/>
      <c r="L112" s="3"/>
    </row>
    <row r="113" spans="1:12" ht="12.75">
      <c r="A113" s="1"/>
      <c r="B113" s="1"/>
      <c r="C113" s="1"/>
      <c r="D113" s="1"/>
      <c r="E113" s="1"/>
      <c r="F113" s="1"/>
      <c r="G113" s="1"/>
      <c r="H113" s="1"/>
      <c r="I113" s="3"/>
      <c r="J113" s="3"/>
      <c r="K113" s="1"/>
      <c r="L113" s="3"/>
    </row>
    <row r="114" spans="1:12" ht="12.75">
      <c r="A114" s="1"/>
      <c r="B114" s="1"/>
      <c r="C114" s="1"/>
      <c r="D114" s="1"/>
      <c r="E114" s="1"/>
      <c r="F114" s="1"/>
      <c r="G114" s="1"/>
      <c r="H114" s="1"/>
      <c r="I114" s="3"/>
      <c r="J114" s="3"/>
      <c r="K114" s="1"/>
      <c r="L114" s="3"/>
    </row>
    <row r="115" spans="1:12" ht="12.75">
      <c r="A115" s="1"/>
      <c r="B115" s="1"/>
      <c r="C115" s="1"/>
      <c r="D115" s="1"/>
      <c r="E115" s="1"/>
      <c r="F115" s="1"/>
      <c r="G115" s="1"/>
      <c r="H115" s="1"/>
      <c r="I115" s="3"/>
      <c r="J115" s="3"/>
      <c r="K115" s="1"/>
      <c r="L115" s="3"/>
    </row>
    <row r="116" spans="1:12" ht="12.75">
      <c r="A116" s="1"/>
      <c r="B116" s="1"/>
      <c r="C116" s="1"/>
      <c r="D116" s="1"/>
      <c r="E116" s="1"/>
      <c r="F116" s="1"/>
      <c r="G116" s="1"/>
      <c r="H116" s="1"/>
      <c r="I116" s="3"/>
      <c r="J116" s="3"/>
      <c r="K116" s="1"/>
      <c r="L116" s="3"/>
    </row>
    <row r="117" spans="1:12" ht="12.75">
      <c r="A117" s="1"/>
      <c r="B117" s="1"/>
      <c r="C117" s="1"/>
      <c r="D117" s="1"/>
      <c r="E117" s="1"/>
      <c r="F117" s="1"/>
      <c r="G117" s="1"/>
      <c r="H117" s="1"/>
      <c r="I117" s="3"/>
      <c r="J117" s="3"/>
      <c r="K117" s="1"/>
      <c r="L117" s="3"/>
    </row>
    <row r="118" spans="1:12" ht="12.75">
      <c r="A118" s="1"/>
      <c r="B118" s="1"/>
      <c r="C118" s="1"/>
      <c r="D118" s="1"/>
      <c r="E118" s="1"/>
      <c r="F118" s="1"/>
      <c r="G118" s="1"/>
      <c r="H118" s="1"/>
      <c r="I118" s="3"/>
      <c r="J118" s="3"/>
      <c r="K118" s="1"/>
      <c r="L118" s="3"/>
    </row>
    <row r="119" spans="1:12" ht="12.75">
      <c r="A119" s="1"/>
      <c r="B119" s="1"/>
      <c r="C119" s="1"/>
      <c r="D119" s="1"/>
      <c r="E119" s="1"/>
      <c r="F119" s="1"/>
      <c r="G119" s="1"/>
      <c r="H119" s="1"/>
      <c r="I119" s="3"/>
      <c r="J119" s="3"/>
      <c r="K119" s="1"/>
      <c r="L119" s="3"/>
    </row>
    <row r="120" spans="1:12" ht="12.75">
      <c r="A120" s="1"/>
      <c r="B120" s="1"/>
      <c r="C120" s="1"/>
      <c r="D120" s="1"/>
      <c r="E120" s="1"/>
      <c r="F120" s="1"/>
      <c r="G120" s="1"/>
      <c r="H120" s="1"/>
      <c r="I120" s="3"/>
      <c r="J120" s="3"/>
      <c r="K120" s="1"/>
      <c r="L120" s="3"/>
    </row>
    <row r="121" spans="1:12" ht="12.75">
      <c r="A121" s="1"/>
      <c r="B121" s="1"/>
      <c r="C121" s="1"/>
      <c r="D121" s="1"/>
      <c r="E121" s="1"/>
      <c r="F121" s="1"/>
      <c r="G121" s="1"/>
      <c r="H121" s="1"/>
      <c r="I121" s="3"/>
      <c r="J121" s="3"/>
      <c r="K121" s="1"/>
      <c r="L121" s="3"/>
    </row>
    <row r="122" spans="1:12" ht="12.75">
      <c r="A122" s="1"/>
      <c r="B122" s="1"/>
      <c r="C122" s="1"/>
      <c r="D122" s="1"/>
      <c r="E122" s="1"/>
      <c r="F122" s="1"/>
      <c r="G122" s="1"/>
      <c r="H122" s="1"/>
      <c r="I122" s="3"/>
      <c r="J122" s="3"/>
      <c r="K122" s="1"/>
      <c r="L122" s="3"/>
    </row>
    <row r="123" spans="1:12" ht="12.75">
      <c r="A123" s="1"/>
      <c r="B123" s="1"/>
      <c r="C123" s="1"/>
      <c r="D123" s="1"/>
      <c r="E123" s="1"/>
      <c r="F123" s="1"/>
      <c r="G123" s="1"/>
      <c r="H123" s="1"/>
      <c r="I123" s="3"/>
      <c r="J123" s="3"/>
      <c r="K123" s="1"/>
      <c r="L123" s="3"/>
    </row>
    <row r="124" spans="1:12" ht="12.75">
      <c r="A124" s="1"/>
      <c r="B124" s="1"/>
      <c r="C124" s="1"/>
      <c r="D124" s="1"/>
      <c r="E124" s="1"/>
      <c r="F124" s="1"/>
      <c r="G124" s="1"/>
      <c r="H124" s="1"/>
      <c r="I124" s="3"/>
      <c r="J124" s="3"/>
      <c r="K124" s="1"/>
      <c r="L124" s="3"/>
    </row>
    <row r="125" spans="1:12" ht="12.75">
      <c r="A125" s="1"/>
      <c r="B125" s="1"/>
      <c r="C125" s="1"/>
      <c r="D125" s="1"/>
      <c r="E125" s="1"/>
      <c r="F125" s="1"/>
      <c r="G125" s="1"/>
      <c r="H125" s="1"/>
      <c r="I125" s="3"/>
      <c r="J125" s="3"/>
      <c r="K125" s="1"/>
      <c r="L125" s="3"/>
    </row>
    <row r="126" spans="1:12" ht="12.75">
      <c r="A126" s="1"/>
      <c r="B126" s="1"/>
      <c r="C126" s="1"/>
      <c r="D126" s="1"/>
      <c r="E126" s="1"/>
      <c r="F126" s="1"/>
      <c r="G126" s="1"/>
      <c r="H126" s="1"/>
      <c r="I126" s="3"/>
      <c r="J126" s="3"/>
      <c r="K126" s="1"/>
      <c r="L126" s="3"/>
    </row>
    <row r="127" spans="1:12" ht="12.75">
      <c r="A127" s="1"/>
      <c r="B127" s="1"/>
      <c r="C127" s="1"/>
      <c r="D127" s="1"/>
      <c r="E127" s="1"/>
      <c r="F127" s="1"/>
      <c r="G127" s="1"/>
      <c r="H127" s="1"/>
      <c r="I127" s="3"/>
      <c r="J127" s="3"/>
      <c r="K127" s="1"/>
      <c r="L127" s="3"/>
    </row>
    <row r="128" spans="1:12" ht="12.75">
      <c r="A128" s="1"/>
      <c r="B128" s="1"/>
      <c r="C128" s="1"/>
      <c r="D128" s="1"/>
      <c r="E128" s="1"/>
      <c r="F128" s="1"/>
      <c r="G128" s="1"/>
      <c r="H128" s="1"/>
      <c r="I128" s="3"/>
      <c r="J128" s="3"/>
      <c r="K128" s="1"/>
      <c r="L128" s="3"/>
    </row>
    <row r="129" spans="1:12" ht="12.75">
      <c r="A129" s="1"/>
      <c r="B129" s="1"/>
      <c r="C129" s="1"/>
      <c r="D129" s="1"/>
      <c r="E129" s="1"/>
      <c r="F129" s="1"/>
      <c r="G129" s="1"/>
      <c r="H129" s="1"/>
      <c r="I129" s="3"/>
      <c r="J129" s="3"/>
      <c r="K129" s="1"/>
      <c r="L129" s="3"/>
    </row>
    <row r="130" spans="1:12" ht="12.75">
      <c r="A130" s="1"/>
      <c r="B130" s="1"/>
      <c r="C130" s="1"/>
      <c r="D130" s="1"/>
      <c r="E130" s="1"/>
      <c r="F130" s="1"/>
      <c r="G130" s="1"/>
      <c r="H130" s="1"/>
      <c r="I130" s="3"/>
      <c r="J130" s="3"/>
      <c r="K130" s="1"/>
      <c r="L130" s="3"/>
    </row>
    <row r="131" spans="1:12" ht="12.75">
      <c r="A131" s="1"/>
      <c r="B131" s="1"/>
      <c r="C131" s="1"/>
      <c r="D131" s="1"/>
      <c r="E131" s="1"/>
      <c r="F131" s="1"/>
      <c r="G131" s="1"/>
      <c r="H131" s="1"/>
      <c r="I131" s="3"/>
      <c r="J131" s="3"/>
      <c r="K131" s="1"/>
      <c r="L131" s="3"/>
    </row>
    <row r="132" spans="1:12" ht="12.75">
      <c r="A132" s="1"/>
      <c r="B132" s="1"/>
      <c r="C132" s="1"/>
      <c r="D132" s="1"/>
      <c r="E132" s="1"/>
      <c r="F132" s="1"/>
      <c r="G132" s="1"/>
      <c r="H132" s="1"/>
      <c r="I132" s="3"/>
      <c r="J132" s="3"/>
      <c r="K132" s="1"/>
      <c r="L132" s="3"/>
    </row>
    <row r="133" spans="1:12" ht="12.75">
      <c r="A133" s="1"/>
      <c r="B133" s="1"/>
      <c r="C133" s="1"/>
      <c r="D133" s="1"/>
      <c r="E133" s="1"/>
      <c r="F133" s="1"/>
      <c r="G133" s="1"/>
      <c r="H133" s="1"/>
      <c r="I133" s="3"/>
      <c r="J133" s="3"/>
      <c r="K133" s="1"/>
      <c r="L133" s="3"/>
    </row>
    <row r="134" spans="1:12" ht="12.75">
      <c r="A134" s="1"/>
      <c r="B134" s="1"/>
      <c r="C134" s="1"/>
      <c r="D134" s="1"/>
      <c r="E134" s="1"/>
      <c r="F134" s="1"/>
      <c r="G134" s="1"/>
      <c r="H134" s="1"/>
      <c r="I134" s="3"/>
      <c r="J134" s="3"/>
      <c r="K134" s="1"/>
      <c r="L134" s="3"/>
    </row>
    <row r="135" spans="1:12" ht="12.75">
      <c r="A135" s="1"/>
      <c r="B135" s="1"/>
      <c r="C135" s="1"/>
      <c r="D135" s="1"/>
      <c r="E135" s="1"/>
      <c r="F135" s="1"/>
      <c r="G135" s="1"/>
      <c r="H135" s="1"/>
      <c r="I135" s="3"/>
      <c r="J135" s="3"/>
      <c r="K135" s="1"/>
      <c r="L135" s="3"/>
    </row>
    <row r="136" spans="1:12" ht="12.75">
      <c r="A136" s="1"/>
      <c r="B136" s="1"/>
      <c r="C136" s="1"/>
      <c r="D136" s="1"/>
      <c r="E136" s="1"/>
      <c r="F136" s="1"/>
      <c r="G136" s="1"/>
      <c r="H136" s="1"/>
      <c r="I136" s="3"/>
      <c r="J136" s="3"/>
      <c r="K136" s="1"/>
      <c r="L136" s="3"/>
    </row>
    <row r="137" spans="1:12" ht="12.75">
      <c r="A137" s="1"/>
      <c r="B137" s="1"/>
      <c r="C137" s="1"/>
      <c r="D137" s="1"/>
      <c r="E137" s="1"/>
      <c r="F137" s="1"/>
      <c r="G137" s="1"/>
      <c r="H137" s="1"/>
      <c r="I137" s="3"/>
      <c r="J137" s="3"/>
      <c r="K137" s="1"/>
      <c r="L137" s="3"/>
    </row>
    <row r="138" spans="1:12" ht="12.75">
      <c r="A138" s="1"/>
      <c r="B138" s="1"/>
      <c r="C138" s="1"/>
      <c r="D138" s="1"/>
      <c r="E138" s="1"/>
      <c r="F138" s="1"/>
      <c r="G138" s="1"/>
      <c r="H138" s="1"/>
      <c r="I138" s="3"/>
      <c r="J138" s="3"/>
      <c r="K138" s="1"/>
      <c r="L138" s="3"/>
    </row>
    <row r="139" spans="1:12" ht="12.75">
      <c r="A139" s="1"/>
      <c r="B139" s="1"/>
      <c r="C139" s="1"/>
      <c r="D139" s="1"/>
      <c r="E139" s="1"/>
      <c r="F139" s="1"/>
      <c r="G139" s="1"/>
      <c r="H139" s="1"/>
      <c r="I139" s="3"/>
      <c r="J139" s="3"/>
      <c r="K139" s="1"/>
      <c r="L139" s="3"/>
    </row>
    <row r="140" spans="1:12" ht="12.75">
      <c r="A140" s="1"/>
      <c r="B140" s="1"/>
      <c r="C140" s="1"/>
      <c r="D140" s="1"/>
      <c r="E140" s="1"/>
      <c r="F140" s="1"/>
      <c r="G140" s="1"/>
      <c r="H140" s="1"/>
      <c r="I140" s="3"/>
      <c r="J140" s="3"/>
      <c r="K140" s="1"/>
      <c r="L140" s="3"/>
    </row>
    <row r="141" spans="1:12" ht="12.75">
      <c r="A141" s="1"/>
      <c r="B141" s="1"/>
      <c r="C141" s="1"/>
      <c r="D141" s="1"/>
      <c r="E141" s="1"/>
      <c r="F141" s="1"/>
      <c r="G141" s="1"/>
      <c r="H141" s="1"/>
      <c r="I141" s="3"/>
      <c r="J141" s="3"/>
      <c r="K141" s="1"/>
      <c r="L141" s="3"/>
    </row>
    <row r="142" spans="1:12" ht="12.75">
      <c r="A142" s="1"/>
      <c r="B142" s="1"/>
      <c r="C142" s="1"/>
      <c r="D142" s="1"/>
      <c r="E142" s="1"/>
      <c r="F142" s="1"/>
      <c r="G142" s="1"/>
      <c r="H142" s="1"/>
      <c r="I142" s="3"/>
      <c r="J142" s="3"/>
      <c r="K142" s="1"/>
      <c r="L142" s="3"/>
    </row>
    <row r="143" spans="1:12" ht="12.75">
      <c r="A143" s="1"/>
      <c r="B143" s="1"/>
      <c r="C143" s="1"/>
      <c r="D143" s="1"/>
      <c r="E143" s="1"/>
      <c r="F143" s="1"/>
      <c r="G143" s="1"/>
      <c r="H143" s="1"/>
      <c r="I143" s="3"/>
      <c r="J143" s="3"/>
      <c r="K143" s="1"/>
      <c r="L143" s="3"/>
    </row>
    <row r="144" spans="1:12" ht="12.75">
      <c r="A144" s="1"/>
      <c r="B144" s="1"/>
      <c r="C144" s="1"/>
      <c r="D144" s="1"/>
      <c r="E144" s="1"/>
      <c r="F144" s="1"/>
      <c r="G144" s="1"/>
      <c r="H144" s="1"/>
      <c r="I144" s="3"/>
      <c r="J144" s="3"/>
      <c r="K144" s="1"/>
      <c r="L144" s="3"/>
    </row>
    <row r="145" spans="1:12" ht="12.75">
      <c r="A145" s="1"/>
      <c r="B145" s="1"/>
      <c r="C145" s="1"/>
      <c r="D145" s="1"/>
      <c r="E145" s="1"/>
      <c r="F145" s="1"/>
      <c r="G145" s="1"/>
      <c r="H145" s="1"/>
      <c r="I145" s="3"/>
      <c r="J145" s="3"/>
      <c r="K145" s="1"/>
      <c r="L145" s="3"/>
    </row>
    <row r="146" spans="1:12" ht="12.75">
      <c r="A146" s="1"/>
      <c r="B146" s="1"/>
      <c r="C146" s="1"/>
      <c r="D146" s="1"/>
      <c r="E146" s="1"/>
      <c r="F146" s="1"/>
      <c r="G146" s="1"/>
      <c r="H146" s="1"/>
      <c r="I146" s="3"/>
      <c r="J146" s="3"/>
      <c r="K146" s="1"/>
      <c r="L146" s="3"/>
    </row>
    <row r="147" spans="1:12" ht="12.75">
      <c r="A147" s="1"/>
      <c r="B147" s="1"/>
      <c r="C147" s="1"/>
      <c r="D147" s="1"/>
      <c r="E147" s="1"/>
      <c r="F147" s="1"/>
      <c r="G147" s="1"/>
      <c r="H147" s="1"/>
      <c r="I147" s="3"/>
      <c r="J147" s="3"/>
      <c r="K147" s="1"/>
      <c r="L147" s="3"/>
    </row>
    <row r="148" spans="1:12" ht="12.75">
      <c r="A148" s="1"/>
      <c r="B148" s="1"/>
      <c r="C148" s="1"/>
      <c r="D148" s="1"/>
      <c r="E148" s="1"/>
      <c r="F148" s="1"/>
      <c r="G148" s="1"/>
      <c r="H148" s="1"/>
      <c r="I148" s="3"/>
      <c r="J148" s="3"/>
      <c r="K148" s="1"/>
      <c r="L148" s="3"/>
    </row>
    <row r="149" spans="1:12" ht="12.75">
      <c r="A149" s="1"/>
      <c r="B149" s="1"/>
      <c r="C149" s="1"/>
      <c r="D149" s="1"/>
      <c r="E149" s="1"/>
      <c r="F149" s="1"/>
      <c r="G149" s="1"/>
      <c r="H149" s="1"/>
      <c r="I149" s="3"/>
      <c r="J149" s="3"/>
      <c r="K149" s="1"/>
      <c r="L149" s="3"/>
    </row>
    <row r="150" spans="1:12" ht="12.75">
      <c r="A150" s="1"/>
      <c r="B150" s="1"/>
      <c r="C150" s="1"/>
      <c r="D150" s="1"/>
      <c r="E150" s="1"/>
      <c r="F150" s="1"/>
      <c r="G150" s="1"/>
      <c r="H150" s="1"/>
      <c r="I150" s="3"/>
      <c r="J150" s="3"/>
      <c r="K150" s="1"/>
      <c r="L150" s="3"/>
    </row>
    <row r="151" spans="1:12" ht="12.75">
      <c r="A151" s="1"/>
      <c r="B151" s="1"/>
      <c r="C151" s="1"/>
      <c r="D151" s="1"/>
      <c r="E151" s="1"/>
      <c r="F151" s="1"/>
      <c r="G151" s="1"/>
      <c r="H151" s="1"/>
      <c r="I151" s="3"/>
      <c r="J151" s="3"/>
      <c r="K151" s="1"/>
      <c r="L151" s="3"/>
    </row>
    <row r="152" spans="1:12" ht="12.75">
      <c r="A152" s="1"/>
      <c r="B152" s="1"/>
      <c r="C152" s="1"/>
      <c r="D152" s="1"/>
      <c r="E152" s="1"/>
      <c r="F152" s="1"/>
      <c r="G152" s="1"/>
      <c r="H152" s="1"/>
      <c r="I152" s="3"/>
      <c r="J152" s="3"/>
      <c r="K152" s="1"/>
      <c r="L152" s="3"/>
    </row>
    <row r="153" spans="1:12" ht="12.75">
      <c r="A153" s="1"/>
      <c r="B153" s="1"/>
      <c r="C153" s="1"/>
      <c r="D153" s="1"/>
      <c r="E153" s="1"/>
      <c r="F153" s="1"/>
      <c r="G153" s="1"/>
      <c r="H153" s="1"/>
      <c r="I153" s="3"/>
      <c r="J153" s="3"/>
      <c r="K153" s="1"/>
      <c r="L153" s="3"/>
    </row>
    <row r="154" spans="1:12" ht="12.75">
      <c r="A154" s="1"/>
      <c r="B154" s="1"/>
      <c r="C154" s="1"/>
      <c r="D154" s="1"/>
      <c r="E154" s="1"/>
      <c r="F154" s="1"/>
      <c r="G154" s="1"/>
      <c r="H154" s="1"/>
      <c r="I154" s="3"/>
      <c r="J154" s="3"/>
      <c r="K154" s="1"/>
      <c r="L154" s="3"/>
    </row>
    <row r="155" spans="1:12" ht="12.75">
      <c r="A155" s="1"/>
      <c r="B155" s="1"/>
      <c r="C155" s="1"/>
      <c r="D155" s="1"/>
      <c r="E155" s="1"/>
      <c r="F155" s="1"/>
      <c r="G155" s="1"/>
      <c r="H155" s="1"/>
      <c r="I155" s="3"/>
      <c r="J155" s="3"/>
      <c r="K155" s="1"/>
      <c r="L155" s="3"/>
    </row>
    <row r="156" spans="1:12" ht="12.75">
      <c r="A156" s="1"/>
      <c r="B156" s="1"/>
      <c r="C156" s="1"/>
      <c r="D156" s="1"/>
      <c r="E156" s="1"/>
      <c r="F156" s="1"/>
      <c r="G156" s="1"/>
      <c r="H156" s="1"/>
      <c r="I156" s="3"/>
      <c r="J156" s="3"/>
      <c r="K156" s="1"/>
      <c r="L156" s="3"/>
    </row>
    <row r="157" spans="1:12" ht="12.75">
      <c r="A157" s="1"/>
      <c r="B157" s="1"/>
      <c r="C157" s="1"/>
      <c r="D157" s="1"/>
      <c r="E157" s="1"/>
      <c r="F157" s="1"/>
      <c r="G157" s="1"/>
      <c r="H157" s="1"/>
      <c r="I157" s="3"/>
      <c r="J157" s="3"/>
      <c r="K157" s="1"/>
      <c r="L157" s="3"/>
    </row>
    <row r="158" spans="1:12" ht="12.75">
      <c r="A158" s="1"/>
      <c r="B158" s="1"/>
      <c r="C158" s="1"/>
      <c r="D158" s="1"/>
      <c r="E158" s="1"/>
      <c r="F158" s="1"/>
      <c r="G158" s="1"/>
      <c r="H158" s="1"/>
      <c r="I158" s="3"/>
      <c r="J158" s="3"/>
      <c r="K158" s="1"/>
      <c r="L158" s="3"/>
    </row>
    <row r="159" spans="1:12" ht="12.75">
      <c r="A159" s="1"/>
      <c r="B159" s="1"/>
      <c r="C159" s="1"/>
      <c r="D159" s="1"/>
      <c r="E159" s="1"/>
      <c r="F159" s="1"/>
      <c r="G159" s="1"/>
      <c r="H159" s="1"/>
      <c r="I159" s="3"/>
      <c r="J159" s="3"/>
      <c r="K159" s="1"/>
      <c r="L159" s="3"/>
    </row>
    <row r="160" spans="1:12" ht="12.75">
      <c r="A160" s="1"/>
      <c r="B160" s="1"/>
      <c r="C160" s="1"/>
      <c r="D160" s="1"/>
      <c r="E160" s="1"/>
      <c r="F160" s="1"/>
      <c r="G160" s="1"/>
      <c r="H160" s="1"/>
      <c r="I160" s="3"/>
      <c r="J160" s="3"/>
      <c r="K160" s="1"/>
      <c r="L160" s="3"/>
    </row>
    <row r="161" spans="1:12" ht="12.75">
      <c r="A161" s="1"/>
      <c r="B161" s="1"/>
      <c r="C161" s="1"/>
      <c r="D161" s="1"/>
      <c r="E161" s="1"/>
      <c r="F161" s="1"/>
      <c r="G161" s="1"/>
      <c r="H161" s="1"/>
      <c r="I161" s="3"/>
      <c r="J161" s="3"/>
      <c r="K161" s="1"/>
      <c r="L161" s="3"/>
    </row>
    <row r="162" spans="1:12" ht="12.75">
      <c r="A162" s="1"/>
      <c r="B162" s="1"/>
      <c r="C162" s="1"/>
      <c r="D162" s="1"/>
      <c r="E162" s="1"/>
      <c r="F162" s="1"/>
      <c r="G162" s="1"/>
      <c r="H162" s="1"/>
      <c r="I162" s="3"/>
      <c r="J162" s="3"/>
      <c r="K162" s="1"/>
      <c r="L162" s="3"/>
    </row>
    <row r="163" spans="1:12" ht="12.75">
      <c r="A163" s="1"/>
      <c r="B163" s="1"/>
      <c r="C163" s="1"/>
      <c r="D163" s="1"/>
      <c r="E163" s="1"/>
      <c r="F163" s="1"/>
      <c r="G163" s="1"/>
      <c r="H163" s="1"/>
      <c r="I163" s="3"/>
      <c r="J163" s="3"/>
      <c r="K163" s="1"/>
      <c r="L163" s="3"/>
    </row>
    <row r="164" spans="1:12" ht="12.75">
      <c r="A164" s="1"/>
      <c r="B164" s="1"/>
      <c r="C164" s="1"/>
      <c r="D164" s="1"/>
      <c r="E164" s="1"/>
      <c r="F164" s="1"/>
      <c r="G164" s="1"/>
      <c r="H164" s="1"/>
      <c r="I164" s="3"/>
      <c r="J164" s="3"/>
      <c r="K164" s="1"/>
      <c r="L164" s="3"/>
    </row>
    <row r="165" spans="1:12" ht="12.75">
      <c r="A165" s="1"/>
      <c r="B165" s="1"/>
      <c r="C165" s="1"/>
      <c r="D165" s="1"/>
      <c r="E165" s="1"/>
      <c r="F165" s="1"/>
      <c r="G165" s="1"/>
      <c r="H165" s="1"/>
      <c r="I165" s="3"/>
      <c r="J165" s="3"/>
      <c r="K165" s="1"/>
      <c r="L165" s="3"/>
    </row>
    <row r="166" spans="1:12" ht="12.75">
      <c r="A166" s="1"/>
      <c r="B166" s="1"/>
      <c r="C166" s="1"/>
      <c r="D166" s="1"/>
      <c r="E166" s="1"/>
      <c r="F166" s="1"/>
      <c r="G166" s="1"/>
      <c r="H166" s="1"/>
      <c r="I166" s="3"/>
      <c r="J166" s="3"/>
      <c r="K166" s="1"/>
      <c r="L166" s="3"/>
    </row>
    <row r="167" spans="1:12" ht="12.75">
      <c r="A167" s="1"/>
      <c r="B167" s="1"/>
      <c r="C167" s="1"/>
      <c r="D167" s="1"/>
      <c r="E167" s="1"/>
      <c r="F167" s="1"/>
      <c r="G167" s="1"/>
      <c r="H167" s="1"/>
      <c r="I167" s="3"/>
      <c r="J167" s="3"/>
      <c r="K167" s="1"/>
      <c r="L167" s="3"/>
    </row>
    <row r="168" spans="1:12" ht="12.75">
      <c r="A168" s="1"/>
      <c r="B168" s="1"/>
      <c r="C168" s="1"/>
      <c r="D168" s="1"/>
      <c r="E168" s="1"/>
      <c r="F168" s="1"/>
      <c r="G168" s="1"/>
      <c r="H168" s="1"/>
      <c r="I168" s="3"/>
      <c r="J168" s="3"/>
      <c r="K168" s="1"/>
      <c r="L168" s="3"/>
    </row>
    <row r="169" spans="1:12" ht="12.75">
      <c r="A169" s="1"/>
      <c r="B169" s="1"/>
      <c r="C169" s="1"/>
      <c r="D169" s="1"/>
      <c r="E169" s="1"/>
      <c r="F169" s="1"/>
      <c r="G169" s="1"/>
      <c r="H169" s="1"/>
      <c r="I169" s="3"/>
      <c r="J169" s="3"/>
      <c r="K169" s="1"/>
      <c r="L169" s="3"/>
    </row>
    <row r="170" spans="1:12" ht="12.75">
      <c r="A170" s="1"/>
      <c r="B170" s="1"/>
      <c r="C170" s="1"/>
      <c r="D170" s="1"/>
      <c r="E170" s="1"/>
      <c r="F170" s="1"/>
      <c r="G170" s="1"/>
      <c r="H170" s="1"/>
      <c r="I170" s="3"/>
      <c r="J170" s="3"/>
      <c r="K170" s="1"/>
      <c r="L170" s="3"/>
    </row>
    <row r="171" spans="1:12" ht="12.75">
      <c r="A171" s="1"/>
      <c r="B171" s="1"/>
      <c r="C171" s="1"/>
      <c r="D171" s="1"/>
      <c r="E171" s="1"/>
      <c r="F171" s="1"/>
      <c r="G171" s="1"/>
      <c r="H171" s="1"/>
      <c r="I171" s="3"/>
      <c r="J171" s="3"/>
      <c r="K171" s="1"/>
      <c r="L171" s="3"/>
    </row>
    <row r="172" spans="1:12" ht="12.75">
      <c r="A172" s="1"/>
      <c r="B172" s="1"/>
      <c r="C172" s="1"/>
      <c r="D172" s="1"/>
      <c r="E172" s="1"/>
      <c r="F172" s="1"/>
      <c r="G172" s="1"/>
      <c r="H172" s="1"/>
      <c r="I172" s="3"/>
      <c r="J172" s="3"/>
      <c r="K172" s="1"/>
      <c r="L172" s="3"/>
    </row>
    <row r="173" spans="1:12" ht="12.75">
      <c r="A173" s="1"/>
      <c r="B173" s="1"/>
      <c r="C173" s="1"/>
      <c r="D173" s="1"/>
      <c r="E173" s="1"/>
      <c r="F173" s="1"/>
      <c r="G173" s="1"/>
      <c r="H173" s="1"/>
      <c r="I173" s="3"/>
      <c r="J173" s="3"/>
      <c r="K173" s="1"/>
      <c r="L173" s="3"/>
    </row>
    <row r="174" spans="1:12" ht="12.75">
      <c r="A174" s="1"/>
      <c r="B174" s="1"/>
      <c r="C174" s="1"/>
      <c r="D174" s="1"/>
      <c r="E174" s="1"/>
      <c r="F174" s="1"/>
      <c r="G174" s="1"/>
      <c r="H174" s="1"/>
      <c r="I174" s="3"/>
      <c r="J174" s="3"/>
      <c r="K174" s="1"/>
      <c r="L174" s="3"/>
    </row>
    <row r="175" spans="1:12" ht="12.75">
      <c r="A175" s="1"/>
      <c r="B175" s="1"/>
      <c r="C175" s="1"/>
      <c r="D175" s="1"/>
      <c r="E175" s="1"/>
      <c r="F175" s="1"/>
      <c r="G175" s="1"/>
      <c r="H175" s="1"/>
      <c r="I175" s="3"/>
      <c r="J175" s="3"/>
      <c r="K175" s="1"/>
      <c r="L175" s="3"/>
    </row>
    <row r="176" spans="1:12" ht="12.75">
      <c r="A176" s="1"/>
      <c r="B176" s="1"/>
      <c r="C176" s="1"/>
      <c r="D176" s="1"/>
      <c r="E176" s="1"/>
      <c r="F176" s="1"/>
      <c r="G176" s="1"/>
      <c r="H176" s="1"/>
      <c r="I176" s="3"/>
      <c r="J176" s="3"/>
      <c r="K176" s="1"/>
      <c r="L176" s="3"/>
    </row>
    <row r="177" spans="1:12" ht="12.75">
      <c r="A177" s="1"/>
      <c r="B177" s="1"/>
      <c r="C177" s="1"/>
      <c r="D177" s="1"/>
      <c r="E177" s="1"/>
      <c r="F177" s="1"/>
      <c r="G177" s="1"/>
      <c r="H177" s="1"/>
      <c r="I177" s="3"/>
      <c r="J177" s="3"/>
      <c r="K177" s="1"/>
      <c r="L177" s="3"/>
    </row>
    <row r="178" spans="1:12" ht="12.75">
      <c r="A178" s="1"/>
      <c r="B178" s="1"/>
      <c r="C178" s="1"/>
      <c r="D178" s="1"/>
      <c r="E178" s="1"/>
      <c r="F178" s="1"/>
      <c r="G178" s="1"/>
      <c r="H178" s="1"/>
      <c r="I178" s="3"/>
      <c r="J178" s="3"/>
      <c r="K178" s="1"/>
      <c r="L178" s="3"/>
    </row>
    <row r="179" spans="1:12" ht="12.75">
      <c r="A179" s="1"/>
      <c r="B179" s="1"/>
      <c r="C179" s="1"/>
      <c r="D179" s="1"/>
      <c r="E179" s="1"/>
      <c r="F179" s="1"/>
      <c r="G179" s="1"/>
      <c r="H179" s="1"/>
      <c r="I179" s="3"/>
      <c r="J179" s="3"/>
      <c r="K179" s="1"/>
      <c r="L179" s="3"/>
    </row>
    <row r="180" spans="1:12" ht="12.75">
      <c r="A180" s="1"/>
      <c r="B180" s="1"/>
      <c r="C180" s="1"/>
      <c r="D180" s="1"/>
      <c r="E180" s="1"/>
      <c r="F180" s="1"/>
      <c r="G180" s="1"/>
      <c r="H180" s="1"/>
      <c r="I180" s="3"/>
      <c r="J180" s="3"/>
      <c r="K180" s="1"/>
      <c r="L180" s="3"/>
    </row>
    <row r="181" spans="1:12" ht="12.75">
      <c r="A181" s="1"/>
      <c r="B181" s="1"/>
      <c r="C181" s="1"/>
      <c r="D181" s="1"/>
      <c r="E181" s="1"/>
      <c r="F181" s="1"/>
      <c r="G181" s="1"/>
      <c r="H181" s="1"/>
      <c r="I181" s="3"/>
      <c r="J181" s="3"/>
      <c r="K181" s="1"/>
      <c r="L181" s="3"/>
    </row>
    <row r="182" spans="1:12" ht="12.75">
      <c r="A182" s="1"/>
      <c r="B182" s="1"/>
      <c r="C182" s="1"/>
      <c r="D182" s="1"/>
      <c r="E182" s="1"/>
      <c r="F182" s="1"/>
      <c r="G182" s="1"/>
      <c r="H182" s="1"/>
      <c r="I182" s="3"/>
      <c r="J182" s="3"/>
      <c r="K182" s="1"/>
      <c r="L182" s="3"/>
    </row>
    <row r="183" spans="1:12" ht="12.75">
      <c r="A183" s="1"/>
      <c r="B183" s="1"/>
      <c r="C183" s="1"/>
      <c r="D183" s="1"/>
      <c r="E183" s="1"/>
      <c r="F183" s="1"/>
      <c r="G183" s="1"/>
      <c r="H183" s="1"/>
      <c r="I183" s="3"/>
      <c r="J183" s="3"/>
      <c r="K183" s="1"/>
      <c r="L183" s="3"/>
    </row>
    <row r="184" spans="1:12" ht="12.75">
      <c r="A184" s="1"/>
      <c r="B184" s="1"/>
      <c r="C184" s="1"/>
      <c r="D184" s="1"/>
      <c r="E184" s="1"/>
      <c r="F184" s="1"/>
      <c r="G184" s="1"/>
      <c r="H184" s="1"/>
      <c r="I184" s="3"/>
      <c r="J184" s="3"/>
      <c r="K184" s="1"/>
      <c r="L184" s="3"/>
    </row>
    <row r="185" spans="1:12" ht="12.75">
      <c r="A185" s="1"/>
      <c r="B185" s="1"/>
      <c r="C185" s="1"/>
      <c r="D185" s="1"/>
      <c r="E185" s="1"/>
      <c r="F185" s="1"/>
      <c r="G185" s="1"/>
      <c r="H185" s="1"/>
      <c r="I185" s="3"/>
      <c r="J185" s="3"/>
      <c r="K185" s="1"/>
      <c r="L185" s="3"/>
    </row>
    <row r="186" spans="1:12" ht="12.75">
      <c r="A186" s="1"/>
      <c r="B186" s="1"/>
      <c r="C186" s="1"/>
      <c r="D186" s="1"/>
      <c r="E186" s="1"/>
      <c r="F186" s="1"/>
      <c r="G186" s="1"/>
      <c r="H186" s="1"/>
      <c r="I186" s="3"/>
      <c r="J186" s="3"/>
      <c r="K186" s="1"/>
      <c r="L186" s="3"/>
    </row>
    <row r="187" spans="1:12" ht="12.75">
      <c r="A187" s="1"/>
      <c r="B187" s="1"/>
      <c r="C187" s="1"/>
      <c r="D187" s="1"/>
      <c r="E187" s="1"/>
      <c r="F187" s="1"/>
      <c r="G187" s="1"/>
      <c r="H187" s="1"/>
      <c r="I187" s="3"/>
      <c r="J187" s="3"/>
      <c r="K187" s="1"/>
      <c r="L187" s="3"/>
    </row>
    <row r="188" spans="1:12" ht="12.75">
      <c r="A188" s="1"/>
      <c r="B188" s="1"/>
      <c r="C188" s="1"/>
      <c r="D188" s="1"/>
      <c r="E188" s="1"/>
      <c r="F188" s="1"/>
      <c r="G188" s="1"/>
      <c r="H188" s="1"/>
      <c r="I188" s="3"/>
      <c r="J188" s="3"/>
      <c r="K188" s="1"/>
      <c r="L188" s="3"/>
    </row>
    <row r="189" spans="1:12" ht="12.75">
      <c r="A189" s="1"/>
      <c r="B189" s="1"/>
      <c r="C189" s="1"/>
      <c r="D189" s="1"/>
      <c r="E189" s="1"/>
      <c r="F189" s="1"/>
      <c r="G189" s="1"/>
      <c r="H189" s="1"/>
      <c r="I189" s="3"/>
      <c r="J189" s="3"/>
      <c r="K189" s="1"/>
      <c r="L189" s="3"/>
    </row>
    <row r="190" spans="1:12" ht="12.75">
      <c r="A190" s="1"/>
      <c r="B190" s="1"/>
      <c r="C190" s="1"/>
      <c r="D190" s="1"/>
      <c r="E190" s="1"/>
      <c r="F190" s="1"/>
      <c r="G190" s="1"/>
      <c r="H190" s="1"/>
      <c r="I190" s="3"/>
      <c r="J190" s="3"/>
      <c r="K190" s="1"/>
      <c r="L190" s="3"/>
    </row>
    <row r="191" spans="1:12" ht="12.75">
      <c r="A191" s="1"/>
      <c r="B191" s="1"/>
      <c r="C191" s="1"/>
      <c r="D191" s="1"/>
      <c r="E191" s="1"/>
      <c r="F191" s="1"/>
      <c r="G191" s="1"/>
      <c r="H191" s="1"/>
      <c r="I191" s="3"/>
      <c r="J191" s="3"/>
      <c r="K191" s="1"/>
      <c r="L191" s="3"/>
    </row>
    <row r="192" spans="1:12" ht="12.75">
      <c r="A192" s="1"/>
      <c r="B192" s="1"/>
      <c r="C192" s="1"/>
      <c r="D192" s="1"/>
      <c r="E192" s="1"/>
      <c r="F192" s="1"/>
      <c r="G192" s="1"/>
      <c r="H192" s="1"/>
      <c r="I192" s="3"/>
      <c r="J192" s="3"/>
      <c r="K192" s="1"/>
      <c r="L192" s="3"/>
    </row>
    <row r="193" spans="1:12" ht="12.75">
      <c r="A193" s="1"/>
      <c r="B193" s="1"/>
      <c r="C193" s="1"/>
      <c r="D193" s="1"/>
      <c r="E193" s="1"/>
      <c r="F193" s="1"/>
      <c r="G193" s="1"/>
      <c r="H193" s="1"/>
      <c r="I193" s="3"/>
      <c r="J193" s="3"/>
      <c r="K193" s="1"/>
      <c r="L193" s="3"/>
    </row>
    <row r="194" spans="1:12" ht="12.75">
      <c r="A194" s="1"/>
      <c r="B194" s="1"/>
      <c r="C194" s="1"/>
      <c r="D194" s="1"/>
      <c r="E194" s="1"/>
      <c r="F194" s="1"/>
      <c r="G194" s="1"/>
      <c r="H194" s="1"/>
      <c r="I194" s="3"/>
      <c r="J194" s="3"/>
      <c r="K194" s="1"/>
      <c r="L194" s="3"/>
    </row>
    <row r="195" spans="1:12" ht="12.75">
      <c r="A195" s="1"/>
      <c r="B195" s="1"/>
      <c r="C195" s="1"/>
      <c r="D195" s="1"/>
      <c r="E195" s="1"/>
      <c r="F195" s="1"/>
      <c r="G195" s="1"/>
      <c r="H195" s="1"/>
      <c r="I195" s="3"/>
      <c r="J195" s="3"/>
      <c r="K195" s="1"/>
      <c r="L195" s="3"/>
    </row>
    <row r="196" spans="1:12" ht="12.75">
      <c r="A196" s="1"/>
      <c r="B196" s="1"/>
      <c r="C196" s="1"/>
      <c r="D196" s="1"/>
      <c r="E196" s="1"/>
      <c r="F196" s="1"/>
      <c r="G196" s="1"/>
      <c r="H196" s="1"/>
      <c r="I196" s="3"/>
      <c r="J196" s="3"/>
      <c r="K196" s="1"/>
      <c r="L196" s="3"/>
    </row>
    <row r="197" spans="1:12" ht="12.75">
      <c r="A197" s="1"/>
      <c r="B197" s="1"/>
      <c r="C197" s="1"/>
      <c r="D197" s="1"/>
      <c r="E197" s="1"/>
      <c r="F197" s="1"/>
      <c r="G197" s="1"/>
      <c r="H197" s="1"/>
      <c r="I197" s="3"/>
      <c r="J197" s="3"/>
      <c r="K197" s="1"/>
      <c r="L197" s="3"/>
    </row>
    <row r="198" spans="1:12" ht="12.75">
      <c r="A198" s="1"/>
      <c r="B198" s="1"/>
      <c r="C198" s="1"/>
      <c r="D198" s="1"/>
      <c r="E198" s="1"/>
      <c r="F198" s="1"/>
      <c r="G198" s="1"/>
      <c r="H198" s="1"/>
      <c r="I198" s="3"/>
      <c r="J198" s="3"/>
      <c r="K198" s="1"/>
      <c r="L198" s="3"/>
    </row>
    <row r="199" spans="1:12" ht="12.75">
      <c r="A199" s="1"/>
      <c r="B199" s="1"/>
      <c r="C199" s="1"/>
      <c r="D199" s="1"/>
      <c r="E199" s="1"/>
      <c r="F199" s="1"/>
      <c r="G199" s="1"/>
      <c r="H199" s="1"/>
      <c r="I199" s="3"/>
      <c r="J199" s="3"/>
      <c r="K199" s="1"/>
      <c r="L199" s="3"/>
    </row>
    <row r="200" spans="1:12" ht="12.75">
      <c r="A200" s="1"/>
      <c r="B200" s="1"/>
      <c r="C200" s="1"/>
      <c r="D200" s="1"/>
      <c r="E200" s="1"/>
      <c r="F200" s="1"/>
      <c r="G200" s="1"/>
      <c r="H200" s="1"/>
      <c r="I200" s="3"/>
      <c r="J200" s="3"/>
      <c r="K200" s="1"/>
      <c r="L200" s="3"/>
    </row>
    <row r="201" spans="1:12" ht="12.75">
      <c r="A201" s="1"/>
      <c r="B201" s="1"/>
      <c r="C201" s="1"/>
      <c r="D201" s="1"/>
      <c r="E201" s="1"/>
      <c r="F201" s="1"/>
      <c r="G201" s="1"/>
      <c r="H201" s="1"/>
      <c r="I201" s="3"/>
      <c r="J201" s="3"/>
      <c r="K201" s="1"/>
      <c r="L201" s="3"/>
    </row>
    <row r="202" spans="1:12" ht="12.75">
      <c r="A202" s="1"/>
      <c r="B202" s="1"/>
      <c r="C202" s="1"/>
      <c r="D202" s="1"/>
      <c r="E202" s="1"/>
      <c r="F202" s="1"/>
      <c r="G202" s="1"/>
      <c r="H202" s="1"/>
      <c r="I202" s="3"/>
      <c r="J202" s="3"/>
      <c r="K202" s="1"/>
      <c r="L202" s="3"/>
    </row>
    <row r="203" spans="1:12" ht="12.75">
      <c r="A203" s="1"/>
      <c r="B203" s="1"/>
      <c r="C203" s="1"/>
      <c r="D203" s="1"/>
      <c r="E203" s="1"/>
      <c r="F203" s="1"/>
      <c r="G203" s="1"/>
      <c r="H203" s="1"/>
      <c r="I203" s="3"/>
      <c r="J203" s="3"/>
      <c r="K203" s="1"/>
      <c r="L203" s="3"/>
    </row>
    <row r="204" spans="1:12" ht="12.75">
      <c r="A204" s="1"/>
      <c r="B204" s="1"/>
      <c r="C204" s="1"/>
      <c r="D204" s="1"/>
      <c r="E204" s="1"/>
      <c r="F204" s="1"/>
      <c r="G204" s="1"/>
      <c r="H204" s="1"/>
      <c r="I204" s="3"/>
      <c r="J204" s="3"/>
      <c r="K204" s="1"/>
      <c r="L204" s="3"/>
    </row>
    <row r="205" spans="1:12" ht="12.75">
      <c r="A205" s="1"/>
      <c r="B205" s="1"/>
      <c r="C205" s="1"/>
      <c r="D205" s="1"/>
      <c r="E205" s="1"/>
      <c r="F205" s="1"/>
      <c r="G205" s="1"/>
      <c r="H205" s="1"/>
      <c r="I205" s="3"/>
      <c r="J205" s="3"/>
      <c r="K205" s="1"/>
      <c r="L205" s="3"/>
    </row>
    <row r="206" spans="1:12" ht="12.75">
      <c r="A206" s="1"/>
      <c r="B206" s="1"/>
      <c r="C206" s="1"/>
      <c r="D206" s="1"/>
      <c r="E206" s="1"/>
      <c r="F206" s="1"/>
      <c r="G206" s="1"/>
      <c r="H206" s="1"/>
      <c r="I206" s="3"/>
      <c r="J206" s="3"/>
      <c r="K206" s="1"/>
      <c r="L206" s="3"/>
    </row>
    <row r="207" spans="1:12" ht="12.75">
      <c r="A207" s="1"/>
      <c r="B207" s="1"/>
      <c r="C207" s="1"/>
      <c r="D207" s="1"/>
      <c r="E207" s="1"/>
      <c r="F207" s="1"/>
      <c r="G207" s="1"/>
      <c r="H207" s="1"/>
      <c r="I207" s="3"/>
      <c r="J207" s="3"/>
      <c r="K207" s="1"/>
      <c r="L207" s="3"/>
    </row>
    <row r="208" spans="1:12" ht="12.75">
      <c r="A208" s="1"/>
      <c r="B208" s="1"/>
      <c r="C208" s="1"/>
      <c r="D208" s="1"/>
      <c r="E208" s="1"/>
      <c r="F208" s="1"/>
      <c r="G208" s="1"/>
      <c r="H208" s="1"/>
      <c r="I208" s="3"/>
      <c r="J208" s="3"/>
      <c r="K208" s="1"/>
      <c r="L208" s="3"/>
    </row>
    <row r="209" spans="1:12" ht="12.75">
      <c r="A209" s="1"/>
      <c r="B209" s="1"/>
      <c r="C209" s="1"/>
      <c r="D209" s="1"/>
      <c r="E209" s="1"/>
      <c r="F209" s="1"/>
      <c r="G209" s="1"/>
      <c r="H209" s="1"/>
      <c r="I209" s="3"/>
      <c r="J209" s="3"/>
      <c r="K209" s="1"/>
      <c r="L209" s="3"/>
    </row>
    <row r="210" spans="1:12" ht="12.75">
      <c r="A210" s="1"/>
      <c r="B210" s="1"/>
      <c r="C210" s="1"/>
      <c r="D210" s="1"/>
      <c r="E210" s="1"/>
      <c r="F210" s="1"/>
      <c r="G210" s="1"/>
      <c r="H210" s="1"/>
      <c r="I210" s="3"/>
      <c r="J210" s="3"/>
      <c r="K210" s="1"/>
      <c r="L210" s="3"/>
    </row>
    <row r="211" spans="1:12" ht="12.75">
      <c r="A211" s="1"/>
      <c r="B211" s="1"/>
      <c r="C211" s="1"/>
      <c r="D211" s="1"/>
      <c r="E211" s="1"/>
      <c r="F211" s="1"/>
      <c r="G211" s="1"/>
      <c r="H211" s="1"/>
      <c r="I211" s="3"/>
      <c r="J211" s="3"/>
      <c r="K211" s="1"/>
      <c r="L211" s="3"/>
    </row>
    <row r="212" spans="1:12" ht="12.75">
      <c r="A212" s="1"/>
      <c r="B212" s="1"/>
      <c r="C212" s="1"/>
      <c r="D212" s="1"/>
      <c r="E212" s="1"/>
      <c r="F212" s="1"/>
      <c r="G212" s="1"/>
      <c r="H212" s="1"/>
      <c r="I212" s="3"/>
      <c r="J212" s="3"/>
      <c r="K212" s="1"/>
      <c r="L212" s="3"/>
    </row>
    <row r="213" spans="1:12" ht="12.75">
      <c r="A213" s="1"/>
      <c r="B213" s="1"/>
      <c r="C213" s="1"/>
      <c r="D213" s="1"/>
      <c r="E213" s="1"/>
      <c r="F213" s="1"/>
      <c r="G213" s="1"/>
      <c r="H213" s="1"/>
      <c r="I213" s="3"/>
      <c r="J213" s="3"/>
      <c r="K213" s="1"/>
      <c r="L213" s="3"/>
    </row>
    <row r="214" spans="1:12" ht="12.75">
      <c r="A214" s="1"/>
      <c r="B214" s="1"/>
      <c r="C214" s="1"/>
      <c r="D214" s="1"/>
      <c r="E214" s="1"/>
      <c r="F214" s="1"/>
      <c r="G214" s="1"/>
      <c r="H214" s="1"/>
      <c r="I214" s="3"/>
      <c r="J214" s="3"/>
      <c r="K214" s="1"/>
      <c r="L214" s="3"/>
    </row>
    <row r="215" spans="1:12" ht="12.75">
      <c r="A215" s="1"/>
      <c r="B215" s="1"/>
      <c r="C215" s="1"/>
      <c r="D215" s="1"/>
      <c r="E215" s="1"/>
      <c r="F215" s="1"/>
      <c r="G215" s="1"/>
      <c r="H215" s="1"/>
      <c r="I215" s="3"/>
      <c r="J215" s="3"/>
      <c r="K215" s="1"/>
      <c r="L215" s="3"/>
    </row>
    <row r="216" spans="1:12" ht="12.75">
      <c r="A216" s="1"/>
      <c r="B216" s="1"/>
      <c r="C216" s="1"/>
      <c r="D216" s="1"/>
      <c r="E216" s="1"/>
      <c r="F216" s="1"/>
      <c r="G216" s="1"/>
      <c r="H216" s="1"/>
      <c r="I216" s="3"/>
      <c r="J216" s="3"/>
      <c r="K216" s="1"/>
      <c r="L216" s="3"/>
    </row>
    <row r="217" spans="1:12" ht="12.75">
      <c r="A217" s="1"/>
      <c r="B217" s="1"/>
      <c r="C217" s="1"/>
      <c r="D217" s="1"/>
      <c r="E217" s="1"/>
      <c r="F217" s="1"/>
      <c r="G217" s="1"/>
      <c r="H217" s="1"/>
      <c r="I217" s="3"/>
      <c r="J217" s="3"/>
      <c r="K217" s="1"/>
      <c r="L217" s="3"/>
    </row>
    <row r="218" spans="1:12" ht="12.75">
      <c r="A218" s="1"/>
      <c r="B218" s="1"/>
      <c r="C218" s="1"/>
      <c r="D218" s="1"/>
      <c r="E218" s="1"/>
      <c r="F218" s="1"/>
      <c r="G218" s="1"/>
      <c r="H218" s="1"/>
      <c r="I218" s="3"/>
      <c r="J218" s="3"/>
      <c r="K218" s="1"/>
      <c r="L218" s="3"/>
    </row>
    <row r="219" spans="1:12" ht="12.75">
      <c r="A219" s="1"/>
      <c r="B219" s="1"/>
      <c r="C219" s="1"/>
      <c r="D219" s="1"/>
      <c r="E219" s="1"/>
      <c r="F219" s="1"/>
      <c r="G219" s="1"/>
      <c r="H219" s="1"/>
      <c r="I219" s="3"/>
      <c r="J219" s="3"/>
      <c r="K219" s="1"/>
      <c r="L219" s="3"/>
    </row>
    <row r="220" spans="1:12" ht="12.75">
      <c r="A220" s="1"/>
      <c r="B220" s="1"/>
      <c r="C220" s="1"/>
      <c r="D220" s="1"/>
      <c r="E220" s="1"/>
      <c r="F220" s="1"/>
      <c r="G220" s="1"/>
      <c r="H220" s="1"/>
      <c r="I220" s="3"/>
      <c r="J220" s="3"/>
      <c r="K220" s="1"/>
      <c r="L220" s="3"/>
    </row>
    <row r="221" spans="1:12" ht="12.75">
      <c r="A221" s="1"/>
      <c r="B221" s="1"/>
      <c r="C221" s="1"/>
      <c r="D221" s="1"/>
      <c r="E221" s="1"/>
      <c r="F221" s="1"/>
      <c r="G221" s="1"/>
      <c r="H221" s="1"/>
      <c r="I221" s="3"/>
      <c r="J221" s="3"/>
      <c r="K221" s="1"/>
      <c r="L221" s="3"/>
    </row>
    <row r="222" spans="1:12" ht="12.75">
      <c r="A222" s="1"/>
      <c r="B222" s="1"/>
      <c r="C222" s="1"/>
      <c r="D222" s="1"/>
      <c r="E222" s="1"/>
      <c r="F222" s="1"/>
      <c r="G222" s="1"/>
      <c r="H222" s="1"/>
      <c r="I222" s="3"/>
      <c r="J222" s="3"/>
      <c r="K222" s="1"/>
      <c r="L222" s="3"/>
    </row>
    <row r="223" spans="1:12" ht="12.75">
      <c r="A223" s="1"/>
      <c r="B223" s="1"/>
      <c r="C223" s="1"/>
      <c r="D223" s="1"/>
      <c r="E223" s="1"/>
      <c r="F223" s="1"/>
      <c r="G223" s="1"/>
      <c r="H223" s="1"/>
      <c r="I223" s="3"/>
      <c r="J223" s="3"/>
      <c r="K223" s="1"/>
      <c r="L223" s="3"/>
    </row>
    <row r="224" spans="1:12" ht="12.75">
      <c r="A224" s="1"/>
      <c r="B224" s="1"/>
      <c r="C224" s="1"/>
      <c r="D224" s="1"/>
      <c r="E224" s="1"/>
      <c r="F224" s="1"/>
      <c r="G224" s="1"/>
      <c r="H224" s="1"/>
      <c r="I224" s="3"/>
      <c r="J224" s="3"/>
      <c r="K224" s="1"/>
      <c r="L224" s="3"/>
    </row>
    <row r="225" spans="1:12" ht="12.75">
      <c r="A225" s="1"/>
      <c r="B225" s="1"/>
      <c r="C225" s="1"/>
      <c r="D225" s="1"/>
      <c r="E225" s="1"/>
      <c r="F225" s="1"/>
      <c r="G225" s="1"/>
      <c r="H225" s="1"/>
      <c r="I225" s="3"/>
      <c r="J225" s="3"/>
      <c r="K225" s="1"/>
      <c r="L225" s="3"/>
    </row>
    <row r="226" spans="1:12" ht="12.75">
      <c r="A226" s="1"/>
      <c r="B226" s="1"/>
      <c r="C226" s="1"/>
      <c r="D226" s="1"/>
      <c r="E226" s="1"/>
      <c r="F226" s="1"/>
      <c r="G226" s="1"/>
      <c r="H226" s="1"/>
      <c r="I226" s="3"/>
      <c r="J226" s="3"/>
      <c r="K226" s="1"/>
      <c r="L226" s="3"/>
    </row>
    <row r="227" spans="1:12" ht="12.75">
      <c r="A227" s="1"/>
      <c r="B227" s="1"/>
      <c r="C227" s="1"/>
      <c r="D227" s="1"/>
      <c r="E227" s="1"/>
      <c r="F227" s="1"/>
      <c r="G227" s="1"/>
      <c r="H227" s="1"/>
      <c r="I227" s="3"/>
      <c r="J227" s="3"/>
      <c r="K227" s="1"/>
      <c r="L227" s="3"/>
    </row>
    <row r="228" spans="1:12" ht="12.75">
      <c r="A228" s="1"/>
      <c r="B228" s="1"/>
      <c r="C228" s="1"/>
      <c r="D228" s="1"/>
      <c r="E228" s="1"/>
      <c r="F228" s="1"/>
      <c r="G228" s="1"/>
      <c r="H228" s="1"/>
      <c r="I228" s="3"/>
      <c r="J228" s="3"/>
      <c r="K228" s="1"/>
      <c r="L228" s="3"/>
    </row>
    <row r="229" spans="1:12" ht="12.75">
      <c r="A229" s="1"/>
      <c r="B229" s="1"/>
      <c r="C229" s="1"/>
      <c r="D229" s="1"/>
      <c r="E229" s="1"/>
      <c r="F229" s="1"/>
      <c r="G229" s="1"/>
      <c r="H229" s="1"/>
      <c r="I229" s="3"/>
      <c r="J229" s="3"/>
      <c r="K229" s="1"/>
      <c r="L229" s="3"/>
    </row>
    <row r="230" spans="1:12" ht="12.75">
      <c r="A230" s="1"/>
      <c r="B230" s="1"/>
      <c r="C230" s="1"/>
      <c r="D230" s="1"/>
      <c r="E230" s="1"/>
      <c r="F230" s="1"/>
      <c r="G230" s="1"/>
      <c r="H230" s="1"/>
      <c r="I230" s="3"/>
      <c r="J230" s="3"/>
      <c r="K230" s="1"/>
      <c r="L230" s="3"/>
    </row>
    <row r="231" spans="1:12" ht="12.75">
      <c r="A231" s="1"/>
      <c r="B231" s="1"/>
      <c r="C231" s="1"/>
      <c r="D231" s="1"/>
      <c r="E231" s="1"/>
      <c r="F231" s="1"/>
      <c r="G231" s="1"/>
      <c r="H231" s="1"/>
      <c r="I231" s="3"/>
      <c r="J231" s="3"/>
      <c r="K231" s="1"/>
      <c r="L231" s="3"/>
    </row>
    <row r="232" spans="1:12" ht="12.75">
      <c r="A232" s="1"/>
      <c r="B232" s="1"/>
      <c r="C232" s="1"/>
      <c r="D232" s="1"/>
      <c r="E232" s="1"/>
      <c r="F232" s="1"/>
      <c r="G232" s="1"/>
      <c r="H232" s="1"/>
      <c r="I232" s="3"/>
      <c r="J232" s="3"/>
      <c r="K232" s="1"/>
      <c r="L232" s="3"/>
    </row>
    <row r="233" spans="1:12" ht="12.75">
      <c r="A233" s="1"/>
      <c r="B233" s="1"/>
      <c r="C233" s="1"/>
      <c r="D233" s="1"/>
      <c r="E233" s="1"/>
      <c r="F233" s="1"/>
      <c r="G233" s="1"/>
      <c r="H233" s="1"/>
      <c r="I233" s="3"/>
      <c r="J233" s="3"/>
      <c r="K233" s="1"/>
      <c r="L233" s="3"/>
    </row>
    <row r="234" spans="1:12" ht="12.75">
      <c r="A234" s="1"/>
      <c r="B234" s="1"/>
      <c r="C234" s="1"/>
      <c r="D234" s="1"/>
      <c r="E234" s="1"/>
      <c r="F234" s="1"/>
      <c r="G234" s="1"/>
      <c r="H234" s="1"/>
      <c r="I234" s="3"/>
      <c r="J234" s="3"/>
      <c r="K234" s="1"/>
      <c r="L234" s="3"/>
    </row>
    <row r="235" spans="1:12" ht="12.75">
      <c r="A235" s="1"/>
      <c r="B235" s="1"/>
      <c r="C235" s="1"/>
      <c r="D235" s="1"/>
      <c r="E235" s="1"/>
      <c r="F235" s="1"/>
      <c r="G235" s="1"/>
      <c r="H235" s="1"/>
      <c r="I235" s="3"/>
      <c r="J235" s="3"/>
      <c r="K235" s="1"/>
      <c r="L235" s="3"/>
    </row>
    <row r="236" spans="1:12" ht="12.75">
      <c r="A236" s="1"/>
      <c r="B236" s="1"/>
      <c r="C236" s="1"/>
      <c r="D236" s="1"/>
      <c r="E236" s="1"/>
      <c r="F236" s="1"/>
      <c r="G236" s="1"/>
      <c r="H236" s="1"/>
      <c r="I236" s="3"/>
      <c r="J236" s="3"/>
      <c r="K236" s="1"/>
      <c r="L236" s="3"/>
    </row>
    <row r="237" spans="1:12" ht="12.75">
      <c r="A237" s="1"/>
      <c r="B237" s="1"/>
      <c r="C237" s="1"/>
      <c r="D237" s="1"/>
      <c r="E237" s="1"/>
      <c r="F237" s="1"/>
      <c r="G237" s="1"/>
      <c r="H237" s="1"/>
      <c r="I237" s="3"/>
      <c r="J237" s="3"/>
      <c r="K237" s="1"/>
      <c r="L237" s="3"/>
    </row>
    <row r="238" spans="1:12" ht="12.75">
      <c r="A238" s="1"/>
      <c r="B238" s="1"/>
      <c r="C238" s="1"/>
      <c r="D238" s="1"/>
      <c r="E238" s="1"/>
      <c r="F238" s="1"/>
      <c r="G238" s="1"/>
      <c r="H238" s="1"/>
      <c r="I238" s="3"/>
      <c r="J238" s="3"/>
      <c r="K238" s="1"/>
      <c r="L238" s="3"/>
    </row>
    <row r="239" spans="1:12" ht="12.75">
      <c r="A239" s="1"/>
      <c r="B239" s="1"/>
      <c r="C239" s="1"/>
      <c r="D239" s="1"/>
      <c r="E239" s="1"/>
      <c r="F239" s="1"/>
      <c r="G239" s="1"/>
      <c r="H239" s="1"/>
      <c r="I239" s="3"/>
      <c r="J239" s="3"/>
      <c r="K239" s="1"/>
      <c r="L239" s="3"/>
    </row>
    <row r="240" spans="1:12" ht="12.75">
      <c r="A240" s="1"/>
      <c r="B240" s="1"/>
      <c r="C240" s="1"/>
      <c r="D240" s="1"/>
      <c r="E240" s="1"/>
      <c r="F240" s="1"/>
      <c r="G240" s="1"/>
      <c r="H240" s="1"/>
      <c r="I240" s="3"/>
      <c r="J240" s="3"/>
      <c r="K240" s="1"/>
      <c r="L240" s="3"/>
    </row>
    <row r="241" spans="1:12" ht="12.75">
      <c r="A241" s="1"/>
      <c r="B241" s="1"/>
      <c r="C241" s="1"/>
      <c r="D241" s="1"/>
      <c r="E241" s="1"/>
      <c r="F241" s="1"/>
      <c r="G241" s="1"/>
      <c r="H241" s="1"/>
      <c r="I241" s="3"/>
      <c r="J241" s="3"/>
      <c r="K241" s="1"/>
      <c r="L241" s="3"/>
    </row>
    <row r="242" spans="1:12" ht="12.75">
      <c r="A242" s="1"/>
      <c r="B242" s="1"/>
      <c r="C242" s="1"/>
      <c r="D242" s="1"/>
      <c r="E242" s="1"/>
      <c r="F242" s="1"/>
      <c r="G242" s="1"/>
      <c r="H242" s="1"/>
      <c r="I242" s="3"/>
      <c r="J242" s="3"/>
      <c r="K242" s="1"/>
      <c r="L242" s="3"/>
    </row>
    <row r="243" spans="1:12" ht="12.75">
      <c r="A243" s="1"/>
      <c r="B243" s="1"/>
      <c r="C243" s="1"/>
      <c r="D243" s="1"/>
      <c r="E243" s="1"/>
      <c r="F243" s="1"/>
      <c r="G243" s="1"/>
      <c r="H243" s="1"/>
      <c r="I243" s="3"/>
      <c r="J243" s="3"/>
      <c r="K243" s="1"/>
      <c r="L243" s="3"/>
    </row>
    <row r="244" spans="1:12" ht="12.75">
      <c r="A244" s="1"/>
      <c r="B244" s="1"/>
      <c r="C244" s="1"/>
      <c r="D244" s="1"/>
      <c r="E244" s="1"/>
      <c r="F244" s="1"/>
      <c r="G244" s="1"/>
      <c r="H244" s="1"/>
      <c r="I244" s="3"/>
      <c r="J244" s="3"/>
      <c r="K244" s="1"/>
      <c r="L244" s="3"/>
    </row>
    <row r="245" spans="1:12" ht="12.75">
      <c r="A245" s="1"/>
      <c r="B245" s="1"/>
      <c r="C245" s="1"/>
      <c r="D245" s="1"/>
      <c r="E245" s="1"/>
      <c r="F245" s="1"/>
      <c r="G245" s="1"/>
      <c r="H245" s="1"/>
      <c r="I245" s="3"/>
      <c r="J245" s="3"/>
      <c r="K245" s="1"/>
      <c r="L245" s="3"/>
    </row>
    <row r="246" spans="1:12" ht="12.75">
      <c r="A246" s="1"/>
      <c r="B246" s="1"/>
      <c r="C246" s="1"/>
      <c r="D246" s="1"/>
      <c r="E246" s="1"/>
      <c r="F246" s="1"/>
      <c r="G246" s="1"/>
      <c r="H246" s="1"/>
      <c r="I246" s="3"/>
      <c r="J246" s="3"/>
      <c r="K246" s="1"/>
      <c r="L246" s="3"/>
    </row>
    <row r="247" spans="1:12" ht="12.75">
      <c r="A247" s="1"/>
      <c r="B247" s="1"/>
      <c r="C247" s="1"/>
      <c r="D247" s="1"/>
      <c r="E247" s="1"/>
      <c r="F247" s="1"/>
      <c r="G247" s="1"/>
      <c r="H247" s="1"/>
      <c r="I247" s="3"/>
      <c r="J247" s="3"/>
      <c r="K247" s="1"/>
      <c r="L247" s="3"/>
    </row>
    <row r="248" spans="1:12" ht="12.75">
      <c r="A248" s="1"/>
      <c r="B248" s="1"/>
      <c r="C248" s="1"/>
      <c r="D248" s="1"/>
      <c r="E248" s="1"/>
      <c r="F248" s="1"/>
      <c r="G248" s="1"/>
      <c r="H248" s="1"/>
      <c r="I248" s="3"/>
      <c r="J248" s="3"/>
      <c r="K248" s="1"/>
      <c r="L248" s="3"/>
    </row>
    <row r="249" spans="1:12" ht="12.75">
      <c r="A249" s="1"/>
      <c r="B249" s="1"/>
      <c r="C249" s="1"/>
      <c r="D249" s="1"/>
      <c r="E249" s="1"/>
      <c r="F249" s="1"/>
      <c r="G249" s="1"/>
      <c r="H249" s="1"/>
      <c r="I249" s="3"/>
      <c r="J249" s="3"/>
      <c r="K249" s="1"/>
      <c r="L249" s="3"/>
    </row>
    <row r="250" spans="1:12" ht="12.75">
      <c r="A250" s="1"/>
      <c r="B250" s="1"/>
      <c r="C250" s="1"/>
      <c r="D250" s="1"/>
      <c r="E250" s="1"/>
      <c r="F250" s="1"/>
      <c r="G250" s="1"/>
      <c r="H250" s="1"/>
      <c r="I250" s="3"/>
      <c r="J250" s="3"/>
      <c r="K250" s="1"/>
      <c r="L250" s="3"/>
    </row>
    <row r="251" spans="1:12" ht="12.75">
      <c r="A251" s="1"/>
      <c r="B251" s="1"/>
      <c r="C251" s="1"/>
      <c r="D251" s="1"/>
      <c r="E251" s="1"/>
      <c r="F251" s="1"/>
      <c r="G251" s="1"/>
      <c r="H251" s="1"/>
      <c r="I251" s="3"/>
      <c r="J251" s="3"/>
      <c r="K251" s="1"/>
      <c r="L251" s="3"/>
    </row>
    <row r="252" spans="1:12" ht="12.75">
      <c r="A252" s="1"/>
      <c r="B252" s="1"/>
      <c r="C252" s="1"/>
      <c r="D252" s="1"/>
      <c r="E252" s="1"/>
      <c r="F252" s="1"/>
      <c r="G252" s="1"/>
      <c r="H252" s="1"/>
      <c r="I252" s="3"/>
      <c r="J252" s="3"/>
      <c r="K252" s="1"/>
      <c r="L252" s="3"/>
    </row>
    <row r="253" spans="1:12" ht="12.75">
      <c r="A253" s="1"/>
      <c r="B253" s="1"/>
      <c r="C253" s="1"/>
      <c r="D253" s="1"/>
      <c r="E253" s="1"/>
      <c r="F253" s="1"/>
      <c r="G253" s="1"/>
      <c r="H253" s="1"/>
      <c r="I253" s="3"/>
      <c r="J253" s="3"/>
      <c r="K253" s="1"/>
      <c r="L253" s="3"/>
    </row>
    <row r="254" spans="1:12" ht="12.75">
      <c r="A254" s="1"/>
      <c r="B254" s="1"/>
      <c r="C254" s="1"/>
      <c r="D254" s="1"/>
      <c r="E254" s="1"/>
      <c r="F254" s="1"/>
      <c r="G254" s="1"/>
      <c r="H254" s="1"/>
      <c r="I254" s="3"/>
      <c r="J254" s="3"/>
      <c r="K254" s="1"/>
      <c r="L254" s="3"/>
    </row>
    <row r="255" spans="1:12" ht="12.75">
      <c r="A255" s="1"/>
      <c r="B255" s="1"/>
      <c r="C255" s="1"/>
      <c r="D255" s="1"/>
      <c r="E255" s="1"/>
      <c r="F255" s="1"/>
      <c r="G255" s="1"/>
      <c r="H255" s="1"/>
      <c r="I255" s="3"/>
      <c r="J255" s="3"/>
      <c r="K255" s="1"/>
      <c r="L255" s="3"/>
    </row>
    <row r="256" spans="1:12" ht="12.75">
      <c r="A256" s="1"/>
      <c r="B256" s="1"/>
      <c r="C256" s="1"/>
      <c r="D256" s="1"/>
      <c r="E256" s="1"/>
      <c r="F256" s="1"/>
      <c r="G256" s="1"/>
      <c r="H256" s="1"/>
      <c r="I256" s="3"/>
      <c r="J256" s="3"/>
      <c r="K256" s="1"/>
      <c r="L256" s="3"/>
    </row>
    <row r="257" spans="1:12" ht="12.75">
      <c r="A257" s="1"/>
      <c r="B257" s="1"/>
      <c r="C257" s="1"/>
      <c r="D257" s="1"/>
      <c r="E257" s="1"/>
      <c r="F257" s="1"/>
      <c r="G257" s="1"/>
      <c r="H257" s="1"/>
      <c r="I257" s="3"/>
      <c r="J257" s="3"/>
      <c r="K257" s="1"/>
      <c r="L257" s="3"/>
    </row>
    <row r="258" spans="1:12" ht="12.75">
      <c r="A258" s="1"/>
      <c r="B258" s="1"/>
      <c r="C258" s="1"/>
      <c r="D258" s="1"/>
      <c r="E258" s="1"/>
      <c r="F258" s="1"/>
      <c r="G258" s="1"/>
      <c r="H258" s="1"/>
      <c r="I258" s="3"/>
      <c r="J258" s="3"/>
      <c r="K258" s="1"/>
      <c r="L258" s="3"/>
    </row>
    <row r="259" spans="1:12" ht="12.75">
      <c r="A259" s="1"/>
      <c r="B259" s="1"/>
      <c r="C259" s="1"/>
      <c r="D259" s="1"/>
      <c r="E259" s="1"/>
      <c r="F259" s="1"/>
      <c r="G259" s="1"/>
      <c r="H259" s="1"/>
      <c r="I259" s="3"/>
      <c r="J259" s="3"/>
      <c r="K259" s="1"/>
      <c r="L259" s="3"/>
    </row>
    <row r="260" spans="1:12" ht="12.75">
      <c r="A260" s="1"/>
      <c r="B260" s="1"/>
      <c r="C260" s="1"/>
      <c r="D260" s="1"/>
      <c r="E260" s="1"/>
      <c r="F260" s="1"/>
      <c r="G260" s="1"/>
      <c r="H260" s="1"/>
      <c r="I260" s="3"/>
      <c r="J260" s="3"/>
      <c r="K260" s="1"/>
      <c r="L260" s="3"/>
    </row>
    <row r="261" spans="1:12" ht="12.75">
      <c r="A261" s="1"/>
      <c r="B261" s="1"/>
      <c r="C261" s="1"/>
      <c r="D261" s="1"/>
      <c r="E261" s="1"/>
      <c r="F261" s="1"/>
      <c r="G261" s="1"/>
      <c r="H261" s="1"/>
      <c r="I261" s="3"/>
      <c r="J261" s="3"/>
      <c r="K261" s="1"/>
      <c r="L261" s="3"/>
    </row>
    <row r="262" spans="1:12" ht="12.75">
      <c r="A262" s="1"/>
      <c r="B262" s="1"/>
      <c r="C262" s="1"/>
      <c r="D262" s="1"/>
      <c r="E262" s="1"/>
      <c r="F262" s="1"/>
      <c r="G262" s="1"/>
      <c r="H262" s="1"/>
      <c r="I262" s="3"/>
      <c r="J262" s="3"/>
      <c r="K262" s="1"/>
      <c r="L262" s="3"/>
    </row>
    <row r="263" spans="1:12" ht="12.75">
      <c r="A263" s="1"/>
      <c r="B263" s="1"/>
      <c r="C263" s="1"/>
      <c r="D263" s="1"/>
      <c r="E263" s="1"/>
      <c r="F263" s="1"/>
      <c r="G263" s="1"/>
      <c r="H263" s="1"/>
      <c r="I263" s="3"/>
      <c r="J263" s="3"/>
      <c r="K263" s="1"/>
      <c r="L263" s="3"/>
    </row>
    <row r="264" spans="1:12" ht="12.75">
      <c r="A264" s="1"/>
      <c r="B264" s="1"/>
      <c r="C264" s="1"/>
      <c r="D264" s="1"/>
      <c r="E264" s="1"/>
      <c r="F264" s="1"/>
      <c r="G264" s="1"/>
      <c r="H264" s="1"/>
      <c r="I264" s="3"/>
      <c r="J264" s="3"/>
      <c r="K264" s="1"/>
      <c r="L264" s="3"/>
    </row>
    <row r="265" spans="1:12" ht="12.75">
      <c r="A265" s="1"/>
      <c r="B265" s="1"/>
      <c r="C265" s="1"/>
      <c r="D265" s="1"/>
      <c r="E265" s="1"/>
      <c r="F265" s="1"/>
      <c r="G265" s="1"/>
      <c r="H265" s="1"/>
      <c r="I265" s="3"/>
      <c r="J265" s="3"/>
      <c r="K265" s="1"/>
      <c r="L265" s="3"/>
    </row>
    <row r="266" spans="1:12" ht="12.75">
      <c r="A266" s="1"/>
      <c r="B266" s="1"/>
      <c r="C266" s="1"/>
      <c r="D266" s="1"/>
      <c r="E266" s="1"/>
      <c r="F266" s="1"/>
      <c r="G266" s="1"/>
      <c r="H266" s="1"/>
      <c r="I266" s="3"/>
      <c r="J266" s="3"/>
      <c r="K266" s="1"/>
      <c r="L266" s="3"/>
    </row>
    <row r="267" spans="1:12" ht="12.75">
      <c r="A267" s="1"/>
      <c r="B267" s="1"/>
      <c r="C267" s="1"/>
      <c r="D267" s="1"/>
      <c r="E267" s="1"/>
      <c r="F267" s="1"/>
      <c r="G267" s="1"/>
      <c r="H267" s="1"/>
      <c r="I267" s="3"/>
      <c r="J267" s="3"/>
      <c r="K267" s="1"/>
      <c r="L267" s="3"/>
    </row>
    <row r="268" spans="1:12" ht="12.75">
      <c r="A268" s="1"/>
      <c r="B268" s="1"/>
      <c r="C268" s="1"/>
      <c r="D268" s="1"/>
      <c r="E268" s="1"/>
      <c r="F268" s="1"/>
      <c r="G268" s="1"/>
      <c r="H268" s="1"/>
      <c r="I268" s="3"/>
      <c r="J268" s="3"/>
      <c r="K268" s="1"/>
      <c r="L268" s="3"/>
    </row>
    <row r="269" spans="1:12" ht="12.75">
      <c r="A269" s="1"/>
      <c r="B269" s="1"/>
      <c r="C269" s="1"/>
      <c r="D269" s="1"/>
      <c r="E269" s="1"/>
      <c r="F269" s="1"/>
      <c r="G269" s="1"/>
      <c r="H269" s="1"/>
      <c r="I269" s="3"/>
      <c r="J269" s="3"/>
      <c r="K269" s="1"/>
      <c r="L269" s="3"/>
    </row>
    <row r="270" spans="1:12" ht="12.75">
      <c r="A270" s="1"/>
      <c r="B270" s="1"/>
      <c r="C270" s="1"/>
      <c r="D270" s="1"/>
      <c r="E270" s="1"/>
      <c r="F270" s="1"/>
      <c r="G270" s="1"/>
      <c r="H270" s="1"/>
      <c r="I270" s="3"/>
      <c r="J270" s="3"/>
      <c r="K270" s="1"/>
      <c r="L270" s="3"/>
    </row>
    <row r="271" spans="1:12" ht="12.75">
      <c r="A271" s="1"/>
      <c r="B271" s="1"/>
      <c r="C271" s="1"/>
      <c r="D271" s="1"/>
      <c r="E271" s="1"/>
      <c r="F271" s="1"/>
      <c r="G271" s="1"/>
      <c r="H271" s="1"/>
      <c r="I271" s="3"/>
      <c r="J271" s="3"/>
      <c r="K271" s="1"/>
      <c r="L271" s="3"/>
    </row>
    <row r="272" spans="1:12" ht="12.75">
      <c r="A272" s="1"/>
      <c r="B272" s="1"/>
      <c r="C272" s="1"/>
      <c r="D272" s="1"/>
      <c r="E272" s="1"/>
      <c r="F272" s="1"/>
      <c r="G272" s="1"/>
      <c r="H272" s="1"/>
      <c r="I272" s="3"/>
      <c r="J272" s="3"/>
      <c r="K272" s="1"/>
      <c r="L272" s="3"/>
    </row>
    <row r="273" spans="1:12" ht="12.75">
      <c r="A273" s="1"/>
      <c r="B273" s="1"/>
      <c r="C273" s="1"/>
      <c r="D273" s="1"/>
      <c r="E273" s="1"/>
      <c r="F273" s="1"/>
      <c r="G273" s="1"/>
      <c r="H273" s="1"/>
      <c r="I273" s="3"/>
      <c r="J273" s="3"/>
      <c r="K273" s="1"/>
      <c r="L273" s="3"/>
    </row>
    <row r="274" spans="1:12" ht="12.75">
      <c r="A274" s="1"/>
      <c r="B274" s="1"/>
      <c r="C274" s="1"/>
      <c r="D274" s="1"/>
      <c r="E274" s="1"/>
      <c r="F274" s="1"/>
      <c r="G274" s="1"/>
      <c r="H274" s="1"/>
      <c r="I274" s="3"/>
      <c r="J274" s="3"/>
      <c r="K274" s="1"/>
      <c r="L274" s="3"/>
    </row>
    <row r="275" spans="1:12" ht="12.75">
      <c r="A275" s="1"/>
      <c r="B275" s="1"/>
      <c r="C275" s="1"/>
      <c r="D275" s="1"/>
      <c r="E275" s="1"/>
      <c r="F275" s="1"/>
      <c r="G275" s="1"/>
      <c r="H275" s="1"/>
      <c r="I275" s="3"/>
      <c r="J275" s="3"/>
      <c r="K275" s="1"/>
      <c r="L275" s="3"/>
    </row>
    <row r="276" spans="1:12" ht="12.75">
      <c r="A276" s="1"/>
      <c r="B276" s="1"/>
      <c r="C276" s="1"/>
      <c r="D276" s="1"/>
      <c r="E276" s="1"/>
      <c r="F276" s="1"/>
      <c r="G276" s="1"/>
      <c r="H276" s="1"/>
      <c r="I276" s="3"/>
      <c r="J276" s="3"/>
      <c r="K276" s="1"/>
      <c r="L276" s="3"/>
    </row>
    <row r="277" spans="1:12" ht="12.75">
      <c r="A277" s="1"/>
      <c r="B277" s="1"/>
      <c r="C277" s="1"/>
      <c r="D277" s="1"/>
      <c r="E277" s="1"/>
      <c r="F277" s="1"/>
      <c r="G277" s="1"/>
      <c r="H277" s="1"/>
      <c r="I277" s="3"/>
      <c r="J277" s="3"/>
      <c r="K277" s="1"/>
      <c r="L277" s="3"/>
    </row>
    <row r="278" spans="1:12" ht="12.75">
      <c r="A278" s="1"/>
      <c r="B278" s="1"/>
      <c r="C278" s="1"/>
      <c r="D278" s="1"/>
      <c r="E278" s="1"/>
      <c r="F278" s="1"/>
      <c r="G278" s="1"/>
      <c r="H278" s="1"/>
      <c r="I278" s="3"/>
      <c r="J278" s="3"/>
      <c r="K278" s="1"/>
      <c r="L278" s="3"/>
    </row>
    <row r="279" spans="1:12" ht="12.75">
      <c r="A279" s="1"/>
      <c r="B279" s="1"/>
      <c r="C279" s="1"/>
      <c r="D279" s="1"/>
      <c r="E279" s="1"/>
      <c r="F279" s="1"/>
      <c r="G279" s="1"/>
      <c r="H279" s="1"/>
      <c r="I279" s="3"/>
      <c r="J279" s="3"/>
      <c r="K279" s="1"/>
      <c r="L279" s="3"/>
    </row>
    <row r="280" spans="1:12" ht="12.75">
      <c r="A280" s="1"/>
      <c r="B280" s="1"/>
      <c r="C280" s="1"/>
      <c r="D280" s="1"/>
      <c r="E280" s="1"/>
      <c r="F280" s="1"/>
      <c r="G280" s="1"/>
      <c r="H280" s="1"/>
      <c r="I280" s="3"/>
      <c r="J280" s="3"/>
      <c r="K280" s="1"/>
      <c r="L280" s="3"/>
    </row>
    <row r="281" spans="1:12" ht="12.75">
      <c r="A281" s="1"/>
      <c r="B281" s="1"/>
      <c r="C281" s="1"/>
      <c r="D281" s="1"/>
      <c r="E281" s="1"/>
      <c r="F281" s="1"/>
      <c r="G281" s="1"/>
      <c r="H281" s="1"/>
      <c r="I281" s="3"/>
      <c r="J281" s="3"/>
      <c r="K281" s="1"/>
      <c r="L281" s="3"/>
    </row>
    <row r="282" spans="1:12" ht="12.75">
      <c r="A282" s="1"/>
      <c r="B282" s="1"/>
      <c r="C282" s="1"/>
      <c r="D282" s="1"/>
      <c r="E282" s="1"/>
      <c r="F282" s="1"/>
      <c r="G282" s="1"/>
      <c r="H282" s="1"/>
      <c r="I282" s="3"/>
      <c r="J282" s="3"/>
      <c r="K282" s="1"/>
      <c r="L282" s="3"/>
    </row>
    <row r="283" spans="1:12" ht="12.75">
      <c r="A283" s="1"/>
      <c r="B283" s="1"/>
      <c r="C283" s="1"/>
      <c r="D283" s="1"/>
      <c r="E283" s="1"/>
      <c r="F283" s="1"/>
      <c r="G283" s="1"/>
      <c r="H283" s="1"/>
      <c r="I283" s="3"/>
      <c r="J283" s="3"/>
      <c r="K283" s="1"/>
      <c r="L283" s="3"/>
    </row>
    <row r="284" spans="1:12" ht="12.75">
      <c r="A284" s="1"/>
      <c r="B284" s="1"/>
      <c r="C284" s="1"/>
      <c r="D284" s="1"/>
      <c r="E284" s="1"/>
      <c r="F284" s="1"/>
      <c r="G284" s="1"/>
      <c r="H284" s="1"/>
      <c r="I284" s="3"/>
      <c r="J284" s="3"/>
      <c r="K284" s="1"/>
      <c r="L284" s="3"/>
    </row>
    <row r="285" spans="1:12" ht="12.75">
      <c r="A285" s="1"/>
      <c r="B285" s="1"/>
      <c r="C285" s="1"/>
      <c r="D285" s="1"/>
      <c r="E285" s="1"/>
      <c r="F285" s="1"/>
      <c r="G285" s="1"/>
      <c r="H285" s="1"/>
      <c r="I285" s="3"/>
      <c r="J285" s="3"/>
      <c r="K285" s="1"/>
      <c r="L285" s="3"/>
    </row>
    <row r="286" spans="1:12" ht="12.75">
      <c r="A286" s="1"/>
      <c r="B286" s="1"/>
      <c r="C286" s="1"/>
      <c r="D286" s="1"/>
      <c r="E286" s="1"/>
      <c r="F286" s="1"/>
      <c r="G286" s="1"/>
      <c r="H286" s="1"/>
      <c r="I286" s="3"/>
      <c r="J286" s="3"/>
      <c r="K286" s="1"/>
      <c r="L286" s="3"/>
    </row>
    <row r="287" spans="1:12" ht="12.75">
      <c r="A287" s="1"/>
      <c r="B287" s="1"/>
      <c r="C287" s="1"/>
      <c r="D287" s="1"/>
      <c r="E287" s="1"/>
      <c r="F287" s="1"/>
      <c r="G287" s="1"/>
      <c r="H287" s="1"/>
      <c r="I287" s="3"/>
      <c r="J287" s="3"/>
      <c r="K287" s="1"/>
      <c r="L287" s="3"/>
    </row>
    <row r="288" spans="1:12" ht="12.75">
      <c r="A288" s="1"/>
      <c r="B288" s="1"/>
      <c r="C288" s="1"/>
      <c r="D288" s="1"/>
      <c r="E288" s="1"/>
      <c r="F288" s="1"/>
      <c r="G288" s="1"/>
      <c r="H288" s="1"/>
      <c r="I288" s="3"/>
      <c r="J288" s="3"/>
      <c r="K288" s="1"/>
      <c r="L288" s="3"/>
    </row>
    <row r="289" spans="1:12" ht="12.75">
      <c r="A289" s="1"/>
      <c r="B289" s="1"/>
      <c r="C289" s="1"/>
      <c r="D289" s="1"/>
      <c r="E289" s="1"/>
      <c r="F289" s="1"/>
      <c r="G289" s="1"/>
      <c r="H289" s="1"/>
      <c r="I289" s="3"/>
      <c r="J289" s="3"/>
      <c r="K289" s="1"/>
      <c r="L289" s="3"/>
    </row>
    <row r="290" spans="1:12" ht="12.75">
      <c r="A290" s="1"/>
      <c r="B290" s="1"/>
      <c r="C290" s="1"/>
      <c r="D290" s="1"/>
      <c r="E290" s="1"/>
      <c r="F290" s="1"/>
      <c r="G290" s="1"/>
      <c r="H290" s="1"/>
      <c r="I290" s="3"/>
      <c r="J290" s="3"/>
      <c r="K290" s="1"/>
      <c r="L290" s="3"/>
    </row>
    <row r="291" spans="1:12" ht="12.75">
      <c r="A291" s="1"/>
      <c r="B291" s="1"/>
      <c r="C291" s="1"/>
      <c r="D291" s="1"/>
      <c r="E291" s="1"/>
      <c r="F291" s="1"/>
      <c r="G291" s="1"/>
      <c r="H291" s="1"/>
      <c r="I291" s="3"/>
      <c r="J291" s="3"/>
      <c r="K291" s="1"/>
      <c r="L291" s="3"/>
    </row>
    <row r="292" spans="1:12" ht="12.75">
      <c r="A292" s="1"/>
      <c r="B292" s="1"/>
      <c r="C292" s="1"/>
      <c r="D292" s="1"/>
      <c r="E292" s="1"/>
      <c r="F292" s="1"/>
      <c r="G292" s="1"/>
      <c r="H292" s="1"/>
      <c r="I292" s="3"/>
      <c r="J292" s="3"/>
      <c r="K292" s="1"/>
      <c r="L292" s="3"/>
    </row>
    <row r="293" spans="1:12" ht="12.75">
      <c r="A293" s="1"/>
      <c r="B293" s="1"/>
      <c r="C293" s="1"/>
      <c r="D293" s="1"/>
      <c r="E293" s="1"/>
      <c r="F293" s="1"/>
      <c r="G293" s="1"/>
      <c r="H293" s="1"/>
      <c r="I293" s="3"/>
      <c r="J293" s="3"/>
      <c r="K293" s="1"/>
      <c r="L293" s="3"/>
    </row>
    <row r="294" spans="1:12" ht="12.75">
      <c r="A294" s="1"/>
      <c r="B294" s="1"/>
      <c r="C294" s="1"/>
      <c r="D294" s="1"/>
      <c r="E294" s="1"/>
      <c r="F294" s="1"/>
      <c r="G294" s="1"/>
      <c r="H294" s="1"/>
      <c r="I294" s="3"/>
      <c r="J294" s="3"/>
      <c r="K294" s="1"/>
      <c r="L294" s="3"/>
    </row>
    <row r="295" spans="1:12" ht="12.75">
      <c r="A295" s="1"/>
      <c r="B295" s="1"/>
      <c r="C295" s="1"/>
      <c r="D295" s="1"/>
      <c r="E295" s="1"/>
      <c r="F295" s="1"/>
      <c r="G295" s="1"/>
      <c r="H295" s="1"/>
      <c r="I295" s="3"/>
      <c r="J295" s="3"/>
      <c r="K295" s="1"/>
      <c r="L295" s="3"/>
    </row>
    <row r="296" spans="1:12" ht="12.75">
      <c r="A296" s="1"/>
      <c r="B296" s="1"/>
      <c r="C296" s="1"/>
      <c r="D296" s="1"/>
      <c r="E296" s="1"/>
      <c r="F296" s="1"/>
      <c r="G296" s="1"/>
      <c r="H296" s="1"/>
      <c r="I296" s="3"/>
      <c r="J296" s="3"/>
      <c r="K296" s="1"/>
      <c r="L296" s="3"/>
    </row>
    <row r="297" spans="1:12" ht="12.75">
      <c r="A297" s="1"/>
      <c r="B297" s="1"/>
      <c r="C297" s="1"/>
      <c r="D297" s="1"/>
      <c r="E297" s="1"/>
      <c r="F297" s="1"/>
      <c r="G297" s="1"/>
      <c r="H297" s="1"/>
      <c r="I297" s="3"/>
      <c r="J297" s="3"/>
      <c r="K297" s="1"/>
      <c r="L297" s="3"/>
    </row>
    <row r="298" spans="1:12" ht="12.75">
      <c r="A298" s="1"/>
      <c r="B298" s="1"/>
      <c r="C298" s="1"/>
      <c r="D298" s="1"/>
      <c r="E298" s="1"/>
      <c r="F298" s="1"/>
      <c r="G298" s="1"/>
      <c r="H298" s="1"/>
      <c r="I298" s="3"/>
      <c r="J298" s="3"/>
      <c r="K298" s="1"/>
      <c r="L298" s="3"/>
    </row>
    <row r="299" spans="1:12" ht="12.75">
      <c r="A299" s="1"/>
      <c r="B299" s="1"/>
      <c r="C299" s="1"/>
      <c r="D299" s="1"/>
      <c r="E299" s="1"/>
      <c r="F299" s="1"/>
      <c r="G299" s="1"/>
      <c r="H299" s="1"/>
      <c r="I299" s="3"/>
      <c r="J299" s="3"/>
      <c r="K299" s="1"/>
      <c r="L299" s="3"/>
    </row>
    <row r="300" spans="1:12" ht="12.75">
      <c r="A300" s="1"/>
      <c r="B300" s="1"/>
      <c r="C300" s="1"/>
      <c r="D300" s="1"/>
      <c r="E300" s="1"/>
      <c r="F300" s="1"/>
      <c r="G300" s="1"/>
      <c r="H300" s="1"/>
      <c r="I300" s="3"/>
      <c r="J300" s="3"/>
      <c r="K300" s="1"/>
      <c r="L300" s="3"/>
    </row>
    <row r="301" spans="1:12" ht="12.75">
      <c r="A301" s="1"/>
      <c r="B301" s="1"/>
      <c r="C301" s="1"/>
      <c r="D301" s="1"/>
      <c r="E301" s="1"/>
      <c r="F301" s="1"/>
      <c r="G301" s="1"/>
      <c r="H301" s="1"/>
      <c r="I301" s="3"/>
      <c r="J301" s="3"/>
      <c r="K301" s="1"/>
      <c r="L301" s="3"/>
    </row>
    <row r="302" spans="1:12" ht="12.75">
      <c r="A302" s="1"/>
      <c r="B302" s="1"/>
      <c r="C302" s="1"/>
      <c r="D302" s="1"/>
      <c r="E302" s="1"/>
      <c r="F302" s="1"/>
      <c r="G302" s="1"/>
      <c r="H302" s="1"/>
      <c r="I302" s="3"/>
      <c r="J302" s="3"/>
      <c r="K302" s="1"/>
      <c r="L302" s="3"/>
    </row>
    <row r="303" spans="1:12" ht="12.75">
      <c r="A303" s="1"/>
      <c r="B303" s="1"/>
      <c r="C303" s="1"/>
      <c r="D303" s="1"/>
      <c r="E303" s="1"/>
      <c r="F303" s="1"/>
      <c r="G303" s="1"/>
      <c r="H303" s="1"/>
      <c r="I303" s="3"/>
      <c r="J303" s="3"/>
      <c r="K303" s="1"/>
      <c r="L303" s="3"/>
    </row>
    <row r="304" spans="1:12" ht="12.75">
      <c r="A304" s="1"/>
      <c r="B304" s="1"/>
      <c r="C304" s="1"/>
      <c r="D304" s="1"/>
      <c r="E304" s="1"/>
      <c r="F304" s="1"/>
      <c r="G304" s="1"/>
      <c r="H304" s="1"/>
      <c r="I304" s="3"/>
      <c r="J304" s="3"/>
      <c r="K304" s="1"/>
      <c r="L304" s="3"/>
    </row>
    <row r="305" spans="1:12" ht="12.75">
      <c r="A305" s="1"/>
      <c r="B305" s="1"/>
      <c r="C305" s="1"/>
      <c r="D305" s="1"/>
      <c r="E305" s="1"/>
      <c r="F305" s="1"/>
      <c r="G305" s="1"/>
      <c r="H305" s="1"/>
      <c r="I305" s="3"/>
      <c r="J305" s="3"/>
      <c r="K305" s="1"/>
      <c r="L305" s="3"/>
    </row>
    <row r="306" spans="1:12" ht="12.75">
      <c r="A306" s="1"/>
      <c r="B306" s="1"/>
      <c r="C306" s="1"/>
      <c r="D306" s="1"/>
      <c r="E306" s="1"/>
      <c r="F306" s="1"/>
      <c r="G306" s="1"/>
      <c r="H306" s="1"/>
      <c r="I306" s="3"/>
      <c r="J306" s="3"/>
      <c r="K306" s="1"/>
      <c r="L306" s="3"/>
    </row>
    <row r="307" spans="1:12" ht="12.75">
      <c r="A307" s="1"/>
      <c r="B307" s="1"/>
      <c r="C307" s="1"/>
      <c r="D307" s="1"/>
      <c r="E307" s="1"/>
      <c r="F307" s="1"/>
      <c r="G307" s="1"/>
      <c r="H307" s="1"/>
      <c r="I307" s="3"/>
      <c r="J307" s="3"/>
      <c r="K307" s="1"/>
      <c r="L307" s="3"/>
    </row>
    <row r="308" spans="1:12" ht="12.75">
      <c r="A308" s="1"/>
      <c r="B308" s="1"/>
      <c r="C308" s="1"/>
      <c r="D308" s="1"/>
      <c r="E308" s="1"/>
      <c r="F308" s="1"/>
      <c r="G308" s="1"/>
      <c r="H308" s="1"/>
      <c r="I308" s="3"/>
      <c r="J308" s="3"/>
      <c r="K308" s="1"/>
      <c r="L308" s="3"/>
    </row>
    <row r="309" spans="1:12" ht="12.75">
      <c r="A309" s="1"/>
      <c r="B309" s="1"/>
      <c r="C309" s="1"/>
      <c r="D309" s="1"/>
      <c r="E309" s="1"/>
      <c r="F309" s="1"/>
      <c r="G309" s="1"/>
      <c r="H309" s="1"/>
      <c r="I309" s="3"/>
      <c r="J309" s="3"/>
      <c r="K309" s="1"/>
      <c r="L309" s="3"/>
    </row>
    <row r="310" spans="1:12" ht="12.75">
      <c r="A310" s="1"/>
      <c r="B310" s="1"/>
      <c r="C310" s="1"/>
      <c r="D310" s="1"/>
      <c r="E310" s="1"/>
      <c r="F310" s="1"/>
      <c r="G310" s="1"/>
      <c r="H310" s="1"/>
      <c r="I310" s="3"/>
      <c r="J310" s="3"/>
      <c r="K310" s="1"/>
      <c r="L310" s="3"/>
    </row>
    <row r="311" spans="1:12" ht="12.75">
      <c r="A311" s="1"/>
      <c r="B311" s="1"/>
      <c r="C311" s="1"/>
      <c r="D311" s="1"/>
      <c r="E311" s="1"/>
      <c r="F311" s="1"/>
      <c r="G311" s="1"/>
      <c r="H311" s="1"/>
      <c r="I311" s="3"/>
      <c r="J311" s="3"/>
      <c r="K311" s="1"/>
      <c r="L311" s="3"/>
    </row>
    <row r="312" spans="1:12" ht="12.75">
      <c r="A312" s="1"/>
      <c r="B312" s="1"/>
      <c r="C312" s="1"/>
      <c r="D312" s="1"/>
      <c r="E312" s="1"/>
      <c r="F312" s="1"/>
      <c r="G312" s="1"/>
      <c r="H312" s="1"/>
      <c r="I312" s="3"/>
      <c r="J312" s="3"/>
      <c r="K312" s="1"/>
      <c r="L312" s="3"/>
    </row>
    <row r="313" spans="1:12" ht="12.75">
      <c r="A313" s="1"/>
      <c r="B313" s="1"/>
      <c r="C313" s="1"/>
      <c r="D313" s="1"/>
      <c r="E313" s="1"/>
      <c r="F313" s="1"/>
      <c r="G313" s="1"/>
      <c r="H313" s="1"/>
      <c r="I313" s="3"/>
      <c r="J313" s="3"/>
      <c r="K313" s="1"/>
      <c r="L313" s="3"/>
    </row>
    <row r="314" spans="1:12" ht="12.75">
      <c r="A314" s="1"/>
      <c r="B314" s="1"/>
      <c r="C314" s="1"/>
      <c r="D314" s="1"/>
      <c r="E314" s="1"/>
      <c r="F314" s="1"/>
      <c r="G314" s="1"/>
      <c r="H314" s="1"/>
      <c r="I314" s="3"/>
      <c r="J314" s="3"/>
      <c r="K314" s="1"/>
      <c r="L314" s="3"/>
    </row>
    <row r="315" spans="1:12" ht="12.75">
      <c r="A315" s="1"/>
      <c r="B315" s="1"/>
      <c r="C315" s="1"/>
      <c r="D315" s="1"/>
      <c r="E315" s="1"/>
      <c r="F315" s="1"/>
      <c r="G315" s="1"/>
      <c r="H315" s="1"/>
      <c r="I315" s="3"/>
      <c r="J315" s="3"/>
      <c r="K315" s="1"/>
      <c r="L315" s="3"/>
    </row>
    <row r="316" spans="1:12" ht="12.75">
      <c r="A316" s="1"/>
      <c r="B316" s="1"/>
      <c r="C316" s="1"/>
      <c r="D316" s="1"/>
      <c r="E316" s="1"/>
      <c r="F316" s="1"/>
      <c r="G316" s="1"/>
      <c r="H316" s="1"/>
      <c r="I316" s="3"/>
      <c r="J316" s="3"/>
      <c r="K316" s="1"/>
      <c r="L316" s="3"/>
    </row>
    <row r="317" spans="1:12" ht="12.75">
      <c r="A317" s="1"/>
      <c r="B317" s="1"/>
      <c r="C317" s="1"/>
      <c r="D317" s="1"/>
      <c r="E317" s="1"/>
      <c r="F317" s="1"/>
      <c r="G317" s="1"/>
      <c r="H317" s="1"/>
      <c r="I317" s="3"/>
      <c r="J317" s="3"/>
      <c r="K317" s="1"/>
      <c r="L317" s="3"/>
    </row>
    <row r="318" spans="1:12" ht="12.75">
      <c r="A318" s="1"/>
      <c r="B318" s="1"/>
      <c r="C318" s="1"/>
      <c r="D318" s="1"/>
      <c r="E318" s="1"/>
      <c r="F318" s="1"/>
      <c r="G318" s="1"/>
      <c r="H318" s="1"/>
      <c r="I318" s="3"/>
      <c r="J318" s="3"/>
      <c r="K318" s="1"/>
      <c r="L318" s="3"/>
    </row>
    <row r="319" spans="1:12" ht="12.75">
      <c r="A319" s="1"/>
      <c r="B319" s="1"/>
      <c r="C319" s="1"/>
      <c r="D319" s="1"/>
      <c r="E319" s="1"/>
      <c r="F319" s="1"/>
      <c r="G319" s="1"/>
      <c r="H319" s="1"/>
      <c r="I319" s="3"/>
      <c r="J319" s="3"/>
      <c r="K319" s="1"/>
      <c r="L319" s="3"/>
    </row>
    <row r="320" spans="1:12" ht="12.75">
      <c r="A320" s="1"/>
      <c r="B320" s="1"/>
      <c r="C320" s="1"/>
      <c r="D320" s="1"/>
      <c r="E320" s="1"/>
      <c r="F320" s="1"/>
      <c r="G320" s="1"/>
      <c r="H320" s="1"/>
      <c r="I320" s="3"/>
      <c r="J320" s="3"/>
      <c r="K320" s="1"/>
      <c r="L320" s="3"/>
    </row>
    <row r="321" spans="1:12" ht="12.75">
      <c r="A321" s="1"/>
      <c r="B321" s="1"/>
      <c r="C321" s="1"/>
      <c r="D321" s="1"/>
      <c r="E321" s="1"/>
      <c r="F321" s="1"/>
      <c r="G321" s="1"/>
      <c r="H321" s="1"/>
      <c r="I321" s="3"/>
      <c r="J321" s="3"/>
      <c r="K321" s="1"/>
      <c r="L321" s="3"/>
    </row>
    <row r="322" spans="1:12" ht="12.75">
      <c r="A322" s="1"/>
      <c r="B322" s="1"/>
      <c r="C322" s="1"/>
      <c r="D322" s="1"/>
      <c r="E322" s="1"/>
      <c r="F322" s="1"/>
      <c r="G322" s="1"/>
      <c r="H322" s="1"/>
      <c r="I322" s="3"/>
      <c r="J322" s="3"/>
      <c r="K322" s="1"/>
      <c r="L322" s="3"/>
    </row>
    <row r="323" spans="1:12" ht="12.75">
      <c r="A323" s="1"/>
      <c r="B323" s="1"/>
      <c r="C323" s="1"/>
      <c r="D323" s="1"/>
      <c r="E323" s="1"/>
      <c r="F323" s="1"/>
      <c r="G323" s="1"/>
      <c r="H323" s="1"/>
      <c r="I323" s="3"/>
      <c r="J323" s="3"/>
      <c r="K323" s="1"/>
      <c r="L323" s="3"/>
    </row>
    <row r="324" spans="1:12" ht="12.75">
      <c r="A324" s="1"/>
      <c r="B324" s="1"/>
      <c r="C324" s="1"/>
      <c r="D324" s="1"/>
      <c r="E324" s="1"/>
      <c r="F324" s="1"/>
      <c r="G324" s="1"/>
      <c r="H324" s="1"/>
      <c r="I324" s="3"/>
      <c r="J324" s="3"/>
      <c r="K324" s="1"/>
      <c r="L324" s="3"/>
    </row>
    <row r="325" spans="1:12" ht="12.75">
      <c r="A325" s="1"/>
      <c r="B325" s="1"/>
      <c r="C325" s="1"/>
      <c r="D325" s="1"/>
      <c r="E325" s="1"/>
      <c r="F325" s="1"/>
      <c r="G325" s="1"/>
      <c r="H325" s="1"/>
      <c r="I325" s="3"/>
      <c r="J325" s="3"/>
      <c r="K325" s="1"/>
      <c r="L325" s="3"/>
    </row>
    <row r="326" spans="1:12" ht="12.75">
      <c r="A326" s="1"/>
      <c r="B326" s="1"/>
      <c r="C326" s="1"/>
      <c r="D326" s="1"/>
      <c r="E326" s="1"/>
      <c r="F326" s="1"/>
      <c r="G326" s="1"/>
      <c r="H326" s="1"/>
      <c r="I326" s="3"/>
      <c r="J326" s="3"/>
      <c r="K326" s="1"/>
      <c r="L326" s="3"/>
    </row>
    <row r="327" spans="1:12" ht="12.75">
      <c r="A327" s="1"/>
      <c r="B327" s="1"/>
      <c r="C327" s="1"/>
      <c r="D327" s="1"/>
      <c r="E327" s="1"/>
      <c r="F327" s="1"/>
      <c r="G327" s="1"/>
      <c r="H327" s="1"/>
      <c r="I327" s="3"/>
      <c r="J327" s="3"/>
      <c r="K327" s="1"/>
      <c r="L327" s="3"/>
    </row>
    <row r="328" spans="1:12" ht="12.75">
      <c r="A328" s="1"/>
      <c r="B328" s="1"/>
      <c r="C328" s="1"/>
      <c r="D328" s="1"/>
      <c r="E328" s="1"/>
      <c r="F328" s="1"/>
      <c r="G328" s="1"/>
      <c r="H328" s="1"/>
      <c r="I328" s="3"/>
      <c r="J328" s="3"/>
      <c r="K328" s="1"/>
      <c r="L328" s="3"/>
    </row>
    <row r="329" spans="1:12" ht="12.75">
      <c r="A329" s="1"/>
      <c r="B329" s="1"/>
      <c r="C329" s="1"/>
      <c r="D329" s="1"/>
      <c r="E329" s="1"/>
      <c r="F329" s="1"/>
      <c r="G329" s="1"/>
      <c r="H329" s="1"/>
      <c r="I329" s="3"/>
      <c r="J329" s="3"/>
      <c r="K329" s="1"/>
      <c r="L329" s="3"/>
    </row>
    <row r="330" spans="1:12" ht="12.75">
      <c r="A330" s="1"/>
      <c r="B330" s="1"/>
      <c r="C330" s="1"/>
      <c r="D330" s="1"/>
      <c r="E330" s="1"/>
      <c r="F330" s="1"/>
      <c r="G330" s="1"/>
      <c r="H330" s="1"/>
      <c r="I330" s="3"/>
      <c r="J330" s="3"/>
      <c r="K330" s="1"/>
      <c r="L330" s="3"/>
    </row>
    <row r="331" spans="1:12" ht="12.75">
      <c r="A331" s="1"/>
      <c r="B331" s="1"/>
      <c r="C331" s="1"/>
      <c r="D331" s="1"/>
      <c r="E331" s="1"/>
      <c r="F331" s="1"/>
      <c r="G331" s="1"/>
      <c r="H331" s="1"/>
      <c r="I331" s="3"/>
      <c r="J331" s="3"/>
      <c r="K331" s="1"/>
      <c r="L331" s="3"/>
    </row>
    <row r="332" spans="1:12" ht="12.75">
      <c r="A332" s="1"/>
      <c r="B332" s="1"/>
      <c r="C332" s="1"/>
      <c r="D332" s="1"/>
      <c r="E332" s="1"/>
      <c r="F332" s="1"/>
      <c r="G332" s="1"/>
      <c r="H332" s="1"/>
      <c r="I332" s="3"/>
      <c r="J332" s="3"/>
      <c r="K332" s="1"/>
      <c r="L332" s="3"/>
    </row>
    <row r="333" spans="1:12" ht="12.75">
      <c r="A333" s="1"/>
      <c r="B333" s="1"/>
      <c r="C333" s="1"/>
      <c r="D333" s="1"/>
      <c r="E333" s="1"/>
      <c r="F333" s="1"/>
      <c r="G333" s="1"/>
      <c r="H333" s="1"/>
      <c r="I333" s="3"/>
      <c r="J333" s="3"/>
      <c r="K333" s="1"/>
      <c r="L333" s="3"/>
    </row>
    <row r="334" spans="1:12" ht="12.75">
      <c r="A334" s="1"/>
      <c r="B334" s="1"/>
      <c r="C334" s="1"/>
      <c r="D334" s="1"/>
      <c r="E334" s="1"/>
      <c r="F334" s="1"/>
      <c r="G334" s="1"/>
      <c r="H334" s="1"/>
      <c r="I334" s="3"/>
      <c r="J334" s="3"/>
      <c r="K334" s="1"/>
      <c r="L334" s="3"/>
    </row>
    <row r="335" spans="1:12" ht="12.75">
      <c r="A335" s="1"/>
      <c r="B335" s="1"/>
      <c r="C335" s="1"/>
      <c r="D335" s="1"/>
      <c r="E335" s="1"/>
      <c r="F335" s="1"/>
      <c r="G335" s="1"/>
      <c r="H335" s="1"/>
      <c r="I335" s="3"/>
      <c r="J335" s="3"/>
      <c r="K335" s="1"/>
      <c r="L335" s="3"/>
    </row>
    <row r="336" spans="1:12" ht="12.75">
      <c r="A336" s="1"/>
      <c r="B336" s="1"/>
      <c r="C336" s="1"/>
      <c r="D336" s="1"/>
      <c r="E336" s="1"/>
      <c r="F336" s="1"/>
      <c r="G336" s="1"/>
      <c r="H336" s="1"/>
      <c r="I336" s="3"/>
      <c r="J336" s="3"/>
      <c r="K336" s="1"/>
      <c r="L336" s="3"/>
    </row>
    <row r="337" spans="1:12" ht="12.75">
      <c r="A337" s="1"/>
      <c r="B337" s="1"/>
      <c r="C337" s="1"/>
      <c r="D337" s="1"/>
      <c r="E337" s="1"/>
      <c r="F337" s="1"/>
      <c r="G337" s="1"/>
      <c r="H337" s="1"/>
      <c r="I337" s="3"/>
      <c r="J337" s="3"/>
      <c r="K337" s="1"/>
      <c r="L337" s="3"/>
    </row>
    <row r="338" spans="1:12" ht="12.75">
      <c r="A338" s="1"/>
      <c r="B338" s="1"/>
      <c r="C338" s="1"/>
      <c r="D338" s="1"/>
      <c r="E338" s="1"/>
      <c r="F338" s="1"/>
      <c r="G338" s="1"/>
      <c r="H338" s="1"/>
      <c r="I338" s="3"/>
      <c r="J338" s="3"/>
      <c r="K338" s="1"/>
      <c r="L338" s="3"/>
    </row>
    <row r="339" spans="1:12" ht="12.75">
      <c r="A339" s="1"/>
      <c r="B339" s="1"/>
      <c r="C339" s="1"/>
      <c r="D339" s="1"/>
      <c r="E339" s="1"/>
      <c r="F339" s="1"/>
      <c r="G339" s="1"/>
      <c r="H339" s="1"/>
      <c r="I339" s="3"/>
      <c r="J339" s="3"/>
      <c r="K339" s="1"/>
      <c r="L339" s="3"/>
    </row>
    <row r="340" spans="1:12" ht="12.75">
      <c r="A340" s="1"/>
      <c r="B340" s="1"/>
      <c r="C340" s="1"/>
      <c r="D340" s="1"/>
      <c r="E340" s="1"/>
      <c r="F340" s="1"/>
      <c r="G340" s="1"/>
      <c r="H340" s="1"/>
      <c r="I340" s="3"/>
      <c r="J340" s="3"/>
      <c r="K340" s="1"/>
      <c r="L340" s="3"/>
    </row>
    <row r="341" spans="1:12" ht="12.75">
      <c r="A341" s="1"/>
      <c r="B341" s="1"/>
      <c r="C341" s="1"/>
      <c r="D341" s="1"/>
      <c r="E341" s="1"/>
      <c r="F341" s="1"/>
      <c r="G341" s="1"/>
      <c r="H341" s="1"/>
      <c r="I341" s="3"/>
      <c r="J341" s="3"/>
      <c r="K341" s="1"/>
      <c r="L341" s="3"/>
    </row>
    <row r="342" spans="1:12" ht="12.75">
      <c r="A342" s="1"/>
      <c r="B342" s="1"/>
      <c r="C342" s="1"/>
      <c r="D342" s="1"/>
      <c r="E342" s="1"/>
      <c r="F342" s="1"/>
      <c r="G342" s="1"/>
      <c r="H342" s="1"/>
      <c r="I342" s="3"/>
      <c r="J342" s="3"/>
      <c r="K342" s="1"/>
      <c r="L342" s="3"/>
    </row>
    <row r="343" spans="1:12" ht="12.75">
      <c r="A343" s="1"/>
      <c r="B343" s="1"/>
      <c r="C343" s="1"/>
      <c r="D343" s="1"/>
      <c r="E343" s="1"/>
      <c r="F343" s="1"/>
      <c r="G343" s="1"/>
      <c r="H343" s="1"/>
      <c r="I343" s="3"/>
      <c r="J343" s="3"/>
      <c r="K343" s="1"/>
      <c r="L343" s="3"/>
    </row>
    <row r="344" spans="1:12" ht="12.75">
      <c r="A344" s="1"/>
      <c r="B344" s="1"/>
      <c r="C344" s="1"/>
      <c r="D344" s="1"/>
      <c r="E344" s="1"/>
      <c r="F344" s="1"/>
      <c r="G344" s="1"/>
      <c r="H344" s="1"/>
      <c r="I344" s="3"/>
      <c r="J344" s="3"/>
      <c r="K344" s="1"/>
      <c r="L344" s="3"/>
    </row>
    <row r="345" spans="1:12" ht="12.75">
      <c r="A345" s="1"/>
      <c r="B345" s="1"/>
      <c r="C345" s="1"/>
      <c r="D345" s="1"/>
      <c r="E345" s="1"/>
      <c r="F345" s="1"/>
      <c r="G345" s="1"/>
      <c r="H345" s="1"/>
      <c r="I345" s="3"/>
      <c r="J345" s="3"/>
      <c r="K345" s="1"/>
      <c r="L345" s="3"/>
    </row>
    <row r="346" spans="1:12" ht="12.75">
      <c r="A346" s="1"/>
      <c r="B346" s="1"/>
      <c r="C346" s="1"/>
      <c r="D346" s="1"/>
      <c r="E346" s="1"/>
      <c r="F346" s="1"/>
      <c r="G346" s="1"/>
      <c r="H346" s="1"/>
      <c r="I346" s="3"/>
      <c r="J346" s="3"/>
      <c r="K346" s="1"/>
      <c r="L346" s="3"/>
    </row>
    <row r="347" spans="1:12" ht="12.75">
      <c r="A347" s="1"/>
      <c r="B347" s="1"/>
      <c r="C347" s="1"/>
      <c r="D347" s="1"/>
      <c r="E347" s="1"/>
      <c r="F347" s="1"/>
      <c r="G347" s="1"/>
      <c r="H347" s="1"/>
      <c r="I347" s="3"/>
      <c r="J347" s="3"/>
      <c r="K347" s="1"/>
      <c r="L347" s="3"/>
    </row>
    <row r="348" spans="1:12" ht="12.75">
      <c r="A348" s="1"/>
      <c r="B348" s="1"/>
      <c r="C348" s="1"/>
      <c r="D348" s="1"/>
      <c r="E348" s="1"/>
      <c r="F348" s="1"/>
      <c r="G348" s="1"/>
      <c r="H348" s="1"/>
      <c r="I348" s="3"/>
      <c r="J348" s="3"/>
      <c r="K348" s="1"/>
      <c r="L348" s="3"/>
    </row>
    <row r="349" spans="1:12" ht="12.75">
      <c r="A349" s="1"/>
      <c r="B349" s="1"/>
      <c r="C349" s="1"/>
      <c r="D349" s="1"/>
      <c r="E349" s="1"/>
      <c r="F349" s="1"/>
      <c r="G349" s="1"/>
      <c r="H349" s="1"/>
      <c r="I349" s="3"/>
      <c r="J349" s="3"/>
      <c r="K349" s="1"/>
      <c r="L349" s="3"/>
    </row>
    <row r="350" spans="1:12" ht="12.75">
      <c r="A350" s="1"/>
      <c r="B350" s="1"/>
      <c r="C350" s="1"/>
      <c r="D350" s="1"/>
      <c r="E350" s="1"/>
      <c r="F350" s="1"/>
      <c r="G350" s="1"/>
      <c r="H350" s="1"/>
      <c r="I350" s="3"/>
      <c r="J350" s="3"/>
      <c r="K350" s="1"/>
      <c r="L350" s="3"/>
    </row>
    <row r="351" spans="1:12" ht="12.75">
      <c r="A351" s="1"/>
      <c r="B351" s="1"/>
      <c r="C351" s="1"/>
      <c r="D351" s="1"/>
      <c r="E351" s="1"/>
      <c r="F351" s="1"/>
      <c r="G351" s="1"/>
      <c r="H351" s="1"/>
      <c r="I351" s="3"/>
      <c r="J351" s="3"/>
      <c r="K351" s="1"/>
      <c r="L351" s="3"/>
    </row>
    <row r="352" spans="1:12" ht="12.75">
      <c r="A352" s="1"/>
      <c r="B352" s="1"/>
      <c r="C352" s="1"/>
      <c r="D352" s="1"/>
      <c r="E352" s="1"/>
      <c r="F352" s="1"/>
      <c r="G352" s="1"/>
      <c r="H352" s="1"/>
      <c r="I352" s="3"/>
      <c r="J352" s="3"/>
      <c r="K352" s="1"/>
      <c r="L352" s="3"/>
    </row>
    <row r="353" spans="1:12" ht="12.75">
      <c r="A353" s="1"/>
      <c r="B353" s="1"/>
      <c r="C353" s="1"/>
      <c r="D353" s="1"/>
      <c r="E353" s="1"/>
      <c r="F353" s="1"/>
      <c r="G353" s="1"/>
      <c r="H353" s="1"/>
      <c r="I353" s="3"/>
      <c r="J353" s="3"/>
      <c r="K353" s="1"/>
      <c r="L353" s="3"/>
    </row>
    <row r="354" spans="1:12" ht="12.75">
      <c r="A354" s="1"/>
      <c r="B354" s="1"/>
      <c r="C354" s="1"/>
      <c r="D354" s="1"/>
      <c r="E354" s="1"/>
      <c r="F354" s="1"/>
      <c r="G354" s="1"/>
      <c r="H354" s="1"/>
      <c r="I354" s="3"/>
      <c r="J354" s="3"/>
      <c r="K354" s="1"/>
      <c r="L354" s="3"/>
    </row>
    <row r="355" spans="1:12" ht="12.75">
      <c r="A355" s="1"/>
      <c r="B355" s="1"/>
      <c r="C355" s="1"/>
      <c r="D355" s="1"/>
      <c r="E355" s="1"/>
      <c r="F355" s="1"/>
      <c r="G355" s="1"/>
      <c r="H355" s="1"/>
      <c r="I355" s="3"/>
      <c r="J355" s="3"/>
      <c r="K355" s="1"/>
      <c r="L355" s="3"/>
    </row>
    <row r="356" spans="1:12" ht="12.75">
      <c r="A356" s="1"/>
      <c r="B356" s="1"/>
      <c r="C356" s="1"/>
      <c r="D356" s="1"/>
      <c r="E356" s="1"/>
      <c r="F356" s="1"/>
      <c r="G356" s="1"/>
      <c r="H356" s="1"/>
      <c r="I356" s="3"/>
      <c r="J356" s="3"/>
      <c r="K356" s="1"/>
      <c r="L356" s="3"/>
    </row>
    <row r="357" spans="1:12" ht="12.75">
      <c r="A357" s="1"/>
      <c r="B357" s="1"/>
      <c r="C357" s="1"/>
      <c r="D357" s="1"/>
      <c r="E357" s="1"/>
      <c r="F357" s="1"/>
      <c r="G357" s="1"/>
      <c r="H357" s="1"/>
      <c r="I357" s="3"/>
      <c r="J357" s="3"/>
      <c r="K357" s="1"/>
      <c r="L357" s="3"/>
    </row>
    <row r="358" spans="1:12" ht="12.75">
      <c r="A358" s="1"/>
      <c r="B358" s="1"/>
      <c r="C358" s="1"/>
      <c r="D358" s="1"/>
      <c r="E358" s="1"/>
      <c r="F358" s="1"/>
      <c r="G358" s="1"/>
      <c r="H358" s="1"/>
      <c r="I358" s="3"/>
      <c r="J358" s="3"/>
      <c r="K358" s="1"/>
      <c r="L358" s="3"/>
    </row>
    <row r="359" spans="1:12" ht="12.75">
      <c r="A359" s="1"/>
      <c r="B359" s="1"/>
      <c r="C359" s="1"/>
      <c r="D359" s="1"/>
      <c r="E359" s="1"/>
      <c r="F359" s="1"/>
      <c r="G359" s="1"/>
      <c r="H359" s="1"/>
      <c r="I359" s="3"/>
      <c r="J359" s="3"/>
      <c r="K359" s="1"/>
      <c r="L359" s="3"/>
    </row>
    <row r="360" spans="1:12" ht="12.75">
      <c r="A360" s="1"/>
      <c r="B360" s="1"/>
      <c r="C360" s="1"/>
      <c r="D360" s="1"/>
      <c r="E360" s="1"/>
      <c r="F360" s="1"/>
      <c r="G360" s="1"/>
      <c r="H360" s="1"/>
      <c r="I360" s="3"/>
      <c r="J360" s="3"/>
      <c r="K360" s="1"/>
      <c r="L360" s="3"/>
    </row>
    <row r="361" spans="1:12" ht="12.75">
      <c r="A361" s="1"/>
      <c r="B361" s="1"/>
      <c r="C361" s="1"/>
      <c r="D361" s="1"/>
      <c r="E361" s="1"/>
      <c r="F361" s="1"/>
      <c r="G361" s="1"/>
      <c r="H361" s="1"/>
      <c r="I361" s="3"/>
      <c r="J361" s="3"/>
      <c r="K361" s="1"/>
      <c r="L361" s="3"/>
    </row>
    <row r="362" spans="1:12" ht="12.75">
      <c r="A362" s="1"/>
      <c r="B362" s="1"/>
      <c r="C362" s="1"/>
      <c r="D362" s="1"/>
      <c r="E362" s="1"/>
      <c r="F362" s="1"/>
      <c r="G362" s="1"/>
      <c r="H362" s="1"/>
      <c r="I362" s="3"/>
      <c r="J362" s="3"/>
      <c r="K362" s="1"/>
      <c r="L362" s="3"/>
    </row>
    <row r="363" spans="1:12" ht="12.75">
      <c r="A363" s="1"/>
      <c r="B363" s="1"/>
      <c r="C363" s="1"/>
      <c r="D363" s="1"/>
      <c r="E363" s="1"/>
      <c r="F363" s="1"/>
      <c r="G363" s="1"/>
      <c r="H363" s="1"/>
      <c r="I363" s="3"/>
      <c r="J363" s="3"/>
      <c r="K363" s="1"/>
      <c r="L363" s="3"/>
    </row>
    <row r="364" spans="1:12" ht="12.75">
      <c r="A364" s="1"/>
      <c r="B364" s="1"/>
      <c r="C364" s="1"/>
      <c r="D364" s="1"/>
      <c r="E364" s="1"/>
      <c r="F364" s="1"/>
      <c r="G364" s="1"/>
      <c r="H364" s="1"/>
      <c r="I364" s="3"/>
      <c r="J364" s="3"/>
      <c r="K364" s="1"/>
      <c r="L364" s="3"/>
    </row>
    <row r="365" spans="1:12" ht="12.75">
      <c r="A365" s="1"/>
      <c r="B365" s="1"/>
      <c r="C365" s="1"/>
      <c r="D365" s="1"/>
      <c r="E365" s="1"/>
      <c r="F365" s="1"/>
      <c r="G365" s="1"/>
      <c r="H365" s="1"/>
      <c r="I365" s="3"/>
      <c r="J365" s="3"/>
      <c r="K365" s="1"/>
      <c r="L365" s="3"/>
    </row>
    <row r="366" spans="1:12" ht="12.75">
      <c r="A366" s="1"/>
      <c r="B366" s="1"/>
      <c r="C366" s="1"/>
      <c r="D366" s="1"/>
      <c r="E366" s="1"/>
      <c r="F366" s="1"/>
      <c r="G366" s="1"/>
      <c r="H366" s="1"/>
      <c r="I366" s="3"/>
      <c r="J366" s="3"/>
      <c r="K366" s="1"/>
      <c r="L366" s="3"/>
    </row>
    <row r="367" spans="1:12" ht="12.75">
      <c r="A367" s="1"/>
      <c r="B367" s="1"/>
      <c r="C367" s="1"/>
      <c r="D367" s="1"/>
      <c r="E367" s="1"/>
      <c r="F367" s="1"/>
      <c r="G367" s="1"/>
      <c r="H367" s="1"/>
      <c r="I367" s="3"/>
      <c r="J367" s="3"/>
      <c r="K367" s="1"/>
      <c r="L367" s="3"/>
    </row>
    <row r="368" spans="1:12" ht="12.75">
      <c r="A368" s="1"/>
      <c r="B368" s="1"/>
      <c r="C368" s="1"/>
      <c r="D368" s="1"/>
      <c r="E368" s="1"/>
      <c r="F368" s="1"/>
      <c r="G368" s="1"/>
      <c r="H368" s="1"/>
      <c r="I368" s="3"/>
      <c r="J368" s="3"/>
      <c r="K368" s="1"/>
      <c r="L368" s="3"/>
    </row>
    <row r="369" spans="1:12" ht="12.75">
      <c r="A369" s="1"/>
      <c r="B369" s="1"/>
      <c r="C369" s="1"/>
      <c r="D369" s="1"/>
      <c r="E369" s="1"/>
      <c r="F369" s="1"/>
      <c r="G369" s="1"/>
      <c r="H369" s="1"/>
      <c r="I369" s="3"/>
      <c r="J369" s="3"/>
      <c r="K369" s="1"/>
      <c r="L369" s="3"/>
    </row>
    <row r="370" spans="1:12" ht="12.75">
      <c r="A370" s="1"/>
      <c r="B370" s="1"/>
      <c r="C370" s="1"/>
      <c r="D370" s="1"/>
      <c r="E370" s="1"/>
      <c r="F370" s="1"/>
      <c r="G370" s="1"/>
      <c r="H370" s="1"/>
      <c r="I370" s="3"/>
      <c r="J370" s="3"/>
      <c r="K370" s="1"/>
      <c r="L370" s="3"/>
    </row>
    <row r="371" spans="1:12" ht="12.75">
      <c r="A371" s="1"/>
      <c r="B371" s="1"/>
      <c r="C371" s="1"/>
      <c r="D371" s="1"/>
      <c r="E371" s="1"/>
      <c r="F371" s="1"/>
      <c r="G371" s="1"/>
      <c r="H371" s="1"/>
      <c r="I371" s="3"/>
      <c r="J371" s="3"/>
      <c r="K371" s="1"/>
      <c r="L371" s="3"/>
    </row>
    <row r="372" spans="1:12" ht="12.75">
      <c r="A372" s="1"/>
      <c r="B372" s="1"/>
      <c r="C372" s="1"/>
      <c r="D372" s="1"/>
      <c r="E372" s="1"/>
      <c r="F372" s="1"/>
      <c r="G372" s="1"/>
      <c r="H372" s="1"/>
      <c r="I372" s="3"/>
      <c r="J372" s="3"/>
      <c r="K372" s="1"/>
      <c r="L372" s="3"/>
    </row>
    <row r="373" spans="1:12" ht="12.75">
      <c r="A373" s="1"/>
      <c r="B373" s="1"/>
      <c r="C373" s="1"/>
      <c r="D373" s="1"/>
      <c r="E373" s="1"/>
      <c r="F373" s="1"/>
      <c r="G373" s="1"/>
      <c r="H373" s="1"/>
      <c r="I373" s="3"/>
      <c r="J373" s="3"/>
      <c r="K373" s="1"/>
      <c r="L373" s="3"/>
    </row>
    <row r="374" spans="1:12" ht="12.75">
      <c r="A374" s="1"/>
      <c r="B374" s="1"/>
      <c r="C374" s="1"/>
      <c r="D374" s="1"/>
      <c r="E374" s="1"/>
      <c r="F374" s="1"/>
      <c r="G374" s="1"/>
      <c r="H374" s="1"/>
      <c r="I374" s="3"/>
      <c r="J374" s="3"/>
      <c r="K374" s="1"/>
      <c r="L374" s="3"/>
    </row>
    <row r="375" spans="1:12" ht="12.75">
      <c r="A375" s="1"/>
      <c r="B375" s="1"/>
      <c r="C375" s="1"/>
      <c r="D375" s="1"/>
      <c r="E375" s="1"/>
      <c r="F375" s="1"/>
      <c r="G375" s="1"/>
      <c r="H375" s="1"/>
      <c r="I375" s="3"/>
      <c r="J375" s="3"/>
      <c r="K375" s="1"/>
      <c r="L375" s="3"/>
    </row>
    <row r="376" spans="1:12" ht="12.75">
      <c r="A376" s="1"/>
      <c r="B376" s="1"/>
      <c r="C376" s="1"/>
      <c r="D376" s="1"/>
      <c r="E376" s="1"/>
      <c r="F376" s="1"/>
      <c r="G376" s="1"/>
      <c r="H376" s="1"/>
      <c r="I376" s="3"/>
      <c r="J376" s="3"/>
      <c r="K376" s="1"/>
      <c r="L376" s="3"/>
    </row>
    <row r="377" spans="1:12" ht="12.75">
      <c r="A377" s="1"/>
      <c r="B377" s="1"/>
      <c r="C377" s="1"/>
      <c r="D377" s="1"/>
      <c r="E377" s="1"/>
      <c r="F377" s="1"/>
      <c r="G377" s="1"/>
      <c r="H377" s="1"/>
      <c r="I377" s="3"/>
      <c r="J377" s="3"/>
      <c r="K377" s="1"/>
      <c r="L377" s="3"/>
    </row>
    <row r="378" spans="1:12" ht="12.75">
      <c r="A378" s="1"/>
      <c r="B378" s="1"/>
      <c r="C378" s="1"/>
      <c r="D378" s="1"/>
      <c r="E378" s="1"/>
      <c r="F378" s="1"/>
      <c r="G378" s="1"/>
      <c r="H378" s="1"/>
      <c r="I378" s="3"/>
      <c r="J378" s="3"/>
      <c r="K378" s="1"/>
      <c r="L378" s="3"/>
    </row>
    <row r="379" spans="1:12" ht="12.75">
      <c r="A379" s="1"/>
      <c r="B379" s="1"/>
      <c r="C379" s="1"/>
      <c r="D379" s="1"/>
      <c r="E379" s="1"/>
      <c r="F379" s="1"/>
      <c r="G379" s="1"/>
      <c r="H379" s="1"/>
      <c r="I379" s="3"/>
      <c r="J379" s="3"/>
      <c r="K379" s="1"/>
      <c r="L379" s="3"/>
    </row>
    <row r="380" spans="1:12" ht="12.75">
      <c r="A380" s="1"/>
      <c r="B380" s="1"/>
      <c r="C380" s="1"/>
      <c r="D380" s="1"/>
      <c r="E380" s="1"/>
      <c r="F380" s="1"/>
      <c r="G380" s="1"/>
      <c r="H380" s="1"/>
      <c r="I380" s="3"/>
      <c r="J380" s="3"/>
      <c r="K380" s="1"/>
      <c r="L380" s="3"/>
    </row>
    <row r="381" spans="1:12" ht="12.75">
      <c r="A381" s="1"/>
      <c r="B381" s="1"/>
      <c r="C381" s="1"/>
      <c r="D381" s="1"/>
      <c r="E381" s="1"/>
      <c r="F381" s="1"/>
      <c r="G381" s="1"/>
      <c r="H381" s="1"/>
      <c r="I381" s="3"/>
      <c r="J381" s="3"/>
      <c r="K381" s="1"/>
      <c r="L381" s="3"/>
    </row>
    <row r="382" spans="1:12" ht="12.75">
      <c r="A382" s="1"/>
      <c r="B382" s="1"/>
      <c r="C382" s="1"/>
      <c r="D382" s="1"/>
      <c r="E382" s="1"/>
      <c r="F382" s="1"/>
      <c r="G382" s="1"/>
      <c r="H382" s="1"/>
      <c r="I382" s="3"/>
      <c r="J382" s="3"/>
      <c r="K382" s="1"/>
      <c r="L382" s="3"/>
    </row>
    <row r="383" spans="1:12" ht="12.75">
      <c r="A383" s="1"/>
      <c r="B383" s="1"/>
      <c r="C383" s="1"/>
      <c r="D383" s="1"/>
      <c r="E383" s="1"/>
      <c r="F383" s="1"/>
      <c r="G383" s="1"/>
      <c r="H383" s="1"/>
      <c r="I383" s="3"/>
      <c r="J383" s="3"/>
      <c r="K383" s="1"/>
      <c r="L383" s="3"/>
    </row>
    <row r="384" spans="1:12" ht="12.75">
      <c r="A384" s="1"/>
      <c r="B384" s="1"/>
      <c r="C384" s="1"/>
      <c r="D384" s="1"/>
      <c r="E384" s="1"/>
      <c r="F384" s="1"/>
      <c r="G384" s="1"/>
      <c r="H384" s="1"/>
      <c r="I384" s="3"/>
      <c r="J384" s="3"/>
      <c r="K384" s="1"/>
      <c r="L384" s="3"/>
    </row>
    <row r="385" spans="1:12" ht="12.75">
      <c r="A385" s="1"/>
      <c r="B385" s="1"/>
      <c r="C385" s="1"/>
      <c r="D385" s="1"/>
      <c r="E385" s="1"/>
      <c r="F385" s="1"/>
      <c r="G385" s="1"/>
      <c r="H385" s="1"/>
      <c r="I385" s="3"/>
      <c r="J385" s="3"/>
      <c r="K385" s="1"/>
      <c r="L385" s="3"/>
    </row>
    <row r="386" spans="1:12" ht="12.75">
      <c r="A386" s="1"/>
      <c r="B386" s="1"/>
      <c r="C386" s="1"/>
      <c r="D386" s="1"/>
      <c r="E386" s="1"/>
      <c r="F386" s="1"/>
      <c r="G386" s="1"/>
      <c r="H386" s="1"/>
      <c r="I386" s="3"/>
      <c r="J386" s="3"/>
      <c r="K386" s="1"/>
      <c r="L386" s="3"/>
    </row>
    <row r="387" spans="1:12" ht="12.75">
      <c r="A387" s="1"/>
      <c r="B387" s="1"/>
      <c r="C387" s="1"/>
      <c r="D387" s="1"/>
      <c r="E387" s="1"/>
      <c r="F387" s="1"/>
      <c r="G387" s="1"/>
      <c r="H387" s="1"/>
      <c r="I387" s="3"/>
      <c r="J387" s="3"/>
      <c r="K387" s="1"/>
      <c r="L387" s="3"/>
    </row>
    <row r="388" spans="1:12" ht="12.75">
      <c r="A388" s="1"/>
      <c r="B388" s="1"/>
      <c r="C388" s="1"/>
      <c r="D388" s="1"/>
      <c r="E388" s="1"/>
      <c r="F388" s="1"/>
      <c r="G388" s="1"/>
      <c r="H388" s="1"/>
      <c r="I388" s="3"/>
      <c r="J388" s="3"/>
      <c r="K388" s="1"/>
      <c r="L388" s="3"/>
    </row>
    <row r="389" spans="1:12" ht="12.75">
      <c r="A389" s="1"/>
      <c r="B389" s="1"/>
      <c r="C389" s="1"/>
      <c r="D389" s="1"/>
      <c r="E389" s="1"/>
      <c r="F389" s="1"/>
      <c r="G389" s="1"/>
      <c r="H389" s="1"/>
      <c r="I389" s="3"/>
      <c r="J389" s="3"/>
      <c r="K389" s="1"/>
      <c r="L389" s="3"/>
    </row>
    <row r="390" spans="1:12" ht="12.75">
      <c r="A390" s="1"/>
      <c r="B390" s="1"/>
      <c r="C390" s="1"/>
      <c r="D390" s="1"/>
      <c r="E390" s="1"/>
      <c r="F390" s="1"/>
      <c r="G390" s="1"/>
      <c r="H390" s="1"/>
      <c r="I390" s="3"/>
      <c r="J390" s="3"/>
      <c r="K390" s="1"/>
      <c r="L390" s="3"/>
    </row>
    <row r="391" spans="1:12" ht="12.75">
      <c r="A391" s="1"/>
      <c r="B391" s="1"/>
      <c r="C391" s="1"/>
      <c r="D391" s="1"/>
      <c r="E391" s="1"/>
      <c r="F391" s="1"/>
      <c r="G391" s="1"/>
      <c r="H391" s="1"/>
      <c r="I391" s="3"/>
      <c r="J391" s="3"/>
      <c r="K391" s="1"/>
      <c r="L391" s="3"/>
    </row>
    <row r="392" spans="1:12" ht="12.75">
      <c r="A392" s="1"/>
      <c r="B392" s="1"/>
      <c r="C392" s="1"/>
      <c r="D392" s="1"/>
      <c r="E392" s="1"/>
      <c r="F392" s="1"/>
      <c r="G392" s="1"/>
      <c r="H392" s="1"/>
      <c r="I392" s="3"/>
      <c r="J392" s="3"/>
      <c r="K392" s="1"/>
      <c r="L392" s="3"/>
    </row>
    <row r="393" spans="1:12" ht="12.75">
      <c r="A393" s="1"/>
      <c r="B393" s="1"/>
      <c r="C393" s="1"/>
      <c r="D393" s="1"/>
      <c r="E393" s="1"/>
      <c r="F393" s="1"/>
      <c r="G393" s="1"/>
      <c r="H393" s="1"/>
      <c r="I393" s="3"/>
      <c r="J393" s="3"/>
      <c r="K393" s="1"/>
      <c r="L393" s="3"/>
    </row>
    <row r="394" spans="1:12" ht="12.75">
      <c r="A394" s="1"/>
      <c r="B394" s="1"/>
      <c r="C394" s="1"/>
      <c r="D394" s="1"/>
      <c r="E394" s="1"/>
      <c r="F394" s="1"/>
      <c r="G394" s="1"/>
      <c r="H394" s="1"/>
      <c r="I394" s="3"/>
      <c r="J394" s="3"/>
      <c r="K394" s="1"/>
      <c r="L394" s="3"/>
    </row>
    <row r="395" spans="1:12" ht="12.75">
      <c r="A395" s="1"/>
      <c r="B395" s="1"/>
      <c r="C395" s="1"/>
      <c r="D395" s="1"/>
      <c r="E395" s="1"/>
      <c r="F395" s="1"/>
      <c r="G395" s="1"/>
      <c r="H395" s="1"/>
      <c r="I395" s="3"/>
      <c r="J395" s="3"/>
      <c r="K395" s="1"/>
      <c r="L395" s="3"/>
    </row>
    <row r="396" spans="1:12" ht="12.75">
      <c r="A396" s="1"/>
      <c r="B396" s="1"/>
      <c r="C396" s="1"/>
      <c r="D396" s="1"/>
      <c r="E396" s="1"/>
      <c r="F396" s="1"/>
      <c r="G396" s="1"/>
      <c r="H396" s="1"/>
      <c r="I396" s="3"/>
      <c r="J396" s="3"/>
      <c r="K396" s="1"/>
      <c r="L396" s="3"/>
    </row>
    <row r="397" spans="1:12" ht="12.75">
      <c r="A397" s="1"/>
      <c r="B397" s="1"/>
      <c r="C397" s="1"/>
      <c r="D397" s="1"/>
      <c r="E397" s="1"/>
      <c r="F397" s="1"/>
      <c r="G397" s="1"/>
      <c r="H397" s="1"/>
      <c r="I397" s="3"/>
      <c r="J397" s="3"/>
      <c r="K397" s="1"/>
      <c r="L397" s="3"/>
    </row>
    <row r="398" spans="1:12" ht="12.75">
      <c r="A398" s="1"/>
      <c r="B398" s="1"/>
      <c r="C398" s="1"/>
      <c r="D398" s="1"/>
      <c r="E398" s="1"/>
      <c r="F398" s="1"/>
      <c r="G398" s="1"/>
      <c r="H398" s="1"/>
      <c r="I398" s="3"/>
      <c r="J398" s="3"/>
      <c r="K398" s="1"/>
      <c r="L398" s="3"/>
    </row>
    <row r="399" spans="1:12" ht="12.75">
      <c r="A399" s="1"/>
      <c r="B399" s="1"/>
      <c r="C399" s="1"/>
      <c r="D399" s="1"/>
      <c r="E399" s="1"/>
      <c r="F399" s="1"/>
      <c r="G399" s="1"/>
      <c r="H399" s="1"/>
      <c r="I399" s="3"/>
      <c r="J399" s="3"/>
      <c r="K399" s="1"/>
      <c r="L399" s="3"/>
    </row>
    <row r="400" spans="1:12" ht="12.75">
      <c r="A400" s="1"/>
      <c r="B400" s="1"/>
      <c r="C400" s="1"/>
      <c r="D400" s="1"/>
      <c r="E400" s="1"/>
      <c r="F400" s="1"/>
      <c r="G400" s="1"/>
      <c r="H400" s="1"/>
      <c r="I400" s="3"/>
      <c r="J400" s="3"/>
      <c r="K400" s="1"/>
      <c r="L400" s="3"/>
    </row>
    <row r="401" spans="1:12" ht="12.75">
      <c r="A401" s="1"/>
      <c r="B401" s="1"/>
      <c r="C401" s="1"/>
      <c r="D401" s="1"/>
      <c r="E401" s="1"/>
      <c r="F401" s="1"/>
      <c r="G401" s="1"/>
      <c r="H401" s="1"/>
      <c r="I401" s="3"/>
      <c r="J401" s="3"/>
      <c r="K401" s="1"/>
      <c r="L401" s="3"/>
    </row>
    <row r="402" spans="1:12" ht="12.75">
      <c r="A402" s="1"/>
      <c r="B402" s="1"/>
      <c r="C402" s="1"/>
      <c r="D402" s="1"/>
      <c r="E402" s="1"/>
      <c r="F402" s="1"/>
      <c r="G402" s="1"/>
      <c r="H402" s="1"/>
      <c r="I402" s="3"/>
      <c r="J402" s="3"/>
      <c r="K402" s="1"/>
      <c r="L402" s="3"/>
    </row>
    <row r="403" spans="1:12" ht="12.75">
      <c r="A403" s="1"/>
      <c r="B403" s="1"/>
      <c r="C403" s="1"/>
      <c r="D403" s="1"/>
      <c r="E403" s="1"/>
      <c r="F403" s="1"/>
      <c r="G403" s="1"/>
      <c r="H403" s="1"/>
      <c r="I403" s="3"/>
      <c r="J403" s="3"/>
      <c r="K403" s="1"/>
      <c r="L403" s="3"/>
    </row>
    <row r="404" spans="1:12" ht="12.75">
      <c r="A404" s="1"/>
      <c r="B404" s="1"/>
      <c r="C404" s="1"/>
      <c r="D404" s="1"/>
      <c r="E404" s="1"/>
      <c r="F404" s="1"/>
      <c r="G404" s="1"/>
      <c r="H404" s="1"/>
      <c r="I404" s="3"/>
      <c r="J404" s="3"/>
      <c r="K404" s="1"/>
      <c r="L404" s="3"/>
    </row>
    <row r="405" spans="1:12" ht="12.75">
      <c r="A405" s="1"/>
      <c r="B405" s="1"/>
      <c r="C405" s="1"/>
      <c r="D405" s="1"/>
      <c r="E405" s="1"/>
      <c r="F405" s="1"/>
      <c r="G405" s="1"/>
      <c r="H405" s="1"/>
      <c r="I405" s="3"/>
      <c r="J405" s="3"/>
      <c r="K405" s="1"/>
      <c r="L405" s="3"/>
    </row>
    <row r="406" spans="1:12" ht="12.75">
      <c r="A406" s="1"/>
      <c r="B406" s="1"/>
      <c r="C406" s="1"/>
      <c r="D406" s="1"/>
      <c r="E406" s="1"/>
      <c r="F406" s="1"/>
      <c r="G406" s="1"/>
      <c r="H406" s="1"/>
      <c r="I406" s="3"/>
      <c r="J406" s="3"/>
      <c r="K406" s="1"/>
      <c r="L406" s="3"/>
    </row>
    <row r="407" spans="1:12" ht="12.75">
      <c r="A407" s="1"/>
      <c r="B407" s="1"/>
      <c r="C407" s="1"/>
      <c r="D407" s="1"/>
      <c r="E407" s="1"/>
      <c r="F407" s="1"/>
      <c r="G407" s="1"/>
      <c r="H407" s="1"/>
      <c r="I407" s="3"/>
      <c r="J407" s="3"/>
      <c r="K407" s="1"/>
      <c r="L407" s="3"/>
    </row>
    <row r="408" spans="1:12" ht="12.75">
      <c r="A408" s="1"/>
      <c r="B408" s="1"/>
      <c r="C408" s="1"/>
      <c r="D408" s="1"/>
      <c r="E408" s="1"/>
      <c r="F408" s="1"/>
      <c r="G408" s="1"/>
      <c r="H408" s="1"/>
      <c r="I408" s="3"/>
      <c r="J408" s="3"/>
      <c r="K408" s="1"/>
      <c r="L408" s="3"/>
    </row>
    <row r="409" spans="1:12" ht="12.75">
      <c r="A409" s="1"/>
      <c r="B409" s="1"/>
      <c r="C409" s="1"/>
      <c r="D409" s="1"/>
      <c r="E409" s="1"/>
      <c r="F409" s="1"/>
      <c r="G409" s="1"/>
      <c r="H409" s="1"/>
      <c r="I409" s="3"/>
      <c r="J409" s="3"/>
      <c r="K409" s="1"/>
      <c r="L409" s="3"/>
    </row>
    <row r="410" spans="1:12" ht="12.75">
      <c r="A410" s="1"/>
      <c r="B410" s="1"/>
      <c r="C410" s="1"/>
      <c r="D410" s="1"/>
      <c r="E410" s="1"/>
      <c r="F410" s="1"/>
      <c r="G410" s="1"/>
      <c r="H410" s="1"/>
      <c r="I410" s="3"/>
      <c r="J410" s="3"/>
      <c r="K410" s="1"/>
      <c r="L410" s="3"/>
    </row>
    <row r="411" spans="1:12" ht="12.75">
      <c r="A411" s="1"/>
      <c r="B411" s="1"/>
      <c r="C411" s="1"/>
      <c r="D411" s="1"/>
      <c r="E411" s="1"/>
      <c r="F411" s="1"/>
      <c r="G411" s="1"/>
      <c r="H411" s="1"/>
      <c r="I411" s="3"/>
      <c r="J411" s="3"/>
      <c r="K411" s="1"/>
      <c r="L411" s="3"/>
    </row>
    <row r="412" spans="1:12" ht="12.75">
      <c r="A412" s="1"/>
      <c r="B412" s="1"/>
      <c r="C412" s="1"/>
      <c r="D412" s="1"/>
      <c r="E412" s="1"/>
      <c r="F412" s="1"/>
      <c r="G412" s="1"/>
      <c r="H412" s="1"/>
      <c r="I412" s="3"/>
      <c r="J412" s="3"/>
      <c r="K412" s="1"/>
      <c r="L412" s="3"/>
    </row>
    <row r="413" spans="1:12" ht="12.75">
      <c r="A413" s="1"/>
      <c r="B413" s="1"/>
      <c r="C413" s="1"/>
      <c r="D413" s="1"/>
      <c r="E413" s="1"/>
      <c r="F413" s="1"/>
      <c r="G413" s="1"/>
      <c r="H413" s="1"/>
      <c r="I413" s="3"/>
      <c r="J413" s="3"/>
      <c r="K413" s="1"/>
      <c r="L413" s="3"/>
    </row>
    <row r="414" spans="1:12" ht="12.75">
      <c r="A414" s="1"/>
      <c r="B414" s="1"/>
      <c r="C414" s="1"/>
      <c r="D414" s="1"/>
      <c r="E414" s="1"/>
      <c r="F414" s="1"/>
      <c r="G414" s="1"/>
      <c r="H414" s="1"/>
      <c r="I414" s="3"/>
      <c r="J414" s="3"/>
      <c r="K414" s="1"/>
      <c r="L414" s="3"/>
    </row>
    <row r="415" spans="1:12" ht="12.75">
      <c r="A415" s="1"/>
      <c r="B415" s="1"/>
      <c r="C415" s="1"/>
      <c r="D415" s="1"/>
      <c r="E415" s="1"/>
      <c r="F415" s="1"/>
      <c r="G415" s="1"/>
      <c r="H415" s="1"/>
      <c r="I415" s="3"/>
      <c r="J415" s="3"/>
      <c r="K415" s="1"/>
      <c r="L415" s="3"/>
    </row>
    <row r="416" spans="1:12" ht="12.75">
      <c r="A416" s="1"/>
      <c r="B416" s="1"/>
      <c r="C416" s="1"/>
      <c r="D416" s="1"/>
      <c r="E416" s="1"/>
      <c r="F416" s="1"/>
      <c r="G416" s="1"/>
      <c r="H416" s="1"/>
      <c r="I416" s="3"/>
      <c r="J416" s="3"/>
      <c r="K416" s="1"/>
      <c r="L416" s="3"/>
    </row>
    <row r="417" spans="1:12" ht="12.75">
      <c r="A417" s="1"/>
      <c r="B417" s="1"/>
      <c r="C417" s="1"/>
      <c r="D417" s="1"/>
      <c r="E417" s="1"/>
      <c r="F417" s="1"/>
      <c r="G417" s="1"/>
      <c r="H417" s="1"/>
      <c r="I417" s="3"/>
      <c r="J417" s="3"/>
      <c r="K417" s="1"/>
      <c r="L417" s="3"/>
    </row>
    <row r="418" spans="1:12" ht="12.75">
      <c r="A418" s="1"/>
      <c r="B418" s="1"/>
      <c r="C418" s="1"/>
      <c r="D418" s="1"/>
      <c r="E418" s="1"/>
      <c r="F418" s="1"/>
      <c r="G418" s="1"/>
      <c r="H418" s="1"/>
      <c r="I418" s="3"/>
      <c r="J418" s="3"/>
      <c r="K418" s="1"/>
      <c r="L418" s="3"/>
    </row>
    <row r="419" spans="1:12" ht="12.75">
      <c r="A419" s="1"/>
      <c r="B419" s="1"/>
      <c r="C419" s="1"/>
      <c r="D419" s="1"/>
      <c r="E419" s="1"/>
      <c r="F419" s="1"/>
      <c r="G419" s="1"/>
      <c r="H419" s="1"/>
      <c r="I419" s="3"/>
      <c r="J419" s="3"/>
      <c r="K419" s="1"/>
      <c r="L419" s="3"/>
    </row>
    <row r="420" spans="1:12" ht="12.75">
      <c r="A420" s="1"/>
      <c r="B420" s="1"/>
      <c r="C420" s="1"/>
      <c r="D420" s="1"/>
      <c r="E420" s="1"/>
      <c r="F420" s="1"/>
      <c r="G420" s="1"/>
      <c r="H420" s="1"/>
      <c r="I420" s="3"/>
      <c r="J420" s="3"/>
      <c r="K420" s="1"/>
      <c r="L420" s="3"/>
    </row>
    <row r="421" spans="1:12" ht="12.75">
      <c r="A421" s="1"/>
      <c r="B421" s="1"/>
      <c r="C421" s="1"/>
      <c r="D421" s="1"/>
      <c r="E421" s="1"/>
      <c r="F421" s="1"/>
      <c r="G421" s="1"/>
      <c r="H421" s="1"/>
      <c r="I421" s="3"/>
      <c r="J421" s="3"/>
      <c r="K421" s="1"/>
      <c r="L421" s="3"/>
    </row>
    <row r="422" spans="1:12" ht="12.75">
      <c r="A422" s="1"/>
      <c r="B422" s="1"/>
      <c r="C422" s="1"/>
      <c r="D422" s="1"/>
      <c r="E422" s="1"/>
      <c r="F422" s="1"/>
      <c r="G422" s="1"/>
      <c r="H422" s="1"/>
      <c r="I422" s="3"/>
      <c r="J422" s="3"/>
      <c r="K422" s="1"/>
      <c r="L422" s="3"/>
    </row>
    <row r="423" spans="1:12" ht="12.75">
      <c r="A423" s="1"/>
      <c r="B423" s="1"/>
      <c r="C423" s="1"/>
      <c r="D423" s="1"/>
      <c r="E423" s="1"/>
      <c r="F423" s="1"/>
      <c r="G423" s="1"/>
      <c r="H423" s="1"/>
      <c r="I423" s="3"/>
      <c r="J423" s="3"/>
      <c r="K423" s="1"/>
      <c r="L423" s="3"/>
    </row>
    <row r="424" spans="1:12" ht="12.75">
      <c r="A424" s="1"/>
      <c r="B424" s="1"/>
      <c r="C424" s="1"/>
      <c r="D424" s="1"/>
      <c r="E424" s="1"/>
      <c r="F424" s="1"/>
      <c r="G424" s="1"/>
      <c r="H424" s="1"/>
      <c r="I424" s="3"/>
      <c r="J424" s="3"/>
      <c r="K424" s="1"/>
      <c r="L424" s="3"/>
    </row>
    <row r="425" spans="1:12" ht="12.75">
      <c r="A425" s="1"/>
      <c r="B425" s="1"/>
      <c r="C425" s="1"/>
      <c r="D425" s="1"/>
      <c r="E425" s="1"/>
      <c r="F425" s="1"/>
      <c r="G425" s="1"/>
      <c r="H425" s="1"/>
      <c r="I425" s="3"/>
      <c r="J425" s="3"/>
      <c r="K425" s="1"/>
      <c r="L425" s="3"/>
    </row>
    <row r="426" spans="1:12" ht="12.75">
      <c r="A426" s="1"/>
      <c r="B426" s="1"/>
      <c r="C426" s="1"/>
      <c r="D426" s="1"/>
      <c r="E426" s="1"/>
      <c r="F426" s="1"/>
      <c r="G426" s="1"/>
      <c r="H426" s="1"/>
      <c r="I426" s="3"/>
      <c r="J426" s="3"/>
      <c r="K426" s="1"/>
      <c r="L426" s="3"/>
    </row>
    <row r="427" spans="1:12" ht="12.75">
      <c r="A427" s="1"/>
      <c r="B427" s="1"/>
      <c r="C427" s="1"/>
      <c r="D427" s="1"/>
      <c r="E427" s="1"/>
      <c r="F427" s="1"/>
      <c r="G427" s="1"/>
      <c r="H427" s="1"/>
      <c r="I427" s="3"/>
      <c r="J427" s="3"/>
      <c r="K427" s="1"/>
      <c r="L427" s="3"/>
    </row>
    <row r="428" spans="1:12" ht="12.75">
      <c r="A428" s="1"/>
      <c r="B428" s="1"/>
      <c r="C428" s="1"/>
      <c r="D428" s="1"/>
      <c r="E428" s="1"/>
      <c r="F428" s="1"/>
      <c r="G428" s="1"/>
      <c r="H428" s="1"/>
      <c r="I428" s="3"/>
      <c r="J428" s="3"/>
      <c r="K428" s="1"/>
      <c r="L428" s="3"/>
    </row>
    <row r="429" spans="1:12" ht="12.75">
      <c r="A429" s="1"/>
      <c r="B429" s="1"/>
      <c r="C429" s="1"/>
      <c r="D429" s="1"/>
      <c r="E429" s="1"/>
      <c r="F429" s="1"/>
      <c r="G429" s="1"/>
      <c r="H429" s="1"/>
      <c r="I429" s="3"/>
      <c r="J429" s="3"/>
      <c r="K429" s="1"/>
      <c r="L429" s="3"/>
    </row>
    <row r="430" spans="1:12" ht="12.75">
      <c r="A430" s="1"/>
      <c r="B430" s="1"/>
      <c r="C430" s="1"/>
      <c r="D430" s="1"/>
      <c r="E430" s="1"/>
      <c r="F430" s="1"/>
      <c r="G430" s="1"/>
      <c r="H430" s="1"/>
      <c r="I430" s="3"/>
      <c r="J430" s="3"/>
      <c r="K430" s="1"/>
      <c r="L430" s="3"/>
    </row>
    <row r="431" spans="1:12" ht="12.75">
      <c r="A431" s="1"/>
      <c r="B431" s="1"/>
      <c r="C431" s="1"/>
      <c r="D431" s="1"/>
      <c r="E431" s="1"/>
      <c r="F431" s="1"/>
      <c r="G431" s="1"/>
      <c r="H431" s="1"/>
      <c r="I431" s="3"/>
      <c r="J431" s="3"/>
      <c r="K431" s="1"/>
      <c r="L431" s="3"/>
    </row>
    <row r="432" spans="1:12" ht="12.75">
      <c r="A432" s="1"/>
      <c r="B432" s="1"/>
      <c r="C432" s="1"/>
      <c r="D432" s="1"/>
      <c r="E432" s="1"/>
      <c r="F432" s="1"/>
      <c r="G432" s="1"/>
      <c r="H432" s="1"/>
      <c r="I432" s="3"/>
      <c r="J432" s="3"/>
      <c r="K432" s="1"/>
      <c r="L432" s="3"/>
    </row>
    <row r="433" spans="1:12" ht="12.75">
      <c r="A433" s="1"/>
      <c r="B433" s="1"/>
      <c r="C433" s="1"/>
      <c r="D433" s="1"/>
      <c r="E433" s="1"/>
      <c r="F433" s="1"/>
      <c r="G433" s="1"/>
      <c r="H433" s="1"/>
      <c r="I433" s="3"/>
      <c r="J433" s="3"/>
      <c r="K433" s="1"/>
      <c r="L433" s="3"/>
    </row>
    <row r="434" spans="1:12" ht="12.75">
      <c r="A434" s="1"/>
      <c r="B434" s="1"/>
      <c r="C434" s="1"/>
      <c r="D434" s="1"/>
      <c r="E434" s="1"/>
      <c r="F434" s="1"/>
      <c r="G434" s="1"/>
      <c r="H434" s="1"/>
      <c r="I434" s="3"/>
      <c r="J434" s="3"/>
      <c r="K434" s="1"/>
      <c r="L434" s="3"/>
    </row>
    <row r="435" spans="1:12" ht="12.75">
      <c r="A435" s="1"/>
      <c r="B435" s="1"/>
      <c r="C435" s="1"/>
      <c r="D435" s="1"/>
      <c r="E435" s="1"/>
      <c r="F435" s="1"/>
      <c r="G435" s="1"/>
      <c r="H435" s="1"/>
      <c r="I435" s="3"/>
      <c r="J435" s="3"/>
      <c r="K435" s="1"/>
      <c r="L435" s="3"/>
    </row>
    <row r="436" spans="1:12" ht="12.75">
      <c r="A436" s="1"/>
      <c r="B436" s="1"/>
      <c r="C436" s="1"/>
      <c r="D436" s="1"/>
      <c r="E436" s="1"/>
      <c r="F436" s="1"/>
      <c r="G436" s="1"/>
      <c r="H436" s="1"/>
      <c r="I436" s="3"/>
      <c r="J436" s="3"/>
      <c r="K436" s="1"/>
      <c r="L436" s="3"/>
    </row>
    <row r="437" spans="1:12" ht="12.75">
      <c r="A437" s="1"/>
      <c r="B437" s="1"/>
      <c r="C437" s="1"/>
      <c r="D437" s="1"/>
      <c r="E437" s="1"/>
      <c r="F437" s="1"/>
      <c r="G437" s="1"/>
      <c r="H437" s="1"/>
      <c r="I437" s="3"/>
      <c r="J437" s="3"/>
      <c r="K437" s="1"/>
      <c r="L437" s="3"/>
    </row>
    <row r="438" spans="1:12" ht="12.75">
      <c r="A438" s="1"/>
      <c r="B438" s="1"/>
      <c r="C438" s="1"/>
      <c r="D438" s="1"/>
      <c r="E438" s="1"/>
      <c r="F438" s="1"/>
      <c r="G438" s="1"/>
      <c r="H438" s="1"/>
      <c r="I438" s="3"/>
      <c r="J438" s="3"/>
      <c r="K438" s="1"/>
      <c r="L438" s="3"/>
    </row>
    <row r="439" spans="1:12" ht="12.75">
      <c r="A439" s="1"/>
      <c r="B439" s="1"/>
      <c r="C439" s="1"/>
      <c r="D439" s="1"/>
      <c r="E439" s="1"/>
      <c r="F439" s="1"/>
      <c r="G439" s="1"/>
      <c r="H439" s="1"/>
      <c r="I439" s="3"/>
      <c r="J439" s="3"/>
      <c r="K439" s="1"/>
      <c r="L439" s="3"/>
    </row>
    <row r="440" spans="1:12" ht="12.75">
      <c r="A440" s="1"/>
      <c r="B440" s="1"/>
      <c r="C440" s="1"/>
      <c r="D440" s="1"/>
      <c r="E440" s="1"/>
      <c r="F440" s="1"/>
      <c r="G440" s="1"/>
      <c r="H440" s="1"/>
      <c r="I440" s="3"/>
      <c r="J440" s="3"/>
      <c r="K440" s="1"/>
      <c r="L440" s="3"/>
    </row>
    <row r="441" spans="1:12" ht="12.75">
      <c r="A441" s="1"/>
      <c r="B441" s="1"/>
      <c r="C441" s="1"/>
      <c r="D441" s="1"/>
      <c r="E441" s="1"/>
      <c r="F441" s="1"/>
      <c r="G441" s="1"/>
      <c r="H441" s="1"/>
      <c r="I441" s="3"/>
      <c r="J441" s="3"/>
      <c r="K441" s="1"/>
      <c r="L441" s="3"/>
    </row>
    <row r="442" spans="1:12" ht="12.75">
      <c r="A442" s="1"/>
      <c r="B442" s="1"/>
      <c r="C442" s="1"/>
      <c r="D442" s="1"/>
      <c r="E442" s="1"/>
      <c r="F442" s="1"/>
      <c r="G442" s="1"/>
      <c r="H442" s="1"/>
      <c r="I442" s="3"/>
      <c r="J442" s="3"/>
      <c r="K442" s="1"/>
      <c r="L442" s="3"/>
    </row>
    <row r="443" spans="1:12" ht="12.75">
      <c r="A443" s="1"/>
      <c r="B443" s="1"/>
      <c r="C443" s="1"/>
      <c r="D443" s="1"/>
      <c r="E443" s="1"/>
      <c r="F443" s="1"/>
      <c r="G443" s="1"/>
      <c r="H443" s="1"/>
      <c r="I443" s="3"/>
      <c r="J443" s="3"/>
      <c r="K443" s="1"/>
      <c r="L443" s="3"/>
    </row>
    <row r="444" spans="1:12" ht="12.75">
      <c r="A444" s="1"/>
      <c r="B444" s="1"/>
      <c r="C444" s="1"/>
      <c r="D444" s="1"/>
      <c r="E444" s="1"/>
      <c r="F444" s="1"/>
      <c r="G444" s="1"/>
      <c r="H444" s="1"/>
      <c r="I444" s="3"/>
      <c r="J444" s="3"/>
      <c r="K444" s="1"/>
      <c r="L444" s="3"/>
    </row>
    <row r="445" spans="1:12" ht="12.75">
      <c r="A445" s="1"/>
      <c r="B445" s="1"/>
      <c r="C445" s="1"/>
      <c r="D445" s="1"/>
      <c r="E445" s="1"/>
      <c r="F445" s="1"/>
      <c r="G445" s="1"/>
      <c r="H445" s="1"/>
      <c r="I445" s="3"/>
      <c r="J445" s="3"/>
      <c r="K445" s="1"/>
      <c r="L445" s="3"/>
    </row>
    <row r="446" spans="1:12" ht="12.75">
      <c r="A446" s="1"/>
      <c r="B446" s="1"/>
      <c r="C446" s="1"/>
      <c r="D446" s="1"/>
      <c r="E446" s="1"/>
      <c r="F446" s="1"/>
      <c r="G446" s="1"/>
      <c r="H446" s="1"/>
      <c r="I446" s="3"/>
      <c r="J446" s="3"/>
      <c r="K446" s="1"/>
      <c r="L446" s="3"/>
    </row>
    <row r="447" spans="1:12" ht="12.75">
      <c r="A447" s="1"/>
      <c r="B447" s="1"/>
      <c r="C447" s="1"/>
      <c r="D447" s="1"/>
      <c r="E447" s="1"/>
      <c r="F447" s="1"/>
      <c r="G447" s="1"/>
      <c r="H447" s="1"/>
      <c r="I447" s="3"/>
      <c r="J447" s="3"/>
      <c r="K447" s="1"/>
      <c r="L447" s="3"/>
    </row>
    <row r="448" spans="1:12" ht="12.75">
      <c r="A448" s="1"/>
      <c r="B448" s="1"/>
      <c r="C448" s="1"/>
      <c r="D448" s="1"/>
      <c r="E448" s="1"/>
      <c r="F448" s="1"/>
      <c r="G448" s="1"/>
      <c r="H448" s="1"/>
      <c r="I448" s="3"/>
      <c r="J448" s="3"/>
      <c r="K448" s="1"/>
      <c r="L448" s="3"/>
    </row>
    <row r="449" spans="1:12" ht="12.75">
      <c r="A449" s="1"/>
      <c r="B449" s="1"/>
      <c r="C449" s="1"/>
      <c r="D449" s="1"/>
      <c r="E449" s="1"/>
      <c r="F449" s="1"/>
      <c r="G449" s="1"/>
      <c r="H449" s="1"/>
      <c r="I449" s="3"/>
      <c r="J449" s="3"/>
      <c r="K449" s="1"/>
      <c r="L449" s="3"/>
    </row>
    <row r="450" spans="1:12" ht="12.75">
      <c r="A450" s="1"/>
      <c r="B450" s="1"/>
      <c r="C450" s="1"/>
      <c r="D450" s="1"/>
      <c r="E450" s="1"/>
      <c r="F450" s="1"/>
      <c r="G450" s="1"/>
      <c r="H450" s="1"/>
      <c r="I450" s="3"/>
      <c r="J450" s="3"/>
      <c r="K450" s="1"/>
      <c r="L450" s="3"/>
    </row>
    <row r="451" spans="1:12" ht="12.75">
      <c r="A451" s="1"/>
      <c r="B451" s="1"/>
      <c r="C451" s="1"/>
      <c r="D451" s="1"/>
      <c r="E451" s="1"/>
      <c r="F451" s="1"/>
      <c r="G451" s="1"/>
      <c r="H451" s="1"/>
      <c r="I451" s="3"/>
      <c r="J451" s="3"/>
      <c r="K451" s="1"/>
      <c r="L451" s="3"/>
    </row>
    <row r="452" spans="1:12" ht="12.75">
      <c r="A452" s="1"/>
      <c r="B452" s="1"/>
      <c r="C452" s="1"/>
      <c r="D452" s="1"/>
      <c r="E452" s="1"/>
      <c r="F452" s="1"/>
      <c r="G452" s="1"/>
      <c r="H452" s="1"/>
      <c r="I452" s="3"/>
      <c r="J452" s="3"/>
      <c r="K452" s="1"/>
      <c r="L452" s="3"/>
    </row>
    <row r="453" spans="1:12" ht="12.75">
      <c r="A453" s="1"/>
      <c r="B453" s="1"/>
      <c r="C453" s="1"/>
      <c r="D453" s="1"/>
      <c r="E453" s="1"/>
      <c r="F453" s="1"/>
      <c r="G453" s="1"/>
      <c r="H453" s="1"/>
      <c r="I453" s="3"/>
      <c r="J453" s="3"/>
      <c r="K453" s="1"/>
      <c r="L453" s="3"/>
    </row>
    <row r="454" spans="1:12" ht="12.75">
      <c r="A454" s="1"/>
      <c r="B454" s="1"/>
      <c r="C454" s="1"/>
      <c r="D454" s="1"/>
      <c r="E454" s="1"/>
      <c r="F454" s="1"/>
      <c r="G454" s="1"/>
      <c r="H454" s="1"/>
      <c r="I454" s="3"/>
      <c r="J454" s="3"/>
      <c r="K454" s="1"/>
      <c r="L454" s="3"/>
    </row>
    <row r="455" spans="1:12" ht="12.75">
      <c r="A455" s="1"/>
      <c r="B455" s="1"/>
      <c r="C455" s="1"/>
      <c r="D455" s="1"/>
      <c r="E455" s="1"/>
      <c r="F455" s="1"/>
      <c r="G455" s="1"/>
      <c r="H455" s="1"/>
      <c r="I455" s="3"/>
      <c r="J455" s="3"/>
      <c r="K455" s="1"/>
      <c r="L455" s="3"/>
    </row>
    <row r="456" spans="1:12" ht="12.75">
      <c r="A456" s="1"/>
      <c r="B456" s="1"/>
      <c r="C456" s="1"/>
      <c r="D456" s="1"/>
      <c r="E456" s="1"/>
      <c r="F456" s="1"/>
      <c r="G456" s="1"/>
      <c r="H456" s="1"/>
      <c r="I456" s="3"/>
      <c r="J456" s="3"/>
      <c r="K456" s="1"/>
      <c r="L456" s="3"/>
    </row>
    <row r="457" spans="1:12" ht="12.75">
      <c r="A457" s="1"/>
      <c r="B457" s="1"/>
      <c r="C457" s="1"/>
      <c r="D457" s="1"/>
      <c r="E457" s="1"/>
      <c r="F457" s="1"/>
      <c r="G457" s="1"/>
      <c r="H457" s="1"/>
      <c r="I457" s="3"/>
      <c r="J457" s="3"/>
      <c r="K457" s="1"/>
      <c r="L457" s="3"/>
    </row>
    <row r="458" spans="1:12" ht="12.75">
      <c r="A458" s="1"/>
      <c r="B458" s="1"/>
      <c r="C458" s="1"/>
      <c r="D458" s="1"/>
      <c r="E458" s="1"/>
      <c r="F458" s="1"/>
      <c r="G458" s="1"/>
      <c r="H458" s="1"/>
      <c r="I458" s="3"/>
      <c r="J458" s="3"/>
      <c r="K458" s="1"/>
      <c r="L458" s="3"/>
    </row>
    <row r="459" spans="1:12" ht="12.75">
      <c r="A459" s="1"/>
      <c r="B459" s="1"/>
      <c r="C459" s="1"/>
      <c r="D459" s="1"/>
      <c r="E459" s="1"/>
      <c r="F459" s="1"/>
      <c r="G459" s="1"/>
      <c r="H459" s="1"/>
      <c r="I459" s="3"/>
      <c r="J459" s="3"/>
      <c r="K459" s="1"/>
      <c r="L459" s="3"/>
    </row>
    <row r="460" spans="1:12" ht="12.75">
      <c r="A460" s="1"/>
      <c r="B460" s="1"/>
      <c r="C460" s="1"/>
      <c r="D460" s="1"/>
      <c r="E460" s="1"/>
      <c r="F460" s="1"/>
      <c r="G460" s="1"/>
      <c r="H460" s="1"/>
      <c r="I460" s="3"/>
      <c r="J460" s="3"/>
      <c r="K460" s="1"/>
      <c r="L460" s="3"/>
    </row>
    <row r="461" spans="1:12" ht="12.75">
      <c r="A461" s="1"/>
      <c r="B461" s="1"/>
      <c r="C461" s="1"/>
      <c r="D461" s="1"/>
      <c r="E461" s="1"/>
      <c r="F461" s="1"/>
      <c r="G461" s="1"/>
      <c r="H461" s="1"/>
      <c r="I461" s="3"/>
      <c r="J461" s="3"/>
      <c r="K461" s="1"/>
      <c r="L461" s="3"/>
    </row>
    <row r="462" spans="1:12" ht="12.75">
      <c r="A462" s="1"/>
      <c r="B462" s="1"/>
      <c r="C462" s="1"/>
      <c r="D462" s="1"/>
      <c r="E462" s="1"/>
      <c r="F462" s="1"/>
      <c r="G462" s="1"/>
      <c r="H462" s="1"/>
      <c r="I462" s="3"/>
      <c r="J462" s="3"/>
      <c r="K462" s="1"/>
      <c r="L462" s="3"/>
    </row>
    <row r="463" spans="1:12" ht="12.75">
      <c r="A463" s="1"/>
      <c r="B463" s="1"/>
      <c r="C463" s="1"/>
      <c r="D463" s="1"/>
      <c r="E463" s="1"/>
      <c r="F463" s="1"/>
      <c r="G463" s="1"/>
      <c r="H463" s="1"/>
      <c r="I463" s="3"/>
      <c r="J463" s="3"/>
      <c r="K463" s="1"/>
      <c r="L463" s="3"/>
    </row>
    <row r="464" spans="1:12" ht="12.75">
      <c r="A464" s="1"/>
      <c r="B464" s="1"/>
      <c r="C464" s="1"/>
      <c r="D464" s="1"/>
      <c r="E464" s="1"/>
      <c r="F464" s="1"/>
      <c r="G464" s="1"/>
      <c r="H464" s="1"/>
      <c r="I464" s="3"/>
      <c r="J464" s="3"/>
      <c r="K464" s="1"/>
      <c r="L464" s="3"/>
    </row>
    <row r="465" spans="1:12" ht="12.75">
      <c r="A465" s="1"/>
      <c r="B465" s="1"/>
      <c r="C465" s="1"/>
      <c r="D465" s="1"/>
      <c r="E465" s="1"/>
      <c r="F465" s="1"/>
      <c r="G465" s="1"/>
      <c r="H465" s="1"/>
      <c r="I465" s="3"/>
      <c r="J465" s="3"/>
      <c r="K465" s="1"/>
      <c r="L465" s="3"/>
    </row>
    <row r="466" spans="1:12" ht="12.75">
      <c r="A466" s="1"/>
      <c r="B466" s="1"/>
      <c r="C466" s="1"/>
      <c r="D466" s="1"/>
      <c r="E466" s="1"/>
      <c r="F466" s="1"/>
      <c r="G466" s="1"/>
      <c r="H466" s="1"/>
      <c r="I466" s="3"/>
      <c r="J466" s="3"/>
      <c r="K466" s="1"/>
      <c r="L466" s="3"/>
    </row>
    <row r="467" spans="1:12" ht="12.75">
      <c r="A467" s="1"/>
      <c r="B467" s="1"/>
      <c r="C467" s="1"/>
      <c r="D467" s="1"/>
      <c r="E467" s="1"/>
      <c r="F467" s="1"/>
      <c r="G467" s="1"/>
      <c r="H467" s="1"/>
      <c r="I467" s="3"/>
      <c r="J467" s="3"/>
      <c r="K467" s="1"/>
      <c r="L467" s="3"/>
    </row>
    <row r="468" spans="1:12" ht="12.75">
      <c r="A468" s="1"/>
      <c r="B468" s="1"/>
      <c r="C468" s="1"/>
      <c r="D468" s="1"/>
      <c r="E468" s="1"/>
      <c r="F468" s="1"/>
      <c r="G468" s="1"/>
      <c r="H468" s="1"/>
      <c r="I468" s="3"/>
      <c r="J468" s="3"/>
      <c r="K468" s="1"/>
      <c r="L468" s="3"/>
    </row>
    <row r="469" spans="1:12" ht="12.75">
      <c r="A469" s="1"/>
      <c r="B469" s="1"/>
      <c r="C469" s="1"/>
      <c r="D469" s="1"/>
      <c r="E469" s="1"/>
      <c r="F469" s="1"/>
      <c r="G469" s="1"/>
      <c r="H469" s="1"/>
      <c r="I469" s="3"/>
      <c r="J469" s="3"/>
      <c r="K469" s="1"/>
      <c r="L469" s="3"/>
    </row>
    <row r="470" spans="1:12" ht="12.75">
      <c r="A470" s="1"/>
      <c r="B470" s="1"/>
      <c r="C470" s="1"/>
      <c r="D470" s="1"/>
      <c r="E470" s="1"/>
      <c r="F470" s="1"/>
      <c r="G470" s="1"/>
      <c r="H470" s="1"/>
      <c r="I470" s="3"/>
      <c r="J470" s="3"/>
      <c r="K470" s="1"/>
      <c r="L470" s="3"/>
    </row>
    <row r="471" spans="1:12" ht="12.75">
      <c r="A471" s="1"/>
      <c r="B471" s="1"/>
      <c r="C471" s="1"/>
      <c r="D471" s="1"/>
      <c r="E471" s="1"/>
      <c r="F471" s="1"/>
      <c r="G471" s="1"/>
      <c r="H471" s="1"/>
      <c r="I471" s="3"/>
      <c r="J471" s="3"/>
      <c r="K471" s="1"/>
      <c r="L471" s="3"/>
    </row>
    <row r="472" spans="1:12" ht="12.75">
      <c r="A472" s="1"/>
      <c r="B472" s="1"/>
      <c r="C472" s="1"/>
      <c r="D472" s="1"/>
      <c r="E472" s="1"/>
      <c r="F472" s="1"/>
      <c r="G472" s="1"/>
      <c r="H472" s="1"/>
      <c r="I472" s="3"/>
      <c r="J472" s="3"/>
      <c r="K472" s="1"/>
      <c r="L472" s="3"/>
    </row>
    <row r="473" spans="1:12" ht="12.75">
      <c r="A473" s="1"/>
      <c r="B473" s="1"/>
      <c r="C473" s="1"/>
      <c r="D473" s="1"/>
      <c r="E473" s="1"/>
      <c r="F473" s="1"/>
      <c r="G473" s="1"/>
      <c r="H473" s="1"/>
      <c r="I473" s="3"/>
      <c r="J473" s="3"/>
      <c r="K473" s="1"/>
      <c r="L473" s="3"/>
    </row>
    <row r="474" spans="1:12" ht="12.75">
      <c r="A474" s="1"/>
      <c r="B474" s="1"/>
      <c r="C474" s="1"/>
      <c r="D474" s="1"/>
      <c r="E474" s="1"/>
      <c r="F474" s="1"/>
      <c r="G474" s="1"/>
      <c r="H474" s="1"/>
      <c r="I474" s="3"/>
      <c r="J474" s="3"/>
      <c r="K474" s="1"/>
      <c r="L474" s="3"/>
    </row>
    <row r="475" spans="1:12" ht="12.75">
      <c r="A475" s="1"/>
      <c r="B475" s="1"/>
      <c r="C475" s="1"/>
      <c r="D475" s="1"/>
      <c r="E475" s="1"/>
      <c r="F475" s="1"/>
      <c r="G475" s="1"/>
      <c r="H475" s="1"/>
      <c r="I475" s="3"/>
      <c r="J475" s="3"/>
      <c r="K475" s="1"/>
      <c r="L475" s="3"/>
    </row>
    <row r="476" spans="1:12" ht="12.75">
      <c r="A476" s="1"/>
      <c r="B476" s="1"/>
      <c r="C476" s="1"/>
      <c r="D476" s="1"/>
      <c r="E476" s="1"/>
      <c r="F476" s="1"/>
      <c r="G476" s="1"/>
      <c r="H476" s="1"/>
      <c r="I476" s="3"/>
      <c r="J476" s="3"/>
      <c r="K476" s="1"/>
      <c r="L476" s="3"/>
    </row>
    <row r="477" spans="1:12" ht="12.75">
      <c r="A477" s="1"/>
      <c r="B477" s="1"/>
      <c r="C477" s="1"/>
      <c r="D477" s="1"/>
      <c r="E477" s="1"/>
      <c r="F477" s="1"/>
      <c r="G477" s="1"/>
      <c r="H477" s="1"/>
      <c r="I477" s="3"/>
      <c r="J477" s="3"/>
      <c r="K477" s="1"/>
      <c r="L477" s="3"/>
    </row>
    <row r="478" spans="1:12" ht="12.75">
      <c r="A478" s="1"/>
      <c r="B478" s="1"/>
      <c r="C478" s="1"/>
      <c r="D478" s="1"/>
      <c r="E478" s="1"/>
      <c r="F478" s="1"/>
      <c r="G478" s="1"/>
      <c r="H478" s="1"/>
      <c r="I478" s="3"/>
      <c r="J478" s="3"/>
      <c r="K478" s="1"/>
      <c r="L478" s="3"/>
    </row>
    <row r="479" spans="1:12" ht="12.75">
      <c r="A479" s="1"/>
      <c r="B479" s="1"/>
      <c r="C479" s="1"/>
      <c r="D479" s="1"/>
      <c r="E479" s="1"/>
      <c r="F479" s="1"/>
      <c r="G479" s="1"/>
      <c r="H479" s="1"/>
      <c r="I479" s="3"/>
      <c r="J479" s="3"/>
      <c r="K479" s="1"/>
      <c r="L479" s="3"/>
    </row>
    <row r="480" spans="1:12" ht="12.75">
      <c r="A480" s="1"/>
      <c r="B480" s="1"/>
      <c r="C480" s="1"/>
      <c r="D480" s="1"/>
      <c r="E480" s="1"/>
      <c r="F480" s="1"/>
      <c r="G480" s="1"/>
      <c r="H480" s="1"/>
      <c r="I480" s="3"/>
      <c r="J480" s="3"/>
      <c r="K480" s="1"/>
      <c r="L480" s="3"/>
    </row>
    <row r="481" spans="1:12" ht="12.75">
      <c r="A481" s="1"/>
      <c r="B481" s="1"/>
      <c r="C481" s="1"/>
      <c r="D481" s="1"/>
      <c r="E481" s="1"/>
      <c r="F481" s="1"/>
      <c r="G481" s="1"/>
      <c r="H481" s="1"/>
      <c r="I481" s="3"/>
      <c r="J481" s="3"/>
      <c r="K481" s="1"/>
      <c r="L481" s="3"/>
    </row>
    <row r="482" spans="1:12" ht="12.75">
      <c r="A482" s="1"/>
      <c r="B482" s="1"/>
      <c r="C482" s="1"/>
      <c r="D482" s="1"/>
      <c r="E482" s="1"/>
      <c r="F482" s="1"/>
      <c r="G482" s="1"/>
      <c r="H482" s="1"/>
      <c r="I482" s="3"/>
      <c r="J482" s="3"/>
      <c r="K482" s="1"/>
      <c r="L482" s="3"/>
    </row>
    <row r="483" spans="1:12" ht="12.75">
      <c r="A483" s="1"/>
      <c r="B483" s="1"/>
      <c r="C483" s="1"/>
      <c r="D483" s="1"/>
      <c r="E483" s="1"/>
      <c r="F483" s="1"/>
      <c r="G483" s="1"/>
      <c r="H483" s="1"/>
      <c r="I483" s="3"/>
      <c r="J483" s="3"/>
      <c r="K483" s="1"/>
      <c r="L483" s="3"/>
    </row>
    <row r="484" spans="1:12" ht="12.75">
      <c r="A484" s="1"/>
      <c r="B484" s="1"/>
      <c r="C484" s="1"/>
      <c r="D484" s="1"/>
      <c r="E484" s="1"/>
      <c r="F484" s="1"/>
      <c r="G484" s="1"/>
      <c r="H484" s="1"/>
      <c r="I484" s="3"/>
      <c r="J484" s="3"/>
      <c r="K484" s="1"/>
      <c r="L484" s="3"/>
    </row>
    <row r="485" spans="1:12" ht="12.75">
      <c r="A485" s="1"/>
      <c r="B485" s="1"/>
      <c r="C485" s="1"/>
      <c r="D485" s="1"/>
      <c r="E485" s="1"/>
      <c r="F485" s="1"/>
      <c r="G485" s="1"/>
      <c r="H485" s="1"/>
      <c r="I485" s="3"/>
      <c r="J485" s="3"/>
      <c r="K485" s="1"/>
      <c r="L485" s="3"/>
    </row>
    <row r="486" spans="1:12" ht="12.75">
      <c r="A486" s="1"/>
      <c r="B486" s="1"/>
      <c r="C486" s="1"/>
      <c r="D486" s="1"/>
      <c r="E486" s="1"/>
      <c r="F486" s="1"/>
      <c r="G486" s="1"/>
      <c r="H486" s="1"/>
      <c r="I486" s="3"/>
      <c r="J486" s="3"/>
      <c r="K486" s="1"/>
      <c r="L486" s="3"/>
    </row>
    <row r="487" spans="1:12" ht="12.75">
      <c r="A487" s="1"/>
      <c r="B487" s="1"/>
      <c r="C487" s="1"/>
      <c r="D487" s="1"/>
      <c r="E487" s="1"/>
      <c r="F487" s="1"/>
      <c r="G487" s="1"/>
      <c r="H487" s="1"/>
      <c r="I487" s="3"/>
      <c r="J487" s="3"/>
      <c r="K487" s="1"/>
      <c r="L487" s="3"/>
    </row>
    <row r="488" spans="1:12" ht="12.75">
      <c r="A488" s="1"/>
      <c r="B488" s="1"/>
      <c r="C488" s="1"/>
      <c r="D488" s="1"/>
      <c r="E488" s="1"/>
      <c r="F488" s="1"/>
      <c r="G488" s="1"/>
      <c r="H488" s="1"/>
      <c r="I488" s="3"/>
      <c r="J488" s="3"/>
      <c r="K488" s="1"/>
      <c r="L488" s="3"/>
    </row>
    <row r="489" spans="1:12" ht="12.75">
      <c r="A489" s="1"/>
      <c r="B489" s="1"/>
      <c r="C489" s="1"/>
      <c r="D489" s="1"/>
      <c r="E489" s="1"/>
      <c r="F489" s="1"/>
      <c r="G489" s="1"/>
      <c r="H489" s="1"/>
      <c r="I489" s="3"/>
      <c r="J489" s="3"/>
      <c r="K489" s="1"/>
      <c r="L489" s="3"/>
    </row>
    <row r="490" spans="1:12" ht="12.75">
      <c r="A490" s="1"/>
      <c r="B490" s="1"/>
      <c r="C490" s="1"/>
      <c r="D490" s="1"/>
      <c r="E490" s="1"/>
      <c r="F490" s="1"/>
      <c r="G490" s="1"/>
      <c r="H490" s="1"/>
      <c r="I490" s="3"/>
      <c r="J490" s="3"/>
      <c r="K490" s="1"/>
      <c r="L490" s="3"/>
    </row>
    <row r="491" spans="1:12" ht="12.75">
      <c r="A491" s="1"/>
      <c r="B491" s="1"/>
      <c r="C491" s="1"/>
      <c r="D491" s="1"/>
      <c r="E491" s="1"/>
      <c r="F491" s="1"/>
      <c r="G491" s="1"/>
      <c r="H491" s="1"/>
      <c r="I491" s="3"/>
      <c r="J491" s="3"/>
      <c r="K491" s="1"/>
      <c r="L491" s="3"/>
    </row>
    <row r="492" spans="1:12" ht="12.75">
      <c r="A492" s="1"/>
      <c r="B492" s="1"/>
      <c r="C492" s="1"/>
      <c r="D492" s="1"/>
      <c r="E492" s="1"/>
      <c r="F492" s="1"/>
      <c r="G492" s="1"/>
      <c r="H492" s="1"/>
      <c r="I492" s="3"/>
      <c r="J492" s="3"/>
      <c r="K492" s="1"/>
      <c r="L492" s="3"/>
    </row>
    <row r="493" spans="1:12" ht="12.75">
      <c r="A493" s="1"/>
      <c r="B493" s="1"/>
      <c r="C493" s="1"/>
      <c r="D493" s="1"/>
      <c r="E493" s="1"/>
      <c r="F493" s="1"/>
      <c r="G493" s="1"/>
      <c r="H493" s="1"/>
      <c r="I493" s="3"/>
      <c r="J493" s="3"/>
      <c r="K493" s="1"/>
      <c r="L493" s="3"/>
    </row>
    <row r="494" spans="1:12" ht="12.75">
      <c r="A494" s="1"/>
      <c r="B494" s="1"/>
      <c r="C494" s="1"/>
      <c r="D494" s="1"/>
      <c r="E494" s="1"/>
      <c r="F494" s="1"/>
      <c r="G494" s="1"/>
      <c r="H494" s="1"/>
      <c r="I494" s="3"/>
      <c r="J494" s="3"/>
      <c r="K494" s="1"/>
      <c r="L494" s="3"/>
    </row>
    <row r="495" spans="1:12" ht="12.75">
      <c r="A495" s="1"/>
      <c r="B495" s="1"/>
      <c r="C495" s="1"/>
      <c r="D495" s="1"/>
      <c r="E495" s="1"/>
      <c r="F495" s="1"/>
      <c r="G495" s="1"/>
      <c r="H495" s="1"/>
      <c r="I495" s="3"/>
      <c r="J495" s="3"/>
      <c r="K495" s="1"/>
      <c r="L495" s="3"/>
    </row>
    <row r="496" spans="1:12" ht="12.75">
      <c r="A496" s="1"/>
      <c r="B496" s="1"/>
      <c r="C496" s="1"/>
      <c r="D496" s="1"/>
      <c r="E496" s="1"/>
      <c r="F496" s="1"/>
      <c r="G496" s="1"/>
      <c r="H496" s="1"/>
      <c r="I496" s="3"/>
      <c r="J496" s="3"/>
      <c r="K496" s="1"/>
      <c r="L496" s="3"/>
    </row>
    <row r="497" spans="1:12" ht="12.75">
      <c r="A497" s="1"/>
      <c r="B497" s="1"/>
      <c r="C497" s="1"/>
      <c r="D497" s="1"/>
      <c r="E497" s="1"/>
      <c r="F497" s="1"/>
      <c r="G497" s="1"/>
      <c r="H497" s="1"/>
      <c r="I497" s="3"/>
      <c r="J497" s="3"/>
      <c r="K497" s="1"/>
      <c r="L497" s="3"/>
    </row>
    <row r="498" spans="1:12" ht="12.75">
      <c r="A498" s="1"/>
      <c r="B498" s="1"/>
      <c r="C498" s="1"/>
      <c r="D498" s="1"/>
      <c r="E498" s="1"/>
      <c r="F498" s="1"/>
      <c r="G498" s="1"/>
      <c r="H498" s="1"/>
      <c r="I498" s="3"/>
      <c r="J498" s="3"/>
      <c r="K498" s="1"/>
      <c r="L498" s="3"/>
    </row>
    <row r="499" spans="1:12" ht="12.75">
      <c r="A499" s="1"/>
      <c r="B499" s="1"/>
      <c r="C499" s="1"/>
      <c r="D499" s="1"/>
      <c r="E499" s="1"/>
      <c r="F499" s="1"/>
      <c r="G499" s="1"/>
      <c r="H499" s="1"/>
      <c r="I499" s="3"/>
      <c r="J499" s="3"/>
      <c r="K499" s="1"/>
      <c r="L499" s="3"/>
    </row>
    <row r="500" spans="1:12" ht="12.75">
      <c r="A500" s="1"/>
      <c r="B500" s="1"/>
      <c r="C500" s="1"/>
      <c r="D500" s="1"/>
      <c r="E500" s="1"/>
      <c r="F500" s="1"/>
      <c r="G500" s="1"/>
      <c r="H500" s="1"/>
      <c r="I500" s="3"/>
      <c r="J500" s="3"/>
      <c r="K500" s="1"/>
      <c r="L500" s="3"/>
    </row>
    <row r="501" spans="1:12" ht="12.75">
      <c r="A501" s="1"/>
      <c r="B501" s="1"/>
      <c r="C501" s="1"/>
      <c r="D501" s="1"/>
      <c r="E501" s="1"/>
      <c r="F501" s="1"/>
      <c r="G501" s="1"/>
      <c r="H501" s="1"/>
      <c r="I501" s="3"/>
      <c r="J501" s="3"/>
      <c r="K501" s="1"/>
      <c r="L501" s="3"/>
    </row>
    <row r="502" spans="1:12" ht="12.75">
      <c r="A502" s="1"/>
      <c r="B502" s="1"/>
      <c r="C502" s="1"/>
      <c r="D502" s="1"/>
      <c r="E502" s="1"/>
      <c r="F502" s="1"/>
      <c r="G502" s="1"/>
      <c r="H502" s="1"/>
      <c r="I502" s="3"/>
      <c r="J502" s="3"/>
      <c r="K502" s="1"/>
      <c r="L502" s="3"/>
    </row>
    <row r="503" spans="1:12" ht="12.75">
      <c r="A503" s="1"/>
      <c r="B503" s="1"/>
      <c r="C503" s="1"/>
      <c r="D503" s="1"/>
      <c r="E503" s="1"/>
      <c r="F503" s="1"/>
      <c r="G503" s="1"/>
      <c r="H503" s="1"/>
      <c r="I503" s="3"/>
      <c r="J503" s="3"/>
      <c r="K503" s="1"/>
      <c r="L503" s="3"/>
    </row>
    <row r="504" spans="1:12" ht="12.75">
      <c r="A504" s="1"/>
      <c r="B504" s="1"/>
      <c r="C504" s="1"/>
      <c r="D504" s="1"/>
      <c r="E504" s="1"/>
      <c r="F504" s="1"/>
      <c r="G504" s="1"/>
      <c r="H504" s="1"/>
      <c r="I504" s="3"/>
      <c r="J504" s="3"/>
      <c r="K504" s="1"/>
      <c r="L504" s="3"/>
    </row>
    <row r="505" spans="1:12" ht="12.75">
      <c r="A505" s="1"/>
      <c r="B505" s="1"/>
      <c r="C505" s="1"/>
      <c r="D505" s="1"/>
      <c r="E505" s="1"/>
      <c r="F505" s="1"/>
      <c r="G505" s="1"/>
      <c r="H505" s="1"/>
      <c r="I505" s="3"/>
      <c r="J505" s="3"/>
      <c r="K505" s="1"/>
      <c r="L505" s="3"/>
    </row>
    <row r="506" spans="1:12" ht="12.75">
      <c r="A506" s="1"/>
      <c r="B506" s="1"/>
      <c r="C506" s="1"/>
      <c r="D506" s="1"/>
      <c r="E506" s="1"/>
      <c r="F506" s="1"/>
      <c r="G506" s="1"/>
      <c r="H506" s="1"/>
      <c r="I506" s="3"/>
      <c r="J506" s="3"/>
      <c r="K506" s="1"/>
      <c r="L506" s="3"/>
    </row>
    <row r="507" spans="1:12" ht="12.75">
      <c r="A507" s="1"/>
      <c r="B507" s="1"/>
      <c r="C507" s="1"/>
      <c r="D507" s="1"/>
      <c r="E507" s="1"/>
      <c r="F507" s="1"/>
      <c r="G507" s="1"/>
      <c r="H507" s="1"/>
      <c r="I507" s="3"/>
      <c r="J507" s="3"/>
      <c r="K507" s="1"/>
      <c r="L507" s="3"/>
    </row>
    <row r="508" spans="1:12" ht="12.75">
      <c r="A508" s="1"/>
      <c r="B508" s="1"/>
      <c r="C508" s="1"/>
      <c r="D508" s="1"/>
      <c r="E508" s="1"/>
      <c r="F508" s="1"/>
      <c r="G508" s="1"/>
      <c r="H508" s="1"/>
      <c r="I508" s="3"/>
      <c r="J508" s="3"/>
      <c r="K508" s="1"/>
      <c r="L508" s="3"/>
    </row>
    <row r="509" spans="1:12" ht="12.75">
      <c r="A509" s="1"/>
      <c r="B509" s="1"/>
      <c r="C509" s="1"/>
      <c r="D509" s="1"/>
      <c r="E509" s="1"/>
      <c r="F509" s="1"/>
      <c r="G509" s="1"/>
      <c r="H509" s="1"/>
      <c r="I509" s="3"/>
      <c r="J509" s="3"/>
      <c r="K509" s="1"/>
      <c r="L509" s="3"/>
    </row>
    <row r="510" spans="1:12" ht="12.75">
      <c r="A510" s="1"/>
      <c r="B510" s="1"/>
      <c r="C510" s="1"/>
      <c r="D510" s="1"/>
      <c r="E510" s="1"/>
      <c r="F510" s="1"/>
      <c r="G510" s="1"/>
      <c r="H510" s="1"/>
      <c r="I510" s="3"/>
      <c r="J510" s="3"/>
      <c r="K510" s="1"/>
      <c r="L510" s="3"/>
    </row>
    <row r="511" spans="1:12" ht="12.75">
      <c r="A511" s="1"/>
      <c r="B511" s="1"/>
      <c r="C511" s="1"/>
      <c r="D511" s="1"/>
      <c r="E511" s="1"/>
      <c r="F511" s="1"/>
      <c r="G511" s="1"/>
      <c r="H511" s="1"/>
      <c r="I511" s="3"/>
      <c r="J511" s="3"/>
      <c r="K511" s="1"/>
      <c r="L511" s="3"/>
    </row>
    <row r="512" spans="1:12" ht="12.75">
      <c r="A512" s="1"/>
      <c r="B512" s="1"/>
      <c r="C512" s="1"/>
      <c r="D512" s="1"/>
      <c r="E512" s="1"/>
      <c r="F512" s="1"/>
      <c r="G512" s="1"/>
      <c r="H512" s="1"/>
      <c r="I512" s="3"/>
      <c r="J512" s="3"/>
      <c r="K512" s="1"/>
      <c r="L512" s="3"/>
    </row>
    <row r="513" spans="1:12" ht="12.75">
      <c r="A513" s="1"/>
      <c r="B513" s="1"/>
      <c r="C513" s="1"/>
      <c r="D513" s="1"/>
      <c r="E513" s="1"/>
      <c r="F513" s="1"/>
      <c r="G513" s="1"/>
      <c r="H513" s="1"/>
      <c r="I513" s="3"/>
      <c r="J513" s="3"/>
      <c r="K513" s="1"/>
      <c r="L513" s="3"/>
    </row>
    <row r="514" spans="1:12" ht="12.75">
      <c r="A514" s="1"/>
      <c r="B514" s="1"/>
      <c r="C514" s="1"/>
      <c r="D514" s="1"/>
      <c r="E514" s="1"/>
      <c r="F514" s="1"/>
      <c r="G514" s="1"/>
      <c r="H514" s="1"/>
      <c r="I514" s="3"/>
      <c r="J514" s="3"/>
      <c r="K514" s="1"/>
      <c r="L514" s="3"/>
    </row>
    <row r="515" spans="1:12" ht="12.75">
      <c r="A515" s="1"/>
      <c r="B515" s="1"/>
      <c r="C515" s="1"/>
      <c r="D515" s="1"/>
      <c r="E515" s="1"/>
      <c r="F515" s="1"/>
      <c r="G515" s="1"/>
      <c r="H515" s="1"/>
      <c r="I515" s="3"/>
      <c r="J515" s="3"/>
      <c r="K515" s="1"/>
      <c r="L515" s="3"/>
    </row>
    <row r="516" spans="1:12" ht="12.75">
      <c r="A516" s="1"/>
      <c r="B516" s="1"/>
      <c r="C516" s="1"/>
      <c r="D516" s="1"/>
      <c r="E516" s="1"/>
      <c r="F516" s="1"/>
      <c r="G516" s="1"/>
      <c r="H516" s="1"/>
      <c r="I516" s="3"/>
      <c r="J516" s="3"/>
      <c r="K516" s="1"/>
      <c r="L516" s="3"/>
    </row>
    <row r="517" spans="1:12" ht="12.75">
      <c r="A517" s="1"/>
      <c r="B517" s="1"/>
      <c r="C517" s="1"/>
      <c r="D517" s="1"/>
      <c r="E517" s="1"/>
      <c r="F517" s="1"/>
      <c r="G517" s="1"/>
      <c r="H517" s="1"/>
      <c r="I517" s="3"/>
      <c r="J517" s="3"/>
      <c r="K517" s="1"/>
      <c r="L517" s="3"/>
    </row>
    <row r="518" spans="1:12" ht="12.75">
      <c r="A518" s="1"/>
      <c r="B518" s="1"/>
      <c r="C518" s="1"/>
      <c r="D518" s="1"/>
      <c r="E518" s="1"/>
      <c r="F518" s="1"/>
      <c r="G518" s="1"/>
      <c r="H518" s="1"/>
      <c r="I518" s="3"/>
      <c r="J518" s="3"/>
      <c r="K518" s="1"/>
      <c r="L518" s="3"/>
    </row>
    <row r="519" spans="1:12" ht="12.75">
      <c r="A519" s="1"/>
      <c r="B519" s="1"/>
      <c r="C519" s="1"/>
      <c r="D519" s="1"/>
      <c r="E519" s="1"/>
      <c r="F519" s="1"/>
      <c r="G519" s="1"/>
      <c r="H519" s="1"/>
      <c r="I519" s="3"/>
      <c r="J519" s="3"/>
      <c r="K519" s="1"/>
      <c r="L519" s="3"/>
    </row>
    <row r="520" spans="1:12" ht="12.75">
      <c r="A520" s="1"/>
      <c r="B520" s="1"/>
      <c r="C520" s="1"/>
      <c r="D520" s="1"/>
      <c r="E520" s="1"/>
      <c r="F520" s="1"/>
      <c r="G520" s="1"/>
      <c r="H520" s="1"/>
      <c r="I520" s="3"/>
      <c r="J520" s="3"/>
      <c r="K520" s="1"/>
      <c r="L520" s="3"/>
    </row>
    <row r="521" spans="1:12" ht="12.75">
      <c r="A521" s="1"/>
      <c r="B521" s="1"/>
      <c r="C521" s="1"/>
      <c r="D521" s="1"/>
      <c r="E521" s="1"/>
      <c r="F521" s="1"/>
      <c r="G521" s="1"/>
      <c r="H521" s="1"/>
      <c r="I521" s="3"/>
      <c r="J521" s="3"/>
      <c r="K521" s="1"/>
      <c r="L521" s="3"/>
    </row>
    <row r="522" spans="1:12" ht="12.75">
      <c r="A522" s="1"/>
      <c r="B522" s="1"/>
      <c r="C522" s="1"/>
      <c r="D522" s="1"/>
      <c r="E522" s="1"/>
      <c r="F522" s="1"/>
      <c r="G522" s="1"/>
      <c r="H522" s="1"/>
      <c r="I522" s="3"/>
      <c r="J522" s="3"/>
      <c r="K522" s="1"/>
      <c r="L522" s="3"/>
    </row>
    <row r="523" spans="1:12" ht="12.75">
      <c r="A523" s="1"/>
      <c r="B523" s="1"/>
      <c r="C523" s="1"/>
      <c r="D523" s="1"/>
      <c r="E523" s="1"/>
      <c r="F523" s="1"/>
      <c r="G523" s="1"/>
      <c r="H523" s="1"/>
      <c r="I523" s="3"/>
      <c r="J523" s="3"/>
      <c r="K523" s="1"/>
      <c r="L523" s="3"/>
    </row>
    <row r="524" spans="1:12" ht="12.75">
      <c r="A524" s="1"/>
      <c r="B524" s="1"/>
      <c r="C524" s="1"/>
      <c r="D524" s="1"/>
      <c r="E524" s="1"/>
      <c r="F524" s="1"/>
      <c r="G524" s="1"/>
      <c r="H524" s="1"/>
      <c r="I524" s="3"/>
      <c r="J524" s="3"/>
      <c r="K524" s="1"/>
      <c r="L524" s="3"/>
    </row>
    <row r="525" spans="1:12" ht="12.75">
      <c r="A525" s="1"/>
      <c r="B525" s="1"/>
      <c r="C525" s="1"/>
      <c r="D525" s="1"/>
      <c r="E525" s="1"/>
      <c r="F525" s="1"/>
      <c r="G525" s="1"/>
      <c r="H525" s="1"/>
      <c r="I525" s="3"/>
      <c r="J525" s="3"/>
      <c r="K525" s="1"/>
      <c r="L525" s="3"/>
    </row>
    <row r="526" spans="1:12" ht="12.75">
      <c r="A526" s="1"/>
      <c r="B526" s="1"/>
      <c r="C526" s="1"/>
      <c r="D526" s="1"/>
      <c r="E526" s="1"/>
      <c r="F526" s="1"/>
      <c r="G526" s="1"/>
      <c r="H526" s="1"/>
      <c r="I526" s="3"/>
      <c r="J526" s="3"/>
      <c r="K526" s="1"/>
      <c r="L526" s="3"/>
    </row>
    <row r="527" spans="1:12" ht="12.75">
      <c r="A527" s="1"/>
      <c r="B527" s="1"/>
      <c r="C527" s="1"/>
      <c r="D527" s="1"/>
      <c r="E527" s="1"/>
      <c r="F527" s="1"/>
      <c r="G527" s="1"/>
      <c r="H527" s="1"/>
      <c r="I527" s="3"/>
      <c r="J527" s="3"/>
      <c r="K527" s="1"/>
      <c r="L527" s="3"/>
    </row>
    <row r="528" spans="1:12" ht="12.75">
      <c r="A528" s="1"/>
      <c r="B528" s="1"/>
      <c r="C528" s="1"/>
      <c r="D528" s="1"/>
      <c r="E528" s="1"/>
      <c r="F528" s="1"/>
      <c r="G528" s="1"/>
      <c r="H528" s="1"/>
      <c r="I528" s="3"/>
      <c r="J528" s="3"/>
      <c r="K528" s="1"/>
      <c r="L528" s="3"/>
    </row>
    <row r="529" spans="1:12" ht="12.75">
      <c r="A529" s="1"/>
      <c r="B529" s="1"/>
      <c r="C529" s="1"/>
      <c r="D529" s="1"/>
      <c r="E529" s="1"/>
      <c r="F529" s="1"/>
      <c r="G529" s="1"/>
      <c r="H529" s="1"/>
      <c r="I529" s="3"/>
      <c r="J529" s="3"/>
      <c r="K529" s="1"/>
      <c r="L529" s="3"/>
    </row>
    <row r="530" spans="1:12" ht="12.75">
      <c r="A530" s="1"/>
      <c r="B530" s="1"/>
      <c r="C530" s="1"/>
      <c r="D530" s="1"/>
      <c r="E530" s="1"/>
      <c r="F530" s="1"/>
      <c r="G530" s="1"/>
      <c r="H530" s="1"/>
      <c r="I530" s="3"/>
      <c r="J530" s="3"/>
      <c r="K530" s="1"/>
      <c r="L530" s="3"/>
    </row>
    <row r="531" spans="1:12" ht="12.75">
      <c r="A531" s="1"/>
      <c r="B531" s="1"/>
      <c r="C531" s="1"/>
      <c r="D531" s="1"/>
      <c r="E531" s="1"/>
      <c r="F531" s="1"/>
      <c r="G531" s="1"/>
      <c r="H531" s="1"/>
      <c r="I531" s="3"/>
      <c r="J531" s="3"/>
      <c r="K531" s="1"/>
      <c r="L531" s="3"/>
    </row>
    <row r="532" spans="1:12" ht="12.75">
      <c r="A532" s="1"/>
      <c r="B532" s="1"/>
      <c r="C532" s="1"/>
      <c r="D532" s="1"/>
      <c r="E532" s="1"/>
      <c r="F532" s="1"/>
      <c r="G532" s="1"/>
      <c r="H532" s="1"/>
      <c r="I532" s="3"/>
      <c r="J532" s="3"/>
      <c r="K532" s="1"/>
      <c r="L532" s="3"/>
    </row>
    <row r="533" spans="1:12" ht="12.75">
      <c r="A533" s="1"/>
      <c r="B533" s="1"/>
      <c r="C533" s="1"/>
      <c r="D533" s="1"/>
      <c r="E533" s="1"/>
      <c r="F533" s="1"/>
      <c r="G533" s="1"/>
      <c r="H533" s="1"/>
      <c r="I533" s="3"/>
      <c r="J533" s="3"/>
      <c r="K533" s="1"/>
      <c r="L533" s="3"/>
    </row>
    <row r="534" spans="1:12" ht="12.75">
      <c r="A534" s="1"/>
      <c r="B534" s="1"/>
      <c r="C534" s="1"/>
      <c r="D534" s="1"/>
      <c r="E534" s="1"/>
      <c r="F534" s="1"/>
      <c r="G534" s="1"/>
      <c r="H534" s="1"/>
      <c r="I534" s="3"/>
      <c r="J534" s="3"/>
      <c r="K534" s="1"/>
      <c r="L534" s="3"/>
    </row>
    <row r="535" spans="1:12" ht="12.75">
      <c r="A535" s="1"/>
      <c r="B535" s="1"/>
      <c r="C535" s="1"/>
      <c r="D535" s="1"/>
      <c r="E535" s="1"/>
      <c r="F535" s="1"/>
      <c r="G535" s="1"/>
      <c r="H535" s="1"/>
      <c r="I535" s="3"/>
      <c r="J535" s="3"/>
      <c r="K535" s="1"/>
      <c r="L535" s="3"/>
    </row>
    <row r="536" spans="1:12" ht="12.75">
      <c r="A536" s="1"/>
      <c r="B536" s="1"/>
      <c r="C536" s="1"/>
      <c r="D536" s="1"/>
      <c r="E536" s="1"/>
      <c r="F536" s="1"/>
      <c r="G536" s="1"/>
      <c r="H536" s="1"/>
      <c r="I536" s="3"/>
      <c r="J536" s="3"/>
      <c r="K536" s="1"/>
      <c r="L536" s="3"/>
    </row>
    <row r="537" spans="1:12" ht="12.75">
      <c r="A537" s="1"/>
      <c r="B537" s="1"/>
      <c r="C537" s="1"/>
      <c r="D537" s="1"/>
      <c r="E537" s="1"/>
      <c r="F537" s="1"/>
      <c r="G537" s="1"/>
      <c r="H537" s="1"/>
      <c r="I537" s="3"/>
      <c r="J537" s="3"/>
      <c r="K537" s="1"/>
      <c r="L537" s="3"/>
    </row>
    <row r="538" spans="1:12" ht="12.75">
      <c r="A538" s="1"/>
      <c r="B538" s="1"/>
      <c r="C538" s="1"/>
      <c r="D538" s="1"/>
      <c r="E538" s="1"/>
      <c r="F538" s="1"/>
      <c r="G538" s="1"/>
      <c r="H538" s="1"/>
      <c r="I538" s="3"/>
      <c r="J538" s="3"/>
      <c r="K538" s="1"/>
      <c r="L538" s="3"/>
    </row>
    <row r="539" spans="1:12" ht="12.75">
      <c r="A539" s="1"/>
      <c r="B539" s="1"/>
      <c r="C539" s="1"/>
      <c r="D539" s="1"/>
      <c r="E539" s="1"/>
      <c r="F539" s="1"/>
      <c r="G539" s="1"/>
      <c r="H539" s="1"/>
      <c r="I539" s="3"/>
      <c r="J539" s="3"/>
      <c r="K539" s="1"/>
      <c r="L539" s="3"/>
    </row>
    <row r="540" spans="1:12" ht="12.75">
      <c r="A540" s="1"/>
      <c r="B540" s="1"/>
      <c r="C540" s="1"/>
      <c r="D540" s="1"/>
      <c r="E540" s="1"/>
      <c r="F540" s="1"/>
      <c r="G540" s="1"/>
      <c r="H540" s="1"/>
      <c r="I540" s="3"/>
      <c r="J540" s="3"/>
      <c r="K540" s="1"/>
      <c r="L540" s="3"/>
    </row>
    <row r="541" spans="1:12" ht="12.75">
      <c r="A541" s="1"/>
      <c r="B541" s="1"/>
      <c r="C541" s="1"/>
      <c r="D541" s="1"/>
      <c r="E541" s="1"/>
      <c r="F541" s="1"/>
      <c r="G541" s="1"/>
      <c r="H541" s="1"/>
      <c r="I541" s="3"/>
      <c r="J541" s="3"/>
      <c r="K541" s="1"/>
      <c r="L541" s="3"/>
    </row>
    <row r="542" spans="1:12" ht="12.75">
      <c r="A542" s="1"/>
      <c r="B542" s="1"/>
      <c r="C542" s="1"/>
      <c r="D542" s="1"/>
      <c r="E542" s="1"/>
      <c r="F542" s="1"/>
      <c r="G542" s="1"/>
      <c r="H542" s="1"/>
      <c r="I542" s="3"/>
      <c r="J542" s="3"/>
      <c r="K542" s="1"/>
      <c r="L542" s="3"/>
    </row>
    <row r="543" spans="1:12" ht="12.75">
      <c r="A543" s="1"/>
      <c r="B543" s="1"/>
      <c r="C543" s="1"/>
      <c r="D543" s="1"/>
      <c r="E543" s="1"/>
      <c r="F543" s="1"/>
      <c r="G543" s="1"/>
      <c r="H543" s="1"/>
      <c r="I543" s="3"/>
      <c r="J543" s="3"/>
      <c r="K543" s="1"/>
      <c r="L543" s="3"/>
    </row>
    <row r="544" spans="1:12" ht="12.75">
      <c r="A544" s="1"/>
      <c r="B544" s="1"/>
      <c r="C544" s="1"/>
      <c r="D544" s="1"/>
      <c r="E544" s="1"/>
      <c r="F544" s="1"/>
      <c r="G544" s="1"/>
      <c r="H544" s="1"/>
      <c r="I544" s="3"/>
      <c r="J544" s="3"/>
      <c r="K544" s="1"/>
      <c r="L544" s="3"/>
    </row>
    <row r="545" spans="1:12" ht="12.75">
      <c r="A545" s="1"/>
      <c r="B545" s="1"/>
      <c r="C545" s="1"/>
      <c r="D545" s="1"/>
      <c r="E545" s="1"/>
      <c r="F545" s="1"/>
      <c r="G545" s="1"/>
      <c r="H545" s="1"/>
      <c r="I545" s="3"/>
      <c r="J545" s="3"/>
      <c r="K545" s="1"/>
      <c r="L545" s="3"/>
    </row>
    <row r="546" spans="1:12" ht="12.75">
      <c r="A546" s="1"/>
      <c r="B546" s="1"/>
      <c r="C546" s="1"/>
      <c r="D546" s="1"/>
      <c r="E546" s="1"/>
      <c r="F546" s="1"/>
      <c r="G546" s="1"/>
      <c r="H546" s="1"/>
      <c r="I546" s="3"/>
      <c r="J546" s="3"/>
      <c r="K546" s="1"/>
      <c r="L546" s="3"/>
    </row>
    <row r="547" spans="1:12" ht="12.75">
      <c r="A547" s="1"/>
      <c r="B547" s="1"/>
      <c r="C547" s="1"/>
      <c r="D547" s="1"/>
      <c r="E547" s="1"/>
      <c r="F547" s="1"/>
      <c r="G547" s="1"/>
      <c r="H547" s="1"/>
      <c r="I547" s="3"/>
      <c r="J547" s="3"/>
      <c r="K547" s="1"/>
      <c r="L547" s="3"/>
    </row>
    <row r="548" spans="1:12" ht="12.75">
      <c r="A548" s="1"/>
      <c r="B548" s="1"/>
      <c r="C548" s="1"/>
      <c r="D548" s="1"/>
      <c r="E548" s="1"/>
      <c r="F548" s="1"/>
      <c r="G548" s="1"/>
      <c r="H548" s="1"/>
      <c r="I548" s="3"/>
      <c r="J548" s="3"/>
      <c r="K548" s="1"/>
      <c r="L548" s="3"/>
    </row>
    <row r="549" spans="1:12" ht="12.75">
      <c r="A549" s="1"/>
      <c r="B549" s="1"/>
      <c r="C549" s="1"/>
      <c r="D549" s="1"/>
      <c r="E549" s="1"/>
      <c r="F549" s="1"/>
      <c r="G549" s="1"/>
      <c r="H549" s="1"/>
      <c r="I549" s="3"/>
      <c r="J549" s="3"/>
      <c r="K549" s="1"/>
      <c r="L549" s="3"/>
    </row>
    <row r="550" spans="1:12" ht="12.75">
      <c r="A550" s="1"/>
      <c r="B550" s="1"/>
      <c r="C550" s="1"/>
      <c r="D550" s="1"/>
      <c r="E550" s="1"/>
      <c r="F550" s="1"/>
      <c r="G550" s="1"/>
      <c r="H550" s="1"/>
      <c r="I550" s="3"/>
      <c r="J550" s="3"/>
      <c r="K550" s="1"/>
      <c r="L550" s="3"/>
    </row>
    <row r="551" spans="1:12" ht="12.75">
      <c r="A551" s="1"/>
      <c r="B551" s="1"/>
      <c r="C551" s="1"/>
      <c r="D551" s="1"/>
      <c r="E551" s="1"/>
      <c r="F551" s="1"/>
      <c r="G551" s="1"/>
      <c r="H551" s="1"/>
      <c r="I551" s="3"/>
      <c r="J551" s="3"/>
      <c r="K551" s="1"/>
      <c r="L551" s="3"/>
    </row>
    <row r="552" spans="1:12" ht="12.75">
      <c r="A552" s="1"/>
      <c r="B552" s="1"/>
      <c r="C552" s="1"/>
      <c r="D552" s="1"/>
      <c r="E552" s="1"/>
      <c r="F552" s="1"/>
      <c r="G552" s="1"/>
      <c r="H552" s="1"/>
      <c r="I552" s="3"/>
      <c r="J552" s="3"/>
      <c r="K552" s="1"/>
      <c r="L552" s="3"/>
    </row>
    <row r="553" spans="1:12" ht="12.75">
      <c r="A553" s="1"/>
      <c r="B553" s="1"/>
      <c r="C553" s="1"/>
      <c r="D553" s="1"/>
      <c r="E553" s="1"/>
      <c r="F553" s="1"/>
      <c r="G553" s="1"/>
      <c r="H553" s="1"/>
      <c r="I553" s="3"/>
      <c r="J553" s="3"/>
      <c r="K553" s="1"/>
      <c r="L553" s="3"/>
    </row>
    <row r="554" spans="1:12" ht="12.75">
      <c r="A554" s="1"/>
      <c r="B554" s="1"/>
      <c r="C554" s="1"/>
      <c r="D554" s="1"/>
      <c r="E554" s="1"/>
      <c r="F554" s="1"/>
      <c r="G554" s="1"/>
      <c r="H554" s="1"/>
      <c r="I554" s="3"/>
      <c r="J554" s="3"/>
      <c r="K554" s="1"/>
      <c r="L554" s="3"/>
    </row>
    <row r="555" spans="1:12" ht="12.75">
      <c r="A555" s="1"/>
      <c r="B555" s="1"/>
      <c r="C555" s="1"/>
      <c r="D555" s="1"/>
      <c r="E555" s="1"/>
      <c r="F555" s="1"/>
      <c r="G555" s="1"/>
      <c r="H555" s="1"/>
      <c r="I555" s="3"/>
      <c r="J555" s="3"/>
      <c r="K555" s="1"/>
      <c r="L555" s="3"/>
    </row>
    <row r="556" spans="1:12" ht="12.75">
      <c r="A556" s="1"/>
      <c r="B556" s="1"/>
      <c r="C556" s="1"/>
      <c r="D556" s="1"/>
      <c r="E556" s="1"/>
      <c r="F556" s="1"/>
      <c r="G556" s="1"/>
      <c r="H556" s="1"/>
      <c r="I556" s="3"/>
      <c r="J556" s="3"/>
      <c r="K556" s="1"/>
      <c r="L556" s="3"/>
    </row>
    <row r="557" spans="1:12" ht="12.75">
      <c r="A557" s="1"/>
      <c r="B557" s="1"/>
      <c r="C557" s="1"/>
      <c r="D557" s="1"/>
      <c r="E557" s="1"/>
      <c r="F557" s="1"/>
      <c r="G557" s="1"/>
      <c r="H557" s="1"/>
      <c r="I557" s="3"/>
      <c r="J557" s="3"/>
      <c r="K557" s="1"/>
      <c r="L557" s="3"/>
    </row>
    <row r="558" spans="1:12" ht="12.75">
      <c r="A558" s="1"/>
      <c r="B558" s="1"/>
      <c r="C558" s="1"/>
      <c r="D558" s="1"/>
      <c r="E558" s="1"/>
      <c r="F558" s="1"/>
      <c r="G558" s="1"/>
      <c r="H558" s="1"/>
      <c r="I558" s="3"/>
      <c r="J558" s="3"/>
      <c r="K558" s="1"/>
      <c r="L558" s="3"/>
    </row>
    <row r="559" spans="1:12" ht="12.75">
      <c r="A559" s="1"/>
      <c r="B559" s="1"/>
      <c r="C559" s="1"/>
      <c r="D559" s="1"/>
      <c r="E559" s="1"/>
      <c r="F559" s="1"/>
      <c r="G559" s="1"/>
      <c r="H559" s="1"/>
      <c r="I559" s="3"/>
      <c r="J559" s="3"/>
      <c r="K559" s="1"/>
      <c r="L559" s="3"/>
    </row>
    <row r="560" spans="1:12" ht="12.75">
      <c r="A560" s="1"/>
      <c r="B560" s="1"/>
      <c r="C560" s="1"/>
      <c r="D560" s="1"/>
      <c r="E560" s="1"/>
      <c r="F560" s="1"/>
      <c r="G560" s="1"/>
      <c r="H560" s="1"/>
      <c r="I560" s="3"/>
      <c r="J560" s="3"/>
      <c r="K560" s="1"/>
      <c r="L560" s="3"/>
    </row>
    <row r="561" spans="1:12" ht="12.75">
      <c r="A561" s="1"/>
      <c r="B561" s="1"/>
      <c r="C561" s="1"/>
      <c r="D561" s="1"/>
      <c r="E561" s="1"/>
      <c r="F561" s="1"/>
      <c r="G561" s="1"/>
      <c r="H561" s="1"/>
      <c r="I561" s="3"/>
      <c r="J561" s="3"/>
      <c r="K561" s="1"/>
      <c r="L561" s="3"/>
    </row>
    <row r="562" spans="1:12" ht="12.75">
      <c r="A562" s="1"/>
      <c r="B562" s="1"/>
      <c r="C562" s="1"/>
      <c r="D562" s="1"/>
      <c r="E562" s="1"/>
      <c r="F562" s="1"/>
      <c r="G562" s="1"/>
      <c r="H562" s="1"/>
      <c r="I562" s="3"/>
      <c r="J562" s="3"/>
      <c r="K562" s="1"/>
      <c r="L562" s="3"/>
    </row>
    <row r="563" spans="1:12" ht="12.75">
      <c r="A563" s="1"/>
      <c r="B563" s="1"/>
      <c r="C563" s="1"/>
      <c r="D563" s="1"/>
      <c r="E563" s="1"/>
      <c r="F563" s="1"/>
      <c r="G563" s="1"/>
      <c r="H563" s="1"/>
      <c r="I563" s="3"/>
      <c r="J563" s="3"/>
      <c r="K563" s="1"/>
      <c r="L563" s="3"/>
    </row>
    <row r="564" spans="1:12" ht="12.75">
      <c r="A564" s="1"/>
      <c r="B564" s="1"/>
      <c r="C564" s="1"/>
      <c r="D564" s="1"/>
      <c r="E564" s="1"/>
      <c r="F564" s="1"/>
      <c r="G564" s="1"/>
      <c r="H564" s="1"/>
      <c r="I564" s="3"/>
      <c r="J564" s="3"/>
      <c r="K564" s="1"/>
      <c r="L564" s="3"/>
    </row>
    <row r="565" spans="1:12" ht="12.75">
      <c r="A565" s="1"/>
      <c r="B565" s="1"/>
      <c r="C565" s="1"/>
      <c r="D565" s="1"/>
      <c r="E565" s="1"/>
      <c r="F565" s="1"/>
      <c r="G565" s="1"/>
      <c r="H565" s="1"/>
      <c r="I565" s="3"/>
      <c r="J565" s="3"/>
      <c r="K565" s="1"/>
      <c r="L565" s="3"/>
    </row>
    <row r="566" spans="1:12" ht="12.75">
      <c r="A566" s="1"/>
      <c r="B566" s="1"/>
      <c r="C566" s="1"/>
      <c r="D566" s="1"/>
      <c r="E566" s="1"/>
      <c r="F566" s="1"/>
      <c r="G566" s="1"/>
      <c r="H566" s="1"/>
      <c r="I566" s="3"/>
      <c r="J566" s="3"/>
      <c r="K566" s="1"/>
      <c r="L566" s="3"/>
    </row>
    <row r="567" spans="1:12" ht="12.75">
      <c r="A567" s="1"/>
      <c r="B567" s="1"/>
      <c r="C567" s="1"/>
      <c r="D567" s="1"/>
      <c r="E567" s="1"/>
      <c r="F567" s="1"/>
      <c r="G567" s="1"/>
      <c r="H567" s="1"/>
      <c r="I567" s="3"/>
      <c r="J567" s="3"/>
      <c r="K567" s="1"/>
      <c r="L567" s="3"/>
    </row>
    <row r="568" spans="1:12" ht="12.75">
      <c r="A568" s="1"/>
      <c r="B568" s="1"/>
      <c r="C568" s="1"/>
      <c r="D568" s="1"/>
      <c r="E568" s="1"/>
      <c r="F568" s="1"/>
      <c r="G568" s="1"/>
      <c r="H568" s="1"/>
      <c r="I568" s="3"/>
      <c r="J568" s="3"/>
      <c r="K568" s="1"/>
      <c r="L568" s="3"/>
    </row>
    <row r="569" spans="1:12" ht="12.75">
      <c r="A569" s="1"/>
      <c r="B569" s="1"/>
      <c r="C569" s="1"/>
      <c r="D569" s="1"/>
      <c r="E569" s="1"/>
      <c r="F569" s="1"/>
      <c r="G569" s="1"/>
      <c r="H569" s="1"/>
      <c r="I569" s="3"/>
      <c r="J569" s="3"/>
      <c r="K569" s="1"/>
      <c r="L569" s="3"/>
    </row>
    <row r="570" spans="1:12" ht="12.75">
      <c r="A570" s="1"/>
      <c r="B570" s="1"/>
      <c r="C570" s="1"/>
      <c r="D570" s="1"/>
      <c r="E570" s="1"/>
      <c r="F570" s="1"/>
      <c r="G570" s="1"/>
      <c r="H570" s="1"/>
      <c r="I570" s="3"/>
      <c r="J570" s="3"/>
      <c r="K570" s="1"/>
      <c r="L570" s="3"/>
    </row>
    <row r="571" spans="1:12" ht="12.75">
      <c r="A571" s="1"/>
      <c r="B571" s="1"/>
      <c r="C571" s="1"/>
      <c r="D571" s="1"/>
      <c r="E571" s="1"/>
      <c r="F571" s="1"/>
      <c r="G571" s="1"/>
      <c r="H571" s="1"/>
      <c r="I571" s="3"/>
      <c r="J571" s="3"/>
      <c r="K571" s="1"/>
      <c r="L571" s="3"/>
    </row>
    <row r="572" spans="1:12" ht="12.75">
      <c r="A572" s="1"/>
      <c r="B572" s="1"/>
      <c r="C572" s="1"/>
      <c r="D572" s="1"/>
      <c r="E572" s="1"/>
      <c r="F572" s="1"/>
      <c r="G572" s="1"/>
      <c r="H572" s="1"/>
      <c r="I572" s="3"/>
      <c r="J572" s="3"/>
      <c r="K572" s="1"/>
      <c r="L572" s="3"/>
    </row>
    <row r="573" spans="1:12" ht="12.75">
      <c r="A573" s="1"/>
      <c r="B573" s="1"/>
      <c r="C573" s="1"/>
      <c r="D573" s="1"/>
      <c r="E573" s="1"/>
      <c r="F573" s="1"/>
      <c r="G573" s="1"/>
      <c r="H573" s="1"/>
      <c r="I573" s="3"/>
      <c r="J573" s="3"/>
      <c r="K573" s="1"/>
      <c r="L573" s="3"/>
    </row>
    <row r="574" spans="1:12" ht="12.75">
      <c r="A574" s="1"/>
      <c r="B574" s="1"/>
      <c r="C574" s="1"/>
      <c r="D574" s="1"/>
      <c r="E574" s="1"/>
      <c r="F574" s="1"/>
      <c r="G574" s="1"/>
      <c r="H574" s="1"/>
      <c r="I574" s="3"/>
      <c r="J574" s="3"/>
      <c r="K574" s="1"/>
      <c r="L574" s="3"/>
    </row>
    <row r="575" spans="1:12" ht="12.75">
      <c r="A575" s="1"/>
      <c r="B575" s="1"/>
      <c r="C575" s="1"/>
      <c r="D575" s="1"/>
      <c r="E575" s="1"/>
      <c r="F575" s="1"/>
      <c r="G575" s="1"/>
      <c r="H575" s="1"/>
      <c r="I575" s="3"/>
      <c r="J575" s="3"/>
      <c r="K575" s="1"/>
      <c r="L575" s="3"/>
    </row>
    <row r="576" spans="1:12" ht="12.75">
      <c r="A576" s="1"/>
      <c r="B576" s="1"/>
      <c r="C576" s="1"/>
      <c r="D576" s="1"/>
      <c r="E576" s="1"/>
      <c r="F576" s="1"/>
      <c r="G576" s="1"/>
      <c r="H576" s="1"/>
      <c r="I576" s="3"/>
      <c r="J576" s="3"/>
      <c r="K576" s="1"/>
      <c r="L576" s="3"/>
    </row>
    <row r="577" spans="1:12" ht="12.75">
      <c r="A577" s="1"/>
      <c r="B577" s="1"/>
      <c r="C577" s="1"/>
      <c r="D577" s="1"/>
      <c r="E577" s="1"/>
      <c r="F577" s="1"/>
      <c r="G577" s="1"/>
      <c r="H577" s="1"/>
      <c r="I577" s="3"/>
      <c r="J577" s="3"/>
      <c r="K577" s="1"/>
      <c r="L577" s="3"/>
    </row>
    <row r="578" spans="1:12" ht="12.75">
      <c r="A578" s="1"/>
      <c r="B578" s="1"/>
      <c r="C578" s="1"/>
      <c r="D578" s="1"/>
      <c r="E578" s="1"/>
      <c r="F578" s="1"/>
      <c r="G578" s="1"/>
      <c r="H578" s="1"/>
      <c r="I578" s="3"/>
      <c r="J578" s="3"/>
      <c r="K578" s="1"/>
      <c r="L578" s="3"/>
    </row>
    <row r="579" spans="1:12" ht="12.75">
      <c r="A579" s="1"/>
      <c r="B579" s="1"/>
      <c r="C579" s="1"/>
      <c r="D579" s="1"/>
      <c r="E579" s="1"/>
      <c r="F579" s="1"/>
      <c r="G579" s="1"/>
      <c r="H579" s="1"/>
      <c r="I579" s="3"/>
      <c r="J579" s="3"/>
      <c r="K579" s="1"/>
      <c r="L579" s="3"/>
    </row>
    <row r="580" spans="1:12" ht="12.75">
      <c r="A580" s="1"/>
      <c r="B580" s="1"/>
      <c r="C580" s="1"/>
      <c r="D580" s="1"/>
      <c r="E580" s="1"/>
      <c r="F580" s="1"/>
      <c r="G580" s="1"/>
      <c r="H580" s="1"/>
      <c r="I580" s="3"/>
      <c r="J580" s="3"/>
      <c r="K580" s="1"/>
      <c r="L580" s="3"/>
    </row>
    <row r="581" spans="1:12" ht="12.75">
      <c r="A581" s="1"/>
      <c r="B581" s="1"/>
      <c r="C581" s="1"/>
      <c r="D581" s="1"/>
      <c r="E581" s="1"/>
      <c r="F581" s="1"/>
      <c r="G581" s="1"/>
      <c r="H581" s="1"/>
      <c r="I581" s="3"/>
      <c r="J581" s="3"/>
      <c r="K581" s="1"/>
      <c r="L581" s="3"/>
    </row>
    <row r="582" spans="1:12" ht="12.75">
      <c r="A582" s="1"/>
      <c r="B582" s="1"/>
      <c r="C582" s="1"/>
      <c r="D582" s="1"/>
      <c r="E582" s="1"/>
      <c r="F582" s="1"/>
      <c r="G582" s="1"/>
      <c r="H582" s="1"/>
      <c r="I582" s="3"/>
      <c r="J582" s="3"/>
      <c r="K582" s="1"/>
      <c r="L582" s="3"/>
    </row>
    <row r="583" spans="1:12" ht="12.75">
      <c r="A583" s="1"/>
      <c r="B583" s="1"/>
      <c r="C583" s="1"/>
      <c r="D583" s="1"/>
      <c r="E583" s="1"/>
      <c r="F583" s="1"/>
      <c r="G583" s="1"/>
      <c r="H583" s="1"/>
      <c r="I583" s="3"/>
      <c r="J583" s="3"/>
      <c r="K583" s="1"/>
      <c r="L583" s="3"/>
    </row>
    <row r="584" spans="1:12" ht="12.75">
      <c r="A584" s="1"/>
      <c r="B584" s="1"/>
      <c r="C584" s="1"/>
      <c r="D584" s="1"/>
      <c r="E584" s="1"/>
      <c r="F584" s="1"/>
      <c r="G584" s="1"/>
      <c r="H584" s="1"/>
      <c r="I584" s="3"/>
      <c r="J584" s="3"/>
      <c r="K584" s="1"/>
      <c r="L584" s="3"/>
    </row>
    <row r="585" spans="1:12" ht="12.75">
      <c r="A585" s="1"/>
      <c r="B585" s="1"/>
      <c r="C585" s="1"/>
      <c r="D585" s="1"/>
      <c r="E585" s="1"/>
      <c r="F585" s="1"/>
      <c r="G585" s="1"/>
      <c r="H585" s="1"/>
      <c r="I585" s="3"/>
      <c r="J585" s="3"/>
      <c r="K585" s="1"/>
      <c r="L585" s="3"/>
    </row>
    <row r="586" spans="1:12" ht="12.75">
      <c r="A586" s="1"/>
      <c r="B586" s="1"/>
      <c r="C586" s="1"/>
      <c r="D586" s="1"/>
      <c r="E586" s="1"/>
      <c r="F586" s="1"/>
      <c r="G586" s="1"/>
      <c r="H586" s="1"/>
      <c r="I586" s="3"/>
      <c r="J586" s="3"/>
      <c r="K586" s="1"/>
      <c r="L586" s="3"/>
    </row>
    <row r="587" spans="1:12" ht="12.75">
      <c r="A587" s="1"/>
      <c r="B587" s="1"/>
      <c r="C587" s="1"/>
      <c r="D587" s="1"/>
      <c r="E587" s="1"/>
      <c r="F587" s="1"/>
      <c r="G587" s="1"/>
      <c r="H587" s="1"/>
      <c r="I587" s="3"/>
      <c r="J587" s="3"/>
      <c r="K587" s="1"/>
      <c r="L587" s="3"/>
    </row>
    <row r="588" spans="1:12" ht="12.75">
      <c r="A588" s="1"/>
      <c r="B588" s="1"/>
      <c r="C588" s="1"/>
      <c r="D588" s="1"/>
      <c r="E588" s="1"/>
      <c r="F588" s="1"/>
      <c r="G588" s="1"/>
      <c r="H588" s="1"/>
      <c r="I588" s="3"/>
      <c r="J588" s="3"/>
      <c r="K588" s="1"/>
      <c r="L588" s="3"/>
    </row>
    <row r="589" spans="1:12" ht="12.75">
      <c r="A589" s="1"/>
      <c r="B589" s="1"/>
      <c r="C589" s="1"/>
      <c r="D589" s="1"/>
      <c r="E589" s="1"/>
      <c r="F589" s="1"/>
      <c r="G589" s="1"/>
      <c r="H589" s="1"/>
      <c r="I589" s="3"/>
      <c r="J589" s="3"/>
      <c r="K589" s="1"/>
      <c r="L589" s="3"/>
    </row>
    <row r="590" spans="1:12" ht="12.75">
      <c r="A590" s="1"/>
      <c r="B590" s="1"/>
      <c r="C590" s="1"/>
      <c r="D590" s="1"/>
      <c r="E590" s="1"/>
      <c r="F590" s="1"/>
      <c r="G590" s="1"/>
      <c r="H590" s="1"/>
      <c r="I590" s="3"/>
      <c r="J590" s="3"/>
      <c r="K590" s="1"/>
      <c r="L590" s="3"/>
    </row>
    <row r="591" spans="1:12" ht="12.75">
      <c r="A591" s="1"/>
      <c r="B591" s="1"/>
      <c r="C591" s="1"/>
      <c r="D591" s="1"/>
      <c r="E591" s="1"/>
      <c r="F591" s="1"/>
      <c r="G591" s="1"/>
      <c r="H591" s="1"/>
      <c r="I591" s="3"/>
      <c r="J591" s="3"/>
      <c r="K591" s="1"/>
      <c r="L591" s="3"/>
    </row>
    <row r="592" spans="1:12" ht="12.75">
      <c r="A592" s="1"/>
      <c r="B592" s="1"/>
      <c r="C592" s="1"/>
      <c r="D592" s="1"/>
      <c r="E592" s="1"/>
      <c r="F592" s="1"/>
      <c r="G592" s="1"/>
      <c r="H592" s="1"/>
      <c r="I592" s="3"/>
      <c r="J592" s="3"/>
      <c r="K592" s="1"/>
      <c r="L592" s="3"/>
    </row>
    <row r="593" spans="1:12" ht="12.75">
      <c r="A593" s="1"/>
      <c r="B593" s="1"/>
      <c r="C593" s="1"/>
      <c r="D593" s="1"/>
      <c r="E593" s="1"/>
      <c r="F593" s="1"/>
      <c r="G593" s="1"/>
      <c r="H593" s="1"/>
      <c r="I593" s="3"/>
      <c r="J593" s="3"/>
      <c r="K593" s="1"/>
      <c r="L593" s="3"/>
    </row>
    <row r="594" spans="1:12" ht="12.75">
      <c r="A594" s="1"/>
      <c r="B594" s="1"/>
      <c r="C594" s="1"/>
      <c r="D594" s="1"/>
      <c r="E594" s="1"/>
      <c r="F594" s="1"/>
      <c r="G594" s="1"/>
      <c r="H594" s="1"/>
      <c r="I594" s="3"/>
      <c r="J594" s="3"/>
      <c r="K594" s="1"/>
      <c r="L594" s="3"/>
    </row>
    <row r="595" spans="1:12" ht="12.75">
      <c r="A595" s="1"/>
      <c r="B595" s="1"/>
      <c r="C595" s="1"/>
      <c r="D595" s="1"/>
      <c r="E595" s="1"/>
      <c r="F595" s="1"/>
      <c r="G595" s="1"/>
      <c r="H595" s="1"/>
      <c r="I595" s="3"/>
      <c r="J595" s="3"/>
      <c r="K595" s="1"/>
      <c r="L595" s="3"/>
    </row>
    <row r="596" spans="1:12" ht="12.75">
      <c r="A596" s="1"/>
      <c r="B596" s="1"/>
      <c r="C596" s="1"/>
      <c r="D596" s="1"/>
      <c r="E596" s="1"/>
      <c r="F596" s="1"/>
      <c r="G596" s="1"/>
      <c r="H596" s="1"/>
      <c r="I596" s="3"/>
      <c r="J596" s="3"/>
      <c r="K596" s="1"/>
      <c r="L596" s="3"/>
    </row>
    <row r="597" spans="1:12" ht="12.75">
      <c r="A597" s="1"/>
      <c r="B597" s="1"/>
      <c r="C597" s="1"/>
      <c r="D597" s="1"/>
      <c r="E597" s="1"/>
      <c r="F597" s="1"/>
      <c r="G597" s="1"/>
      <c r="H597" s="1"/>
      <c r="I597" s="3"/>
      <c r="J597" s="3"/>
      <c r="K597" s="1"/>
      <c r="L597" s="3"/>
    </row>
    <row r="598" spans="1:12" ht="12.75">
      <c r="A598" s="1"/>
      <c r="B598" s="1"/>
      <c r="C598" s="1"/>
      <c r="D598" s="1"/>
      <c r="E598" s="1"/>
      <c r="F598" s="1"/>
      <c r="G598" s="1"/>
      <c r="H598" s="1"/>
      <c r="I598" s="3"/>
      <c r="J598" s="3"/>
      <c r="K598" s="1"/>
      <c r="L598" s="3"/>
    </row>
    <row r="599" spans="1:12" ht="12.75">
      <c r="A599" s="1"/>
      <c r="B599" s="1"/>
      <c r="C599" s="1"/>
      <c r="D599" s="1"/>
      <c r="E599" s="1"/>
      <c r="F599" s="1"/>
      <c r="G599" s="1"/>
      <c r="H599" s="1"/>
      <c r="I599" s="3"/>
      <c r="J599" s="3"/>
      <c r="K599" s="1"/>
      <c r="L599" s="3"/>
    </row>
    <row r="600" spans="1:12" ht="12.75">
      <c r="A600" s="1"/>
      <c r="B600" s="1"/>
      <c r="C600" s="1"/>
      <c r="D600" s="1"/>
      <c r="E600" s="1"/>
      <c r="F600" s="1"/>
      <c r="G600" s="1"/>
      <c r="H600" s="1"/>
      <c r="I600" s="3"/>
      <c r="J600" s="3"/>
      <c r="K600" s="1"/>
      <c r="L600" s="3"/>
    </row>
    <row r="601" spans="1:12" ht="12.75">
      <c r="A601" s="1"/>
      <c r="B601" s="1"/>
      <c r="C601" s="1"/>
      <c r="D601" s="1"/>
      <c r="E601" s="1"/>
      <c r="F601" s="1"/>
      <c r="G601" s="1"/>
      <c r="H601" s="1"/>
      <c r="I601" s="3"/>
      <c r="J601" s="3"/>
      <c r="K601" s="1"/>
      <c r="L601" s="3"/>
    </row>
    <row r="602" spans="1:12" ht="12.75">
      <c r="A602" s="1"/>
      <c r="B602" s="1"/>
      <c r="C602" s="1"/>
      <c r="D602" s="1"/>
      <c r="E602" s="1"/>
      <c r="F602" s="1"/>
      <c r="G602" s="1"/>
      <c r="H602" s="1"/>
      <c r="I602" s="3"/>
      <c r="J602" s="3"/>
      <c r="K602" s="1"/>
      <c r="L602" s="3"/>
    </row>
    <row r="603" spans="1:12" ht="12.75">
      <c r="A603" s="1"/>
      <c r="B603" s="1"/>
      <c r="C603" s="1"/>
      <c r="D603" s="1"/>
      <c r="E603" s="1"/>
      <c r="F603" s="1"/>
      <c r="G603" s="1"/>
      <c r="H603" s="1"/>
      <c r="I603" s="3"/>
      <c r="J603" s="3"/>
      <c r="K603" s="1"/>
      <c r="L603" s="3"/>
    </row>
    <row r="604" spans="1:12" ht="12.75">
      <c r="A604" s="1"/>
      <c r="B604" s="1"/>
      <c r="C604" s="1"/>
      <c r="D604" s="1"/>
      <c r="E604" s="1"/>
      <c r="F604" s="1"/>
      <c r="G604" s="1"/>
      <c r="H604" s="1"/>
      <c r="I604" s="3"/>
      <c r="J604" s="3"/>
      <c r="K604" s="1"/>
      <c r="L604" s="3"/>
    </row>
    <row r="605" spans="1:12" ht="12.75">
      <c r="A605" s="1"/>
      <c r="B605" s="1"/>
      <c r="C605" s="1"/>
      <c r="D605" s="1"/>
      <c r="E605" s="1"/>
      <c r="F605" s="1"/>
      <c r="G605" s="1"/>
      <c r="H605" s="1"/>
      <c r="I605" s="3"/>
      <c r="J605" s="3"/>
      <c r="K605" s="1"/>
      <c r="L605" s="3"/>
    </row>
    <row r="606" spans="1:12" ht="12.75">
      <c r="A606" s="1"/>
      <c r="B606" s="1"/>
      <c r="C606" s="1"/>
      <c r="D606" s="1"/>
      <c r="E606" s="1"/>
      <c r="F606" s="1"/>
      <c r="G606" s="1"/>
      <c r="H606" s="1"/>
      <c r="I606" s="3"/>
      <c r="J606" s="3"/>
      <c r="K606" s="1"/>
      <c r="L606" s="3"/>
    </row>
    <row r="607" spans="1:12" ht="12.75">
      <c r="A607" s="1"/>
      <c r="B607" s="1"/>
      <c r="C607" s="1"/>
      <c r="D607" s="1"/>
      <c r="E607" s="1"/>
      <c r="F607" s="1"/>
      <c r="G607" s="1"/>
      <c r="H607" s="1"/>
      <c r="I607" s="3"/>
      <c r="J607" s="3"/>
      <c r="K607" s="1"/>
      <c r="L607" s="3"/>
    </row>
    <row r="608" spans="1:12" ht="12.75">
      <c r="A608" s="1"/>
      <c r="B608" s="1"/>
      <c r="C608" s="1"/>
      <c r="D608" s="1"/>
      <c r="E608" s="1"/>
      <c r="F608" s="1"/>
      <c r="G608" s="1"/>
      <c r="H608" s="1"/>
      <c r="I608" s="3"/>
      <c r="J608" s="3"/>
      <c r="K608" s="1"/>
      <c r="L608" s="3"/>
    </row>
    <row r="609" spans="1:12" ht="12.75">
      <c r="A609" s="1"/>
      <c r="B609" s="1"/>
      <c r="C609" s="1"/>
      <c r="D609" s="1"/>
      <c r="E609" s="1"/>
      <c r="F609" s="1"/>
      <c r="G609" s="1"/>
      <c r="H609" s="1"/>
      <c r="I609" s="3"/>
      <c r="J609" s="3"/>
      <c r="K609" s="1"/>
      <c r="L609" s="3"/>
    </row>
    <row r="610" spans="1:12" ht="12.75">
      <c r="A610" s="1"/>
      <c r="B610" s="1"/>
      <c r="C610" s="1"/>
      <c r="D610" s="1"/>
      <c r="E610" s="1"/>
      <c r="F610" s="1"/>
      <c r="G610" s="1"/>
      <c r="H610" s="1"/>
      <c r="I610" s="3"/>
      <c r="J610" s="3"/>
      <c r="K610" s="1"/>
      <c r="L610" s="3"/>
    </row>
    <row r="611" spans="1:12" ht="12.75">
      <c r="A611" s="1"/>
      <c r="B611" s="1"/>
      <c r="C611" s="1"/>
      <c r="D611" s="1"/>
      <c r="E611" s="1"/>
      <c r="F611" s="1"/>
      <c r="G611" s="1"/>
      <c r="H611" s="1"/>
      <c r="I611" s="3"/>
      <c r="J611" s="3"/>
      <c r="K611" s="1"/>
      <c r="L611" s="3"/>
    </row>
    <row r="612" spans="1:12" ht="12.75">
      <c r="A612" s="1"/>
      <c r="B612" s="1"/>
      <c r="C612" s="1"/>
      <c r="D612" s="1"/>
      <c r="E612" s="1"/>
      <c r="F612" s="1"/>
      <c r="G612" s="1"/>
      <c r="H612" s="1"/>
      <c r="I612" s="3"/>
      <c r="J612" s="3"/>
      <c r="K612" s="1"/>
      <c r="L612" s="3"/>
    </row>
    <row r="613" spans="1:12" ht="12.75">
      <c r="A613" s="1"/>
      <c r="B613" s="1"/>
      <c r="C613" s="1"/>
      <c r="D613" s="1"/>
      <c r="E613" s="1"/>
      <c r="F613" s="1"/>
      <c r="G613" s="1"/>
      <c r="H613" s="1"/>
      <c r="I613" s="3"/>
      <c r="J613" s="3"/>
      <c r="K613" s="1"/>
      <c r="L613" s="3"/>
    </row>
    <row r="614" spans="1:12" ht="12.75">
      <c r="A614" s="1"/>
      <c r="B614" s="1"/>
      <c r="C614" s="1"/>
      <c r="D614" s="1"/>
      <c r="E614" s="1"/>
      <c r="F614" s="1"/>
      <c r="G614" s="1"/>
      <c r="H614" s="1"/>
      <c r="I614" s="3"/>
      <c r="J614" s="3"/>
      <c r="K614" s="1"/>
      <c r="L614" s="3"/>
    </row>
    <row r="615" spans="1:12" ht="12.75">
      <c r="A615" s="1"/>
      <c r="B615" s="1"/>
      <c r="C615" s="1"/>
      <c r="D615" s="1"/>
      <c r="E615" s="1"/>
      <c r="F615" s="1"/>
      <c r="G615" s="1"/>
      <c r="H615" s="1"/>
      <c r="I615" s="3"/>
      <c r="J615" s="3"/>
      <c r="K615" s="1"/>
      <c r="L615" s="3"/>
    </row>
    <row r="616" spans="1:12" ht="12.75">
      <c r="A616" s="1"/>
      <c r="B616" s="1"/>
      <c r="C616" s="1"/>
      <c r="D616" s="1"/>
      <c r="E616" s="1"/>
      <c r="F616" s="1"/>
      <c r="G616" s="1"/>
      <c r="H616" s="1"/>
      <c r="I616" s="3"/>
      <c r="J616" s="3"/>
      <c r="K616" s="1"/>
      <c r="L616" s="3"/>
    </row>
    <row r="617" spans="1:12" ht="12.75">
      <c r="A617" s="1"/>
      <c r="B617" s="1"/>
      <c r="C617" s="1"/>
      <c r="D617" s="1"/>
      <c r="E617" s="1"/>
      <c r="F617" s="1"/>
      <c r="G617" s="1"/>
      <c r="H617" s="1"/>
      <c r="I617" s="3"/>
      <c r="J617" s="3"/>
      <c r="K617" s="1"/>
      <c r="L617" s="3"/>
    </row>
    <row r="618" spans="1:12" ht="12.75">
      <c r="A618" s="1"/>
      <c r="B618" s="1"/>
      <c r="C618" s="1"/>
      <c r="D618" s="1"/>
      <c r="E618" s="1"/>
      <c r="F618" s="1"/>
      <c r="G618" s="1"/>
      <c r="H618" s="1"/>
      <c r="I618" s="3"/>
      <c r="J618" s="3"/>
      <c r="K618" s="1"/>
      <c r="L618" s="3"/>
    </row>
    <row r="619" spans="1:12" ht="12.75">
      <c r="A619" s="1"/>
      <c r="B619" s="1"/>
      <c r="C619" s="1"/>
      <c r="D619" s="1"/>
      <c r="E619" s="1"/>
      <c r="F619" s="1"/>
      <c r="G619" s="1"/>
      <c r="H619" s="1"/>
      <c r="I619" s="3"/>
      <c r="J619" s="3"/>
      <c r="K619" s="1"/>
      <c r="L619" s="3"/>
    </row>
    <row r="620" spans="1:12" ht="12.75">
      <c r="A620" s="1"/>
      <c r="B620" s="1"/>
      <c r="C620" s="1"/>
      <c r="D620" s="1"/>
      <c r="E620" s="1"/>
      <c r="F620" s="1"/>
      <c r="G620" s="1"/>
      <c r="H620" s="1"/>
      <c r="I620" s="3"/>
      <c r="J620" s="3"/>
      <c r="K620" s="1"/>
      <c r="L620" s="3"/>
    </row>
    <row r="621" spans="1:12" ht="12.75">
      <c r="A621" s="1"/>
      <c r="B621" s="1"/>
      <c r="C621" s="1"/>
      <c r="D621" s="1"/>
      <c r="E621" s="1"/>
      <c r="F621" s="1"/>
      <c r="G621" s="1"/>
      <c r="H621" s="1"/>
      <c r="I621" s="3"/>
      <c r="J621" s="3"/>
      <c r="K621" s="1"/>
      <c r="L621" s="3"/>
    </row>
    <row r="622" spans="1:12" ht="12.75">
      <c r="A622" s="1"/>
      <c r="B622" s="1"/>
      <c r="C622" s="1"/>
      <c r="D622" s="1"/>
      <c r="E622" s="1"/>
      <c r="F622" s="1"/>
      <c r="G622" s="1"/>
      <c r="H622" s="1"/>
      <c r="I622" s="3"/>
      <c r="J622" s="3"/>
      <c r="K622" s="1"/>
      <c r="L622" s="3"/>
    </row>
    <row r="623" spans="1:12" ht="12.75">
      <c r="A623" s="1"/>
      <c r="B623" s="1"/>
      <c r="C623" s="1"/>
      <c r="D623" s="1"/>
      <c r="E623" s="1"/>
      <c r="F623" s="1"/>
      <c r="G623" s="1"/>
      <c r="H623" s="1"/>
      <c r="I623" s="3"/>
      <c r="J623" s="3"/>
      <c r="K623" s="1"/>
      <c r="L623" s="3"/>
    </row>
    <row r="624" spans="1:12" ht="12.75">
      <c r="A624" s="1"/>
      <c r="B624" s="1"/>
      <c r="C624" s="1"/>
      <c r="D624" s="1"/>
      <c r="E624" s="1"/>
      <c r="F624" s="1"/>
      <c r="G624" s="1"/>
      <c r="H624" s="1"/>
      <c r="I624" s="3"/>
      <c r="J624" s="3"/>
      <c r="K624" s="1"/>
      <c r="L624" s="3"/>
    </row>
    <row r="625" spans="1:12" ht="12.75">
      <c r="A625" s="1"/>
      <c r="B625" s="1"/>
      <c r="C625" s="1"/>
      <c r="D625" s="1"/>
      <c r="E625" s="1"/>
      <c r="F625" s="1"/>
      <c r="G625" s="1"/>
      <c r="H625" s="1"/>
      <c r="I625" s="3"/>
      <c r="J625" s="3"/>
      <c r="K625" s="1"/>
      <c r="L625" s="3"/>
    </row>
    <row r="626" spans="1:12" ht="12.75">
      <c r="A626" s="1"/>
      <c r="B626" s="1"/>
      <c r="C626" s="1"/>
      <c r="D626" s="1"/>
      <c r="E626" s="1"/>
      <c r="F626" s="1"/>
      <c r="G626" s="1"/>
      <c r="H626" s="1"/>
      <c r="I626" s="3"/>
      <c r="J626" s="3"/>
      <c r="K626" s="1"/>
      <c r="L626" s="3"/>
    </row>
    <row r="627" spans="1:12" ht="12.75">
      <c r="A627" s="1"/>
      <c r="B627" s="1"/>
      <c r="C627" s="1"/>
      <c r="D627" s="1"/>
      <c r="E627" s="1"/>
      <c r="F627" s="1"/>
      <c r="G627" s="1"/>
      <c r="H627" s="1"/>
      <c r="I627" s="3"/>
      <c r="J627" s="3"/>
      <c r="K627" s="1"/>
      <c r="L627" s="3"/>
    </row>
    <row r="628" spans="1:12" ht="12.75">
      <c r="A628" s="1"/>
      <c r="B628" s="1"/>
      <c r="C628" s="1"/>
      <c r="D628" s="1"/>
      <c r="E628" s="1"/>
      <c r="F628" s="1"/>
      <c r="G628" s="1"/>
      <c r="H628" s="1"/>
      <c r="I628" s="3"/>
      <c r="J628" s="3"/>
      <c r="K628" s="1"/>
      <c r="L628" s="3"/>
    </row>
    <row r="629" spans="1:12" ht="12.75">
      <c r="A629" s="1"/>
      <c r="B629" s="1"/>
      <c r="C629" s="1"/>
      <c r="D629" s="1"/>
      <c r="E629" s="1"/>
      <c r="F629" s="1"/>
      <c r="G629" s="1"/>
      <c r="H629" s="1"/>
      <c r="I629" s="3"/>
      <c r="J629" s="3"/>
      <c r="K629" s="1"/>
      <c r="L629" s="3"/>
    </row>
    <row r="630" spans="1:12" ht="12.75">
      <c r="A630" s="1"/>
      <c r="B630" s="1"/>
      <c r="C630" s="1"/>
      <c r="D630" s="1"/>
      <c r="E630" s="1"/>
      <c r="F630" s="1"/>
      <c r="G630" s="1"/>
      <c r="H630" s="1"/>
      <c r="I630" s="3"/>
      <c r="J630" s="3"/>
      <c r="K630" s="1"/>
      <c r="L630" s="3"/>
    </row>
    <row r="631" spans="1:12" ht="12.75">
      <c r="A631" s="1"/>
      <c r="B631" s="1"/>
      <c r="C631" s="1"/>
      <c r="D631" s="1"/>
      <c r="E631" s="1"/>
      <c r="F631" s="1"/>
      <c r="G631" s="1"/>
      <c r="H631" s="1"/>
      <c r="I631" s="3"/>
      <c r="J631" s="3"/>
      <c r="K631" s="1"/>
      <c r="L631" s="3"/>
    </row>
    <row r="632" spans="1:12" ht="12.75">
      <c r="A632" s="1"/>
      <c r="B632" s="1"/>
      <c r="C632" s="1"/>
      <c r="D632" s="1"/>
      <c r="E632" s="1"/>
      <c r="F632" s="1"/>
      <c r="G632" s="1"/>
      <c r="H632" s="1"/>
      <c r="I632" s="3"/>
      <c r="J632" s="3"/>
      <c r="K632" s="1"/>
      <c r="L632" s="3"/>
    </row>
    <row r="633" spans="1:12" ht="12.75">
      <c r="A633" s="1"/>
      <c r="B633" s="1"/>
      <c r="C633" s="1"/>
      <c r="D633" s="1"/>
      <c r="E633" s="1"/>
      <c r="F633" s="1"/>
      <c r="G633" s="1"/>
      <c r="H633" s="1"/>
      <c r="I633" s="3"/>
      <c r="J633" s="3"/>
      <c r="K633" s="1"/>
      <c r="L633" s="3"/>
    </row>
    <row r="634" spans="1:12" ht="12.75">
      <c r="A634" s="1"/>
      <c r="B634" s="1"/>
      <c r="C634" s="1"/>
      <c r="D634" s="1"/>
      <c r="E634" s="1"/>
      <c r="F634" s="1"/>
      <c r="G634" s="1"/>
      <c r="H634" s="1"/>
      <c r="I634" s="3"/>
      <c r="J634" s="3"/>
      <c r="K634" s="1"/>
      <c r="L634" s="3"/>
    </row>
    <row r="635" spans="1:12" ht="12.75">
      <c r="A635" s="1"/>
      <c r="B635" s="1"/>
      <c r="C635" s="1"/>
      <c r="D635" s="1"/>
      <c r="E635" s="1"/>
      <c r="F635" s="1"/>
      <c r="G635" s="1"/>
      <c r="H635" s="1"/>
      <c r="I635" s="3"/>
      <c r="J635" s="3"/>
      <c r="K635" s="1"/>
      <c r="L635" s="3"/>
    </row>
    <row r="636" spans="1:12" ht="12.75">
      <c r="A636" s="1"/>
      <c r="B636" s="1"/>
      <c r="C636" s="1"/>
      <c r="D636" s="1"/>
      <c r="E636" s="1"/>
      <c r="F636" s="1"/>
      <c r="G636" s="1"/>
      <c r="H636" s="1"/>
      <c r="I636" s="3"/>
      <c r="J636" s="3"/>
      <c r="K636" s="1"/>
      <c r="L636" s="3"/>
    </row>
    <row r="637" spans="1:12" ht="12.75">
      <c r="A637" s="1"/>
      <c r="B637" s="1"/>
      <c r="C637" s="1"/>
      <c r="D637" s="1"/>
      <c r="E637" s="1"/>
      <c r="F637" s="1"/>
      <c r="G637" s="1"/>
      <c r="H637" s="1"/>
      <c r="I637" s="3"/>
      <c r="J637" s="3"/>
      <c r="K637" s="1"/>
      <c r="L637" s="3"/>
    </row>
    <row r="638" spans="1:12" ht="12.75">
      <c r="A638" s="1"/>
      <c r="B638" s="1"/>
      <c r="C638" s="1"/>
      <c r="D638" s="1"/>
      <c r="E638" s="1"/>
      <c r="F638" s="1"/>
      <c r="G638" s="1"/>
      <c r="H638" s="1"/>
      <c r="I638" s="3"/>
      <c r="J638" s="3"/>
      <c r="K638" s="1"/>
      <c r="L638" s="3"/>
    </row>
    <row r="639" spans="1:12" ht="12.75">
      <c r="A639" s="1"/>
      <c r="B639" s="1"/>
      <c r="C639" s="1"/>
      <c r="D639" s="1"/>
      <c r="E639" s="1"/>
      <c r="F639" s="1"/>
      <c r="G639" s="1"/>
      <c r="H639" s="1"/>
      <c r="I639" s="3"/>
      <c r="J639" s="3"/>
      <c r="K639" s="1"/>
      <c r="L639" s="3"/>
    </row>
    <row r="640" spans="1:12" ht="12.75">
      <c r="A640" s="1"/>
      <c r="B640" s="1"/>
      <c r="C640" s="1"/>
      <c r="D640" s="1"/>
      <c r="E640" s="1"/>
      <c r="F640" s="1"/>
      <c r="G640" s="1"/>
      <c r="H640" s="1"/>
      <c r="I640" s="3"/>
      <c r="J640" s="3"/>
      <c r="K640" s="1"/>
      <c r="L640" s="3"/>
    </row>
    <row r="641" spans="1:12" ht="12.75">
      <c r="A641" s="1"/>
      <c r="B641" s="1"/>
      <c r="C641" s="1"/>
      <c r="D641" s="1"/>
      <c r="E641" s="1"/>
      <c r="F641" s="1"/>
      <c r="G641" s="1"/>
      <c r="H641" s="1"/>
      <c r="I641" s="3"/>
      <c r="J641" s="3"/>
      <c r="K641" s="1"/>
      <c r="L641" s="3"/>
    </row>
    <row r="642" spans="1:12" ht="12.75">
      <c r="A642" s="1"/>
      <c r="B642" s="1"/>
      <c r="C642" s="1"/>
      <c r="D642" s="1"/>
      <c r="E642" s="1"/>
      <c r="F642" s="1"/>
      <c r="G642" s="1"/>
      <c r="H642" s="1"/>
      <c r="I642" s="3"/>
      <c r="J642" s="3"/>
      <c r="K642" s="1"/>
      <c r="L642" s="3"/>
    </row>
    <row r="643" spans="1:12" ht="12.75">
      <c r="A643" s="1"/>
      <c r="B643" s="1"/>
      <c r="C643" s="1"/>
      <c r="D643" s="1"/>
      <c r="E643" s="1"/>
      <c r="F643" s="1"/>
      <c r="G643" s="1"/>
      <c r="H643" s="1"/>
      <c r="I643" s="3"/>
      <c r="J643" s="3"/>
      <c r="K643" s="1"/>
      <c r="L643" s="3"/>
    </row>
    <row r="644" spans="1:12" ht="12.75">
      <c r="A644" s="1"/>
      <c r="B644" s="1"/>
      <c r="C644" s="1"/>
      <c r="D644" s="1"/>
      <c r="E644" s="1"/>
      <c r="F644" s="1"/>
      <c r="G644" s="1"/>
      <c r="H644" s="1"/>
      <c r="I644" s="3"/>
      <c r="J644" s="3"/>
      <c r="K644" s="1"/>
      <c r="L644" s="3"/>
    </row>
    <row r="645" spans="1:12" ht="12.75">
      <c r="A645" s="1"/>
      <c r="B645" s="1"/>
      <c r="C645" s="1"/>
      <c r="D645" s="1"/>
      <c r="E645" s="1"/>
      <c r="F645" s="1"/>
      <c r="G645" s="1"/>
      <c r="H645" s="1"/>
      <c r="I645" s="3"/>
      <c r="J645" s="3"/>
      <c r="K645" s="1"/>
      <c r="L645" s="3"/>
    </row>
    <row r="646" spans="1:12" ht="12.75">
      <c r="A646" s="1"/>
      <c r="B646" s="1"/>
      <c r="C646" s="1"/>
      <c r="D646" s="1"/>
      <c r="E646" s="1"/>
      <c r="F646" s="1"/>
      <c r="G646" s="1"/>
      <c r="H646" s="1"/>
      <c r="I646" s="3"/>
      <c r="J646" s="3"/>
      <c r="K646" s="1"/>
      <c r="L646" s="3"/>
    </row>
    <row r="647" spans="1:12" ht="12.75">
      <c r="A647" s="1"/>
      <c r="B647" s="1"/>
      <c r="C647" s="1"/>
      <c r="D647" s="1"/>
      <c r="E647" s="1"/>
      <c r="F647" s="1"/>
      <c r="G647" s="1"/>
      <c r="H647" s="1"/>
      <c r="I647" s="3"/>
      <c r="J647" s="3"/>
      <c r="K647" s="1"/>
      <c r="L647" s="3"/>
    </row>
    <row r="648" spans="1:12" ht="12.75">
      <c r="A648" s="1"/>
      <c r="B648" s="1"/>
      <c r="C648" s="1"/>
      <c r="D648" s="1"/>
      <c r="E648" s="1"/>
      <c r="F648" s="1"/>
      <c r="G648" s="1"/>
      <c r="H648" s="1"/>
      <c r="I648" s="3"/>
      <c r="J648" s="3"/>
      <c r="K648" s="1"/>
      <c r="L648" s="3"/>
    </row>
    <row r="649" spans="1:12" ht="12.75">
      <c r="A649" s="1"/>
      <c r="B649" s="1"/>
      <c r="C649" s="1"/>
      <c r="D649" s="1"/>
      <c r="E649" s="1"/>
      <c r="F649" s="1"/>
      <c r="G649" s="1"/>
      <c r="H649" s="1"/>
      <c r="I649" s="3"/>
      <c r="J649" s="3"/>
      <c r="K649" s="1"/>
      <c r="L649" s="3"/>
    </row>
    <row r="650" spans="1:12" ht="12.75">
      <c r="A650" s="1"/>
      <c r="B650" s="1"/>
      <c r="C650" s="1"/>
      <c r="D650" s="1"/>
      <c r="E650" s="1"/>
      <c r="F650" s="1"/>
      <c r="G650" s="1"/>
      <c r="H650" s="1"/>
      <c r="I650" s="3"/>
      <c r="J650" s="3"/>
      <c r="K650" s="1"/>
      <c r="L650" s="3"/>
    </row>
    <row r="651" spans="1:12" ht="12.75">
      <c r="A651" s="1"/>
      <c r="B651" s="1"/>
      <c r="C651" s="1"/>
      <c r="D651" s="1"/>
      <c r="E651" s="1"/>
      <c r="F651" s="1"/>
      <c r="G651" s="1"/>
      <c r="H651" s="1"/>
      <c r="I651" s="3"/>
      <c r="J651" s="3"/>
      <c r="K651" s="1"/>
      <c r="L651" s="3"/>
    </row>
    <row r="652" spans="1:12" ht="12.75">
      <c r="A652" s="1"/>
      <c r="B652" s="1"/>
      <c r="C652" s="1"/>
      <c r="D652" s="1"/>
      <c r="E652" s="1"/>
      <c r="F652" s="1"/>
      <c r="G652" s="1"/>
      <c r="H652" s="1"/>
      <c r="I652" s="3"/>
      <c r="J652" s="3"/>
      <c r="K652" s="1"/>
      <c r="L652" s="3"/>
    </row>
    <row r="653" spans="1:12" ht="12.75">
      <c r="A653" s="1"/>
      <c r="B653" s="1"/>
      <c r="C653" s="1"/>
      <c r="D653" s="1"/>
      <c r="E653" s="1"/>
      <c r="F653" s="1"/>
      <c r="G653" s="1"/>
      <c r="H653" s="1"/>
      <c r="I653" s="3"/>
      <c r="J653" s="3"/>
      <c r="K653" s="1"/>
      <c r="L653" s="3"/>
    </row>
    <row r="654" spans="1:12" ht="12.75">
      <c r="A654" s="1"/>
      <c r="B654" s="1"/>
      <c r="C654" s="1"/>
      <c r="D654" s="1"/>
      <c r="E654" s="1"/>
      <c r="F654" s="1"/>
      <c r="G654" s="1"/>
      <c r="H654" s="1"/>
      <c r="I654" s="3"/>
      <c r="J654" s="3"/>
      <c r="K654" s="1"/>
      <c r="L654" s="3"/>
    </row>
    <row r="655" spans="1:12" ht="12.75">
      <c r="A655" s="1"/>
      <c r="B655" s="1"/>
      <c r="C655" s="1"/>
      <c r="D655" s="1"/>
      <c r="E655" s="1"/>
      <c r="F655" s="1"/>
      <c r="G655" s="1"/>
      <c r="H655" s="1"/>
      <c r="I655" s="3"/>
      <c r="J655" s="3"/>
      <c r="K655" s="1"/>
      <c r="L655" s="3"/>
    </row>
    <row r="656" spans="1:12" ht="12.75">
      <c r="A656" s="1"/>
      <c r="B656" s="1"/>
      <c r="C656" s="1"/>
      <c r="D656" s="1"/>
      <c r="E656" s="1"/>
      <c r="F656" s="1"/>
      <c r="G656" s="1"/>
      <c r="H656" s="1"/>
      <c r="I656" s="3"/>
      <c r="J656" s="3"/>
      <c r="K656" s="1"/>
      <c r="L656" s="3"/>
    </row>
    <row r="657" spans="1:12" ht="12.75">
      <c r="A657" s="1"/>
      <c r="B657" s="1"/>
      <c r="C657" s="1"/>
      <c r="D657" s="1"/>
      <c r="E657" s="1"/>
      <c r="F657" s="1"/>
      <c r="G657" s="1"/>
      <c r="H657" s="1"/>
      <c r="I657" s="3"/>
      <c r="J657" s="3"/>
      <c r="K657" s="1"/>
      <c r="L657" s="3"/>
    </row>
    <row r="658" spans="1:12" ht="12.75">
      <c r="A658" s="1"/>
      <c r="B658" s="1"/>
      <c r="C658" s="1"/>
      <c r="D658" s="1"/>
      <c r="E658" s="1"/>
      <c r="F658" s="1"/>
      <c r="G658" s="1"/>
      <c r="H658" s="1"/>
      <c r="I658" s="3"/>
      <c r="J658" s="3"/>
      <c r="K658" s="1"/>
      <c r="L658" s="3"/>
    </row>
    <row r="659" spans="1:12" ht="12.75">
      <c r="A659" s="1"/>
      <c r="B659" s="1"/>
      <c r="C659" s="1"/>
      <c r="D659" s="1"/>
      <c r="E659" s="1"/>
      <c r="F659" s="1"/>
      <c r="G659" s="1"/>
      <c r="H659" s="1"/>
      <c r="I659" s="3"/>
      <c r="J659" s="3"/>
      <c r="K659" s="1"/>
      <c r="L659" s="3"/>
    </row>
    <row r="660" spans="1:12" ht="12.75">
      <c r="A660" s="1"/>
      <c r="B660" s="1"/>
      <c r="C660" s="1"/>
      <c r="D660" s="1"/>
      <c r="E660" s="1"/>
      <c r="F660" s="1"/>
      <c r="G660" s="1"/>
      <c r="H660" s="1"/>
      <c r="I660" s="3"/>
      <c r="J660" s="3"/>
      <c r="K660" s="1"/>
      <c r="L660" s="3"/>
    </row>
    <row r="661" spans="1:12" ht="12.75">
      <c r="A661" s="1"/>
      <c r="B661" s="1"/>
      <c r="C661" s="1"/>
      <c r="D661" s="1"/>
      <c r="E661" s="1"/>
      <c r="F661" s="1"/>
      <c r="G661" s="1"/>
      <c r="H661" s="1"/>
      <c r="I661" s="3"/>
      <c r="J661" s="3"/>
      <c r="K661" s="1"/>
      <c r="L661" s="3"/>
    </row>
    <row r="662" spans="1:12" ht="12.75">
      <c r="A662" s="1"/>
      <c r="B662" s="1"/>
      <c r="C662" s="1"/>
      <c r="D662" s="1"/>
      <c r="E662" s="1"/>
      <c r="F662" s="1"/>
      <c r="G662" s="1"/>
      <c r="H662" s="1"/>
      <c r="I662" s="3"/>
      <c r="J662" s="3"/>
      <c r="K662" s="1"/>
      <c r="L662" s="3"/>
    </row>
    <row r="663" spans="1:12" ht="12.75">
      <c r="A663" s="1"/>
      <c r="B663" s="1"/>
      <c r="C663" s="1"/>
      <c r="D663" s="1"/>
      <c r="E663" s="1"/>
      <c r="F663" s="1"/>
      <c r="G663" s="1"/>
      <c r="H663" s="1"/>
      <c r="I663" s="3"/>
      <c r="J663" s="3"/>
      <c r="K663" s="1"/>
      <c r="L663" s="3"/>
    </row>
    <row r="664" spans="1:12" ht="12.75">
      <c r="A664" s="1"/>
      <c r="B664" s="1"/>
      <c r="C664" s="1"/>
      <c r="D664" s="1"/>
      <c r="E664" s="1"/>
      <c r="F664" s="1"/>
      <c r="G664" s="1"/>
      <c r="H664" s="1"/>
      <c r="I664" s="3"/>
      <c r="J664" s="3"/>
      <c r="K664" s="1"/>
      <c r="L664" s="3"/>
    </row>
    <row r="665" spans="1:12" ht="12.75">
      <c r="A665" s="1"/>
      <c r="B665" s="1"/>
      <c r="C665" s="1"/>
      <c r="D665" s="1"/>
      <c r="E665" s="1"/>
      <c r="F665" s="1"/>
      <c r="G665" s="1"/>
      <c r="H665" s="1"/>
      <c r="I665" s="3"/>
      <c r="J665" s="3"/>
      <c r="K665" s="1"/>
      <c r="L665" s="3"/>
    </row>
    <row r="666" spans="1:12" ht="12.75">
      <c r="A666" s="1"/>
      <c r="B666" s="1"/>
      <c r="C666" s="1"/>
      <c r="D666" s="1"/>
      <c r="E666" s="1"/>
      <c r="F666" s="1"/>
      <c r="G666" s="1"/>
      <c r="H666" s="1"/>
      <c r="I666" s="3"/>
      <c r="J666" s="3"/>
      <c r="K666" s="1"/>
      <c r="L666" s="3"/>
    </row>
    <row r="667" spans="1:12" ht="12.75">
      <c r="A667" s="1"/>
      <c r="B667" s="1"/>
      <c r="C667" s="1"/>
      <c r="D667" s="1"/>
      <c r="E667" s="1"/>
      <c r="F667" s="1"/>
      <c r="G667" s="1"/>
      <c r="H667" s="1"/>
      <c r="I667" s="3"/>
      <c r="J667" s="3"/>
      <c r="K667" s="1"/>
      <c r="L667" s="3"/>
    </row>
    <row r="668" spans="1:12" ht="12.75">
      <c r="A668" s="1"/>
      <c r="B668" s="1"/>
      <c r="C668" s="1"/>
      <c r="D668" s="1"/>
      <c r="E668" s="1"/>
      <c r="F668" s="1"/>
      <c r="G668" s="1"/>
      <c r="H668" s="1"/>
      <c r="I668" s="3"/>
      <c r="J668" s="3"/>
      <c r="K668" s="1"/>
      <c r="L668" s="3"/>
    </row>
    <row r="669" spans="1:12" ht="12.75">
      <c r="A669" s="1"/>
      <c r="B669" s="1"/>
      <c r="C669" s="1"/>
      <c r="D669" s="1"/>
      <c r="E669" s="1"/>
      <c r="F669" s="1"/>
      <c r="G669" s="1"/>
      <c r="H669" s="1"/>
      <c r="I669" s="3"/>
      <c r="J669" s="3"/>
      <c r="K669" s="1"/>
      <c r="L669" s="3"/>
    </row>
    <row r="670" spans="1:12" ht="12.75">
      <c r="A670" s="1"/>
      <c r="B670" s="1"/>
      <c r="C670" s="1"/>
      <c r="D670" s="1"/>
      <c r="E670" s="1"/>
      <c r="F670" s="1"/>
      <c r="G670" s="1"/>
      <c r="H670" s="1"/>
      <c r="I670" s="3"/>
      <c r="J670" s="3"/>
      <c r="K670" s="1"/>
      <c r="L670" s="3"/>
    </row>
    <row r="671" spans="1:12" ht="12.75">
      <c r="A671" s="1"/>
      <c r="B671" s="1"/>
      <c r="C671" s="1"/>
      <c r="D671" s="1"/>
      <c r="E671" s="1"/>
      <c r="F671" s="1"/>
      <c r="G671" s="1"/>
      <c r="H671" s="1"/>
      <c r="I671" s="3"/>
      <c r="J671" s="3"/>
      <c r="K671" s="1"/>
      <c r="L671" s="3"/>
    </row>
    <row r="672" spans="1:12" ht="12.75">
      <c r="A672" s="1"/>
      <c r="B672" s="1"/>
      <c r="C672" s="1"/>
      <c r="D672" s="1"/>
      <c r="E672" s="1"/>
      <c r="F672" s="1"/>
      <c r="G672" s="1"/>
      <c r="H672" s="1"/>
      <c r="I672" s="3"/>
      <c r="J672" s="3"/>
      <c r="K672" s="1"/>
      <c r="L672" s="3"/>
    </row>
    <row r="673" spans="1:12" ht="12.75">
      <c r="A673" s="1"/>
      <c r="B673" s="1"/>
      <c r="C673" s="1"/>
      <c r="D673" s="1"/>
      <c r="E673" s="1"/>
      <c r="F673" s="1"/>
      <c r="G673" s="1"/>
      <c r="H673" s="1"/>
      <c r="I673" s="3"/>
      <c r="J673" s="3"/>
      <c r="K673" s="1"/>
      <c r="L673" s="3"/>
    </row>
    <row r="674" spans="1:12" ht="12.75">
      <c r="A674" s="1"/>
      <c r="B674" s="1"/>
      <c r="C674" s="1"/>
      <c r="D674" s="1"/>
      <c r="E674" s="1"/>
      <c r="F674" s="1"/>
      <c r="G674" s="1"/>
      <c r="H674" s="1"/>
      <c r="I674" s="3"/>
      <c r="J674" s="3"/>
      <c r="K674" s="1"/>
      <c r="L674" s="3"/>
    </row>
    <row r="675" spans="1:12" ht="12.75">
      <c r="A675" s="1"/>
      <c r="B675" s="1"/>
      <c r="C675" s="1"/>
      <c r="D675" s="1"/>
      <c r="E675" s="1"/>
      <c r="F675" s="1"/>
      <c r="G675" s="1"/>
      <c r="H675" s="1"/>
      <c r="I675" s="3"/>
      <c r="J675" s="3"/>
      <c r="K675" s="1"/>
      <c r="L675" s="3"/>
    </row>
    <row r="676" spans="1:12" ht="12.75">
      <c r="A676" s="1"/>
      <c r="B676" s="1"/>
      <c r="C676" s="1"/>
      <c r="D676" s="1"/>
      <c r="E676" s="1"/>
      <c r="F676" s="1"/>
      <c r="G676" s="1"/>
      <c r="H676" s="1"/>
      <c r="I676" s="3"/>
      <c r="J676" s="3"/>
      <c r="K676" s="1"/>
      <c r="L676" s="3"/>
    </row>
    <row r="677" spans="1:12" ht="12.75">
      <c r="A677" s="1"/>
      <c r="B677" s="1"/>
      <c r="C677" s="1"/>
      <c r="D677" s="1"/>
      <c r="E677" s="1"/>
      <c r="F677" s="1"/>
      <c r="G677" s="1"/>
      <c r="H677" s="1"/>
      <c r="I677" s="3"/>
      <c r="J677" s="3"/>
      <c r="K677" s="1"/>
      <c r="L677" s="3"/>
    </row>
    <row r="678" spans="1:12" ht="12.75">
      <c r="A678" s="1"/>
      <c r="B678" s="1"/>
      <c r="C678" s="1"/>
      <c r="D678" s="1"/>
      <c r="E678" s="1"/>
      <c r="F678" s="1"/>
      <c r="G678" s="1"/>
      <c r="H678" s="1"/>
      <c r="I678" s="3"/>
      <c r="J678" s="3"/>
      <c r="K678" s="1"/>
      <c r="L678" s="3"/>
    </row>
    <row r="679" spans="1:12" ht="12.75">
      <c r="A679" s="1"/>
      <c r="B679" s="1"/>
      <c r="C679" s="1"/>
      <c r="D679" s="1"/>
      <c r="E679" s="1"/>
      <c r="F679" s="1"/>
      <c r="G679" s="1"/>
      <c r="H679" s="1"/>
      <c r="I679" s="3"/>
      <c r="J679" s="3"/>
      <c r="K679" s="1"/>
      <c r="L679" s="3"/>
    </row>
    <row r="680" spans="1:12" ht="12.75">
      <c r="A680" s="1"/>
      <c r="B680" s="1"/>
      <c r="C680" s="1"/>
      <c r="D680" s="1"/>
      <c r="E680" s="1"/>
      <c r="F680" s="1"/>
      <c r="G680" s="1"/>
      <c r="H680" s="1"/>
      <c r="I680" s="3"/>
      <c r="J680" s="3"/>
      <c r="K680" s="1"/>
      <c r="L680" s="3"/>
    </row>
    <row r="681" spans="1:12" ht="12.75">
      <c r="A681" s="1"/>
      <c r="B681" s="1"/>
      <c r="C681" s="1"/>
      <c r="D681" s="1"/>
      <c r="E681" s="1"/>
      <c r="F681" s="1"/>
      <c r="G681" s="1"/>
      <c r="H681" s="1"/>
      <c r="I681" s="3"/>
      <c r="J681" s="3"/>
      <c r="K681" s="1"/>
      <c r="L681" s="3"/>
    </row>
    <row r="682" spans="1:12" ht="12.75">
      <c r="A682" s="1"/>
      <c r="B682" s="1"/>
      <c r="C682" s="1"/>
      <c r="D682" s="1"/>
      <c r="E682" s="1"/>
      <c r="F682" s="1"/>
      <c r="G682" s="1"/>
      <c r="H682" s="1"/>
      <c r="I682" s="3"/>
      <c r="J682" s="3"/>
      <c r="K682" s="1"/>
      <c r="L682" s="3"/>
    </row>
    <row r="683" spans="1:12" ht="12.75">
      <c r="A683" s="1"/>
      <c r="B683" s="1"/>
      <c r="C683" s="1"/>
      <c r="D683" s="1"/>
      <c r="E683" s="1"/>
      <c r="F683" s="1"/>
      <c r="G683" s="1"/>
      <c r="H683" s="1"/>
      <c r="I683" s="3"/>
      <c r="J683" s="3"/>
      <c r="K683" s="1"/>
      <c r="L683" s="3"/>
    </row>
    <row r="684" spans="1:12" ht="12.75">
      <c r="A684" s="1"/>
      <c r="B684" s="1"/>
      <c r="C684" s="1"/>
      <c r="D684" s="1"/>
      <c r="E684" s="1"/>
      <c r="F684" s="1"/>
      <c r="G684" s="1"/>
      <c r="H684" s="1"/>
      <c r="I684" s="3"/>
      <c r="J684" s="3"/>
      <c r="K684" s="1"/>
      <c r="L684" s="3"/>
    </row>
    <row r="685" spans="1:12" ht="12.75">
      <c r="A685" s="1"/>
      <c r="B685" s="1"/>
      <c r="C685" s="1"/>
      <c r="D685" s="1"/>
      <c r="E685" s="1"/>
      <c r="F685" s="1"/>
      <c r="G685" s="1"/>
      <c r="H685" s="1"/>
      <c r="I685" s="3"/>
      <c r="J685" s="3"/>
      <c r="K685" s="1"/>
      <c r="L685" s="3"/>
    </row>
    <row r="686" spans="1:12" ht="12.75">
      <c r="A686" s="1"/>
      <c r="B686" s="1"/>
      <c r="C686" s="1"/>
      <c r="D686" s="1"/>
      <c r="E686" s="1"/>
      <c r="F686" s="1"/>
      <c r="G686" s="1"/>
      <c r="H686" s="1"/>
      <c r="I686" s="3"/>
      <c r="J686" s="3"/>
      <c r="K686" s="1"/>
      <c r="L686" s="3"/>
    </row>
    <row r="687" spans="1:12" ht="12.75">
      <c r="A687" s="1"/>
      <c r="B687" s="1"/>
      <c r="C687" s="1"/>
      <c r="D687" s="1"/>
      <c r="E687" s="1"/>
      <c r="F687" s="1"/>
      <c r="G687" s="1"/>
      <c r="H687" s="1"/>
      <c r="I687" s="3"/>
      <c r="J687" s="3"/>
      <c r="K687" s="1"/>
      <c r="L687" s="3"/>
    </row>
    <row r="688" spans="1:12" ht="12.75">
      <c r="A688" s="1"/>
      <c r="B688" s="1"/>
      <c r="C688" s="1"/>
      <c r="D688" s="1"/>
      <c r="E688" s="1"/>
      <c r="F688" s="1"/>
      <c r="G688" s="1"/>
      <c r="H688" s="1"/>
      <c r="I688" s="3"/>
      <c r="J688" s="3"/>
      <c r="K688" s="1"/>
      <c r="L688" s="3"/>
    </row>
    <row r="689" spans="1:12" ht="12.75">
      <c r="A689" s="1"/>
      <c r="B689" s="1"/>
      <c r="C689" s="1"/>
      <c r="D689" s="1"/>
      <c r="E689" s="1"/>
      <c r="F689" s="1"/>
      <c r="G689" s="1"/>
      <c r="H689" s="1"/>
      <c r="I689" s="3"/>
      <c r="J689" s="3"/>
      <c r="K689" s="1"/>
      <c r="L689" s="3"/>
    </row>
    <row r="690" spans="1:12" ht="12.75">
      <c r="A690" s="1"/>
      <c r="B690" s="1"/>
      <c r="C690" s="1"/>
      <c r="D690" s="1"/>
      <c r="E690" s="1"/>
      <c r="F690" s="1"/>
      <c r="G690" s="1"/>
      <c r="H690" s="1"/>
      <c r="I690" s="3"/>
      <c r="J690" s="3"/>
      <c r="K690" s="1"/>
      <c r="L690" s="3"/>
    </row>
    <row r="691" spans="1:12" ht="12.75">
      <c r="A691" s="1"/>
      <c r="B691" s="1"/>
      <c r="C691" s="1"/>
      <c r="D691" s="1"/>
      <c r="E691" s="1"/>
      <c r="F691" s="1"/>
      <c r="G691" s="1"/>
      <c r="H691" s="1"/>
      <c r="I691" s="3"/>
      <c r="J691" s="3"/>
      <c r="K691" s="1"/>
      <c r="L691" s="3"/>
    </row>
    <row r="692" spans="1:12" ht="12.75">
      <c r="A692" s="1"/>
      <c r="B692" s="1"/>
      <c r="C692" s="1"/>
      <c r="D692" s="1"/>
      <c r="E692" s="1"/>
      <c r="F692" s="1"/>
      <c r="G692" s="1"/>
      <c r="H692" s="1"/>
      <c r="I692" s="3"/>
      <c r="J692" s="3"/>
      <c r="K692" s="1"/>
      <c r="L692" s="3"/>
    </row>
    <row r="693" spans="1:12" ht="12.75">
      <c r="A693" s="1"/>
      <c r="B693" s="1"/>
      <c r="C693" s="1"/>
      <c r="D693" s="1"/>
      <c r="E693" s="1"/>
      <c r="F693" s="1"/>
      <c r="G693" s="1"/>
      <c r="H693" s="1"/>
      <c r="I693" s="3"/>
      <c r="J693" s="3"/>
      <c r="K693" s="1"/>
      <c r="L693" s="3"/>
    </row>
    <row r="694" spans="1:12" ht="12.75">
      <c r="A694" s="1"/>
      <c r="B694" s="1"/>
      <c r="C694" s="1"/>
      <c r="D694" s="1"/>
      <c r="E694" s="1"/>
      <c r="F694" s="1"/>
      <c r="G694" s="1"/>
      <c r="H694" s="1"/>
      <c r="I694" s="3"/>
      <c r="J694" s="3"/>
      <c r="K694" s="1"/>
      <c r="L694" s="3"/>
    </row>
    <row r="695" spans="1:12" ht="12.75">
      <c r="A695" s="1"/>
      <c r="B695" s="1"/>
      <c r="C695" s="1"/>
      <c r="D695" s="1"/>
      <c r="E695" s="1"/>
      <c r="F695" s="1"/>
      <c r="G695" s="1"/>
      <c r="H695" s="1"/>
      <c r="I695" s="3"/>
      <c r="J695" s="3"/>
      <c r="K695" s="1"/>
      <c r="L695" s="3"/>
    </row>
    <row r="696" spans="1:12" ht="12.75">
      <c r="A696" s="1"/>
      <c r="B696" s="1"/>
      <c r="C696" s="1"/>
      <c r="D696" s="1"/>
      <c r="E696" s="1"/>
      <c r="F696" s="1"/>
      <c r="G696" s="1"/>
      <c r="H696" s="1"/>
      <c r="I696" s="3"/>
      <c r="J696" s="3"/>
      <c r="K696" s="1"/>
      <c r="L696" s="3"/>
    </row>
    <row r="697" spans="1:12" ht="12.75">
      <c r="A697" s="1"/>
      <c r="B697" s="1"/>
      <c r="C697" s="1"/>
      <c r="D697" s="1"/>
      <c r="E697" s="1"/>
      <c r="F697" s="1"/>
      <c r="G697" s="1"/>
      <c r="H697" s="1"/>
      <c r="I697" s="3"/>
      <c r="J697" s="3"/>
      <c r="K697" s="1"/>
      <c r="L697" s="3"/>
    </row>
    <row r="698" spans="1:12" ht="12.75">
      <c r="A698" s="1"/>
      <c r="B698" s="1"/>
      <c r="C698" s="1"/>
      <c r="D698" s="1"/>
      <c r="E698" s="1"/>
      <c r="F698" s="1"/>
      <c r="G698" s="1"/>
      <c r="H698" s="1"/>
      <c r="I698" s="3"/>
      <c r="J698" s="3"/>
      <c r="K698" s="1"/>
      <c r="L698" s="3"/>
    </row>
    <row r="699" spans="1:12" ht="12.75">
      <c r="A699" s="1"/>
      <c r="B699" s="1"/>
      <c r="C699" s="1"/>
      <c r="D699" s="1"/>
      <c r="E699" s="1"/>
      <c r="F699" s="1"/>
      <c r="G699" s="1"/>
      <c r="H699" s="1"/>
      <c r="I699" s="3"/>
      <c r="J699" s="3"/>
      <c r="K699" s="1"/>
      <c r="L699" s="3"/>
    </row>
    <row r="700" spans="1:12" ht="12.75">
      <c r="A700" s="1"/>
      <c r="B700" s="1"/>
      <c r="C700" s="1"/>
      <c r="D700" s="1"/>
      <c r="E700" s="1"/>
      <c r="F700" s="1"/>
      <c r="G700" s="1"/>
      <c r="H700" s="1"/>
      <c r="I700" s="3"/>
      <c r="J700" s="3"/>
      <c r="K700" s="1"/>
      <c r="L700" s="3"/>
    </row>
    <row r="701" spans="1:12" ht="12.75">
      <c r="A701" s="1"/>
      <c r="B701" s="1"/>
      <c r="C701" s="1"/>
      <c r="D701" s="1"/>
      <c r="E701" s="1"/>
      <c r="F701" s="1"/>
      <c r="G701" s="1"/>
      <c r="H701" s="1"/>
      <c r="I701" s="3"/>
      <c r="J701" s="3"/>
      <c r="K701" s="1"/>
      <c r="L701" s="3"/>
    </row>
    <row r="702" spans="1:12" ht="12.75">
      <c r="A702" s="1"/>
      <c r="B702" s="1"/>
      <c r="C702" s="1"/>
      <c r="D702" s="1"/>
      <c r="E702" s="1"/>
      <c r="F702" s="1"/>
      <c r="G702" s="1"/>
      <c r="H702" s="1"/>
      <c r="I702" s="3"/>
      <c r="J702" s="3"/>
      <c r="K702" s="1"/>
      <c r="L702" s="3"/>
    </row>
    <row r="703" spans="1:12" ht="12.75">
      <c r="A703" s="1"/>
      <c r="B703" s="1"/>
      <c r="C703" s="1"/>
      <c r="D703" s="1"/>
      <c r="E703" s="1"/>
      <c r="F703" s="1"/>
      <c r="G703" s="1"/>
      <c r="H703" s="1"/>
      <c r="I703" s="3"/>
      <c r="J703" s="3"/>
      <c r="K703" s="1"/>
      <c r="L703" s="3"/>
    </row>
    <row r="704" spans="1:12" ht="12.75">
      <c r="A704" s="1"/>
      <c r="B704" s="1"/>
      <c r="C704" s="1"/>
      <c r="D704" s="1"/>
      <c r="E704" s="1"/>
      <c r="F704" s="1"/>
      <c r="G704" s="1"/>
      <c r="H704" s="1"/>
      <c r="I704" s="3"/>
      <c r="J704" s="3"/>
      <c r="K704" s="1"/>
      <c r="L704" s="3"/>
    </row>
    <row r="705" spans="1:12" ht="12.75">
      <c r="A705" s="1"/>
      <c r="B705" s="1"/>
      <c r="C705" s="1"/>
      <c r="D705" s="1"/>
      <c r="E705" s="1"/>
      <c r="F705" s="1"/>
      <c r="G705" s="1"/>
      <c r="H705" s="1"/>
      <c r="I705" s="3"/>
      <c r="J705" s="3"/>
      <c r="K705" s="1"/>
      <c r="L705" s="3"/>
    </row>
    <row r="706" spans="1:12" ht="12.75">
      <c r="A706" s="1"/>
      <c r="B706" s="1"/>
      <c r="C706" s="1"/>
      <c r="D706" s="1"/>
      <c r="E706" s="1"/>
      <c r="F706" s="1"/>
      <c r="G706" s="1"/>
      <c r="H706" s="1"/>
      <c r="I706" s="3"/>
      <c r="J706" s="3"/>
      <c r="K706" s="1"/>
      <c r="L706" s="3"/>
    </row>
    <row r="707" spans="1:12" ht="12.75">
      <c r="A707" s="1"/>
      <c r="B707" s="1"/>
      <c r="C707" s="1"/>
      <c r="D707" s="1"/>
      <c r="E707" s="1"/>
      <c r="F707" s="1"/>
      <c r="G707" s="1"/>
      <c r="H707" s="1"/>
      <c r="I707" s="3"/>
      <c r="J707" s="3"/>
      <c r="K707" s="1"/>
      <c r="L707" s="3"/>
    </row>
    <row r="708" spans="1:12" ht="12.75">
      <c r="A708" s="1"/>
      <c r="B708" s="1"/>
      <c r="C708" s="1"/>
      <c r="D708" s="1"/>
      <c r="E708" s="1"/>
      <c r="F708" s="1"/>
      <c r="G708" s="1"/>
      <c r="H708" s="1"/>
      <c r="I708" s="3"/>
      <c r="J708" s="3"/>
      <c r="K708" s="1"/>
      <c r="L708" s="3"/>
    </row>
    <row r="709" spans="1:12" ht="12.75">
      <c r="A709" s="1"/>
      <c r="B709" s="1"/>
      <c r="C709" s="1"/>
      <c r="D709" s="1"/>
      <c r="E709" s="1"/>
      <c r="F709" s="1"/>
      <c r="G709" s="1"/>
      <c r="H709" s="1"/>
      <c r="I709" s="3"/>
      <c r="J709" s="3"/>
      <c r="K709" s="1"/>
      <c r="L709" s="3"/>
    </row>
    <row r="710" spans="1:12" ht="12.75">
      <c r="A710" s="1"/>
      <c r="B710" s="1"/>
      <c r="C710" s="1"/>
      <c r="D710" s="1"/>
      <c r="E710" s="1"/>
      <c r="F710" s="1"/>
      <c r="G710" s="1"/>
      <c r="H710" s="1"/>
      <c r="I710" s="3"/>
      <c r="J710" s="3"/>
      <c r="K710" s="1"/>
      <c r="L710" s="3"/>
    </row>
    <row r="711" spans="1:12" ht="12.75">
      <c r="A711" s="1"/>
      <c r="B711" s="1"/>
      <c r="C711" s="1"/>
      <c r="D711" s="1"/>
      <c r="E711" s="1"/>
      <c r="F711" s="1"/>
      <c r="G711" s="1"/>
      <c r="H711" s="1"/>
      <c r="I711" s="3"/>
      <c r="J711" s="3"/>
      <c r="K711" s="1"/>
      <c r="L711" s="3"/>
    </row>
    <row r="712" spans="1:12" ht="12.75">
      <c r="A712" s="1"/>
      <c r="B712" s="1"/>
      <c r="C712" s="1"/>
      <c r="D712" s="1"/>
      <c r="E712" s="1"/>
      <c r="F712" s="1"/>
      <c r="G712" s="1"/>
      <c r="H712" s="1"/>
      <c r="I712" s="3"/>
      <c r="J712" s="3"/>
      <c r="K712" s="1"/>
      <c r="L712" s="3"/>
    </row>
    <row r="713" spans="1:12" ht="12.75">
      <c r="A713" s="1"/>
      <c r="B713" s="1"/>
      <c r="C713" s="1"/>
      <c r="D713" s="1"/>
      <c r="E713" s="1"/>
      <c r="F713" s="1"/>
      <c r="G713" s="1"/>
      <c r="H713" s="1"/>
      <c r="I713" s="3"/>
      <c r="J713" s="3"/>
      <c r="K713" s="1"/>
      <c r="L713" s="3"/>
    </row>
    <row r="714" spans="1:12" ht="12.75">
      <c r="A714" s="1"/>
      <c r="B714" s="1"/>
      <c r="C714" s="1"/>
      <c r="D714" s="1"/>
      <c r="E714" s="1"/>
      <c r="F714" s="1"/>
      <c r="G714" s="1"/>
      <c r="H714" s="1"/>
      <c r="I714" s="3"/>
      <c r="J714" s="3"/>
      <c r="K714" s="1"/>
      <c r="L714" s="3"/>
    </row>
    <row r="715" spans="1:12" ht="12.75">
      <c r="A715" s="1"/>
      <c r="B715" s="1"/>
      <c r="C715" s="1"/>
      <c r="D715" s="1"/>
      <c r="E715" s="1"/>
      <c r="F715" s="1"/>
      <c r="G715" s="1"/>
      <c r="H715" s="1"/>
      <c r="I715" s="3"/>
      <c r="J715" s="3"/>
      <c r="K715" s="1"/>
      <c r="L715" s="3"/>
    </row>
    <row r="716" spans="1:12" ht="12.75">
      <c r="A716" s="1"/>
      <c r="B716" s="1"/>
      <c r="C716" s="1"/>
      <c r="D716" s="1"/>
      <c r="E716" s="1"/>
      <c r="F716" s="1"/>
      <c r="G716" s="1"/>
      <c r="H716" s="1"/>
      <c r="I716" s="3"/>
      <c r="J716" s="3"/>
      <c r="K716" s="1"/>
      <c r="L716" s="3"/>
    </row>
    <row r="717" spans="1:12" ht="12.75">
      <c r="A717" s="1"/>
      <c r="B717" s="1"/>
      <c r="C717" s="1"/>
      <c r="D717" s="1"/>
      <c r="E717" s="1"/>
      <c r="F717" s="1"/>
      <c r="G717" s="1"/>
      <c r="H717" s="1"/>
      <c r="I717" s="3"/>
      <c r="J717" s="3"/>
      <c r="K717" s="1"/>
      <c r="L717" s="3"/>
    </row>
    <row r="718" spans="1:12" ht="12.75">
      <c r="A718" s="1"/>
      <c r="B718" s="1"/>
      <c r="C718" s="1"/>
      <c r="D718" s="1"/>
      <c r="E718" s="1"/>
      <c r="F718" s="1"/>
      <c r="G718" s="1"/>
      <c r="H718" s="1"/>
      <c r="I718" s="3"/>
      <c r="J718" s="3"/>
      <c r="K718" s="1"/>
      <c r="L718" s="3"/>
    </row>
    <row r="719" spans="1:12" ht="12.75">
      <c r="A719" s="1"/>
      <c r="B719" s="1"/>
      <c r="C719" s="1"/>
      <c r="D719" s="1"/>
      <c r="E719" s="1"/>
      <c r="F719" s="1"/>
      <c r="G719" s="1"/>
      <c r="H719" s="1"/>
      <c r="I719" s="3"/>
      <c r="J719" s="3"/>
      <c r="K719" s="1"/>
      <c r="L719" s="3"/>
    </row>
    <row r="720" spans="1:12" ht="12.75">
      <c r="A720" s="1"/>
      <c r="B720" s="1"/>
      <c r="C720" s="1"/>
      <c r="D720" s="1"/>
      <c r="E720" s="1"/>
      <c r="F720" s="1"/>
      <c r="G720" s="1"/>
      <c r="H720" s="1"/>
      <c r="I720" s="3"/>
      <c r="J720" s="3"/>
      <c r="K720" s="1"/>
      <c r="L720" s="3"/>
    </row>
    <row r="721" spans="1:12" ht="12.75">
      <c r="A721" s="1"/>
      <c r="B721" s="1"/>
      <c r="C721" s="1"/>
      <c r="D721" s="1"/>
      <c r="E721" s="1"/>
      <c r="F721" s="1"/>
      <c r="G721" s="1"/>
      <c r="H721" s="1"/>
      <c r="I721" s="3"/>
      <c r="J721" s="3"/>
      <c r="K721" s="1"/>
      <c r="L721" s="3"/>
    </row>
    <row r="722" spans="1:12" ht="12.75">
      <c r="A722" s="1"/>
      <c r="B722" s="1"/>
      <c r="C722" s="1"/>
      <c r="D722" s="1"/>
      <c r="E722" s="1"/>
      <c r="F722" s="1"/>
      <c r="G722" s="1"/>
      <c r="H722" s="1"/>
      <c r="I722" s="3"/>
      <c r="J722" s="3"/>
      <c r="K722" s="1"/>
      <c r="L722" s="3"/>
    </row>
    <row r="723" spans="1:12" ht="12.75">
      <c r="A723" s="1"/>
      <c r="B723" s="1"/>
      <c r="C723" s="1"/>
      <c r="D723" s="1"/>
      <c r="E723" s="1"/>
      <c r="F723" s="1"/>
      <c r="G723" s="1"/>
      <c r="H723" s="1"/>
      <c r="I723" s="3"/>
      <c r="J723" s="3"/>
      <c r="K723" s="1"/>
      <c r="L723" s="3"/>
    </row>
    <row r="724" spans="1:12" ht="12.75">
      <c r="A724" s="1"/>
      <c r="B724" s="1"/>
      <c r="C724" s="1"/>
      <c r="D724" s="1"/>
      <c r="E724" s="1"/>
      <c r="F724" s="1"/>
      <c r="G724" s="1"/>
      <c r="H724" s="1"/>
      <c r="I724" s="3"/>
      <c r="J724" s="3"/>
      <c r="K724" s="1"/>
      <c r="L724" s="3"/>
    </row>
    <row r="725" spans="1:12" ht="12.75">
      <c r="A725" s="1"/>
      <c r="B725" s="1"/>
      <c r="C725" s="1"/>
      <c r="D725" s="1"/>
      <c r="E725" s="1"/>
      <c r="F725" s="1"/>
      <c r="G725" s="1"/>
      <c r="H725" s="1"/>
      <c r="I725" s="3"/>
      <c r="J725" s="3"/>
      <c r="K725" s="1"/>
      <c r="L725" s="3"/>
    </row>
    <row r="726" spans="1:12" ht="12.75">
      <c r="A726" s="1"/>
      <c r="B726" s="1"/>
      <c r="C726" s="1"/>
      <c r="D726" s="1"/>
      <c r="E726" s="1"/>
      <c r="F726" s="1"/>
      <c r="G726" s="1"/>
      <c r="H726" s="1"/>
      <c r="I726" s="3"/>
      <c r="J726" s="3"/>
      <c r="K726" s="1"/>
      <c r="L726" s="3"/>
    </row>
    <row r="727" spans="1:12" ht="12.75">
      <c r="A727" s="1"/>
      <c r="B727" s="1"/>
      <c r="C727" s="1"/>
      <c r="D727" s="1"/>
      <c r="E727" s="1"/>
      <c r="F727" s="1"/>
      <c r="G727" s="1"/>
      <c r="H727" s="1"/>
      <c r="I727" s="3"/>
      <c r="J727" s="3"/>
      <c r="K727" s="1"/>
      <c r="L727" s="3"/>
    </row>
    <row r="728" spans="1:12" ht="12.75">
      <c r="A728" s="1"/>
      <c r="B728" s="1"/>
      <c r="C728" s="1"/>
      <c r="D728" s="1"/>
      <c r="E728" s="1"/>
      <c r="F728" s="1"/>
      <c r="G728" s="1"/>
      <c r="H728" s="1"/>
      <c r="I728" s="3"/>
      <c r="J728" s="3"/>
      <c r="K728" s="1"/>
      <c r="L728" s="3"/>
    </row>
    <row r="729" spans="1:12" ht="12.75">
      <c r="A729" s="1"/>
      <c r="B729" s="1"/>
      <c r="C729" s="1"/>
      <c r="D729" s="1"/>
      <c r="E729" s="1"/>
      <c r="F729" s="1"/>
      <c r="G729" s="1"/>
      <c r="H729" s="1"/>
      <c r="I729" s="3"/>
      <c r="J729" s="3"/>
      <c r="K729" s="1"/>
      <c r="L729" s="3"/>
    </row>
    <row r="730" spans="1:12" ht="12.75">
      <c r="A730" s="1"/>
      <c r="B730" s="1"/>
      <c r="C730" s="1"/>
      <c r="D730" s="1"/>
      <c r="E730" s="1"/>
      <c r="F730" s="1"/>
      <c r="G730" s="1"/>
      <c r="H730" s="1"/>
      <c r="I730" s="3"/>
      <c r="J730" s="3"/>
      <c r="K730" s="1"/>
      <c r="L730" s="3"/>
    </row>
    <row r="731" spans="1:12" ht="12.75">
      <c r="A731" s="1"/>
      <c r="B731" s="1"/>
      <c r="C731" s="1"/>
      <c r="D731" s="1"/>
      <c r="E731" s="1"/>
      <c r="F731" s="1"/>
      <c r="G731" s="1"/>
      <c r="H731" s="1"/>
      <c r="I731" s="3"/>
      <c r="J731" s="3"/>
      <c r="K731" s="1"/>
      <c r="L731" s="3"/>
    </row>
    <row r="732" spans="1:12" ht="12.75">
      <c r="A732" s="1"/>
      <c r="B732" s="1"/>
      <c r="C732" s="1"/>
      <c r="D732" s="1"/>
      <c r="E732" s="1"/>
      <c r="F732" s="1"/>
      <c r="G732" s="1"/>
      <c r="H732" s="1"/>
      <c r="I732" s="3"/>
      <c r="J732" s="3"/>
      <c r="K732" s="1"/>
      <c r="L732" s="3"/>
    </row>
    <row r="733" spans="1:12" ht="12.75">
      <c r="A733" s="1"/>
      <c r="B733" s="1"/>
      <c r="C733" s="1"/>
      <c r="D733" s="1"/>
      <c r="E733" s="1"/>
      <c r="F733" s="1"/>
      <c r="G733" s="1"/>
      <c r="H733" s="1"/>
      <c r="I733" s="3"/>
      <c r="J733" s="3"/>
      <c r="K733" s="1"/>
      <c r="L733" s="3"/>
    </row>
    <row r="734" spans="1:12" ht="12.75">
      <c r="A734" s="1"/>
      <c r="B734" s="1"/>
      <c r="C734" s="1"/>
      <c r="D734" s="1"/>
      <c r="E734" s="1"/>
      <c r="F734" s="1"/>
      <c r="G734" s="1"/>
      <c r="H734" s="1"/>
      <c r="I734" s="3"/>
      <c r="J734" s="3"/>
      <c r="K734" s="1"/>
      <c r="L734" s="3"/>
    </row>
    <row r="735" spans="1:12" ht="12.75">
      <c r="A735" s="1"/>
      <c r="B735" s="1"/>
      <c r="C735" s="1"/>
      <c r="D735" s="1"/>
      <c r="E735" s="1"/>
      <c r="F735" s="1"/>
      <c r="G735" s="1"/>
      <c r="H735" s="1"/>
      <c r="I735" s="3"/>
      <c r="J735" s="3"/>
      <c r="K735" s="1"/>
      <c r="L735" s="3"/>
    </row>
    <row r="736" spans="1:12" ht="12.75">
      <c r="A736" s="1"/>
      <c r="B736" s="1"/>
      <c r="C736" s="1"/>
      <c r="D736" s="1"/>
      <c r="E736" s="1"/>
      <c r="F736" s="1"/>
      <c r="G736" s="1"/>
      <c r="H736" s="1"/>
      <c r="I736" s="3"/>
      <c r="J736" s="3"/>
      <c r="K736" s="1"/>
      <c r="L736" s="3"/>
    </row>
    <row r="737" spans="1:12" ht="12.75">
      <c r="A737" s="1"/>
      <c r="B737" s="1"/>
      <c r="C737" s="1"/>
      <c r="D737" s="1"/>
      <c r="E737" s="1"/>
      <c r="F737" s="1"/>
      <c r="G737" s="1"/>
      <c r="H737" s="1"/>
      <c r="I737" s="3"/>
      <c r="J737" s="3"/>
      <c r="K737" s="1"/>
      <c r="L737" s="3"/>
    </row>
    <row r="738" spans="1:12" ht="12.75">
      <c r="A738" s="1"/>
      <c r="B738" s="1"/>
      <c r="C738" s="1"/>
      <c r="D738" s="1"/>
      <c r="E738" s="1"/>
      <c r="F738" s="1"/>
      <c r="G738" s="1"/>
      <c r="H738" s="1"/>
      <c r="I738" s="3"/>
      <c r="J738" s="3"/>
      <c r="K738" s="1"/>
      <c r="L738" s="3"/>
    </row>
    <row r="739" spans="1:12" ht="12.75">
      <c r="A739" s="1"/>
      <c r="B739" s="1"/>
      <c r="C739" s="1"/>
      <c r="D739" s="1"/>
      <c r="E739" s="1"/>
      <c r="F739" s="1"/>
      <c r="G739" s="1"/>
      <c r="H739" s="1"/>
      <c r="I739" s="3"/>
      <c r="J739" s="3"/>
      <c r="K739" s="1"/>
      <c r="L739" s="3"/>
    </row>
    <row r="740" spans="1:12" ht="12.75">
      <c r="A740" s="1"/>
      <c r="B740" s="1"/>
      <c r="C740" s="1"/>
      <c r="D740" s="1"/>
      <c r="E740" s="1"/>
      <c r="F740" s="1"/>
      <c r="G740" s="1"/>
      <c r="H740" s="1"/>
      <c r="I740" s="3"/>
      <c r="J740" s="3"/>
      <c r="K740" s="1"/>
      <c r="L740" s="3"/>
    </row>
    <row r="741" spans="1:12" ht="12.75">
      <c r="A741" s="1"/>
      <c r="B741" s="1"/>
      <c r="C741" s="1"/>
      <c r="D741" s="1"/>
      <c r="E741" s="1"/>
      <c r="F741" s="1"/>
      <c r="G741" s="1"/>
      <c r="H741" s="1"/>
      <c r="I741" s="3"/>
      <c r="J741" s="3"/>
      <c r="K741" s="1"/>
      <c r="L741" s="3"/>
    </row>
    <row r="742" spans="1:12" ht="12.75">
      <c r="A742" s="1"/>
      <c r="B742" s="1"/>
      <c r="C742" s="1"/>
      <c r="D742" s="1"/>
      <c r="E742" s="1"/>
      <c r="F742" s="1"/>
      <c r="G742" s="1"/>
      <c r="H742" s="1"/>
      <c r="I742" s="3"/>
      <c r="J742" s="3"/>
      <c r="K742" s="1"/>
      <c r="L742" s="3"/>
    </row>
    <row r="743" spans="1:12" ht="12.75">
      <c r="A743" s="1"/>
      <c r="B743" s="1"/>
      <c r="C743" s="1"/>
      <c r="D743" s="1"/>
      <c r="E743" s="1"/>
      <c r="F743" s="1"/>
      <c r="G743" s="1"/>
      <c r="H743" s="1"/>
      <c r="I743" s="3"/>
      <c r="J743" s="3"/>
      <c r="K743" s="1"/>
      <c r="L743" s="3"/>
    </row>
    <row r="744" spans="1:12" ht="12.75">
      <c r="A744" s="1"/>
      <c r="B744" s="1"/>
      <c r="C744" s="1"/>
      <c r="D744" s="1"/>
      <c r="E744" s="1"/>
      <c r="F744" s="1"/>
      <c r="G744" s="1"/>
      <c r="H744" s="1"/>
      <c r="I744" s="3"/>
      <c r="J744" s="3"/>
      <c r="K744" s="1"/>
      <c r="L744" s="3"/>
    </row>
    <row r="745" spans="1:12" ht="12.75">
      <c r="A745" s="1"/>
      <c r="B745" s="1"/>
      <c r="C745" s="1"/>
      <c r="D745" s="1"/>
      <c r="E745" s="1"/>
      <c r="F745" s="1"/>
      <c r="G745" s="1"/>
      <c r="H745" s="1"/>
      <c r="I745" s="3"/>
      <c r="J745" s="3"/>
      <c r="K745" s="1"/>
      <c r="L745" s="3"/>
    </row>
    <row r="746" spans="1:12" ht="12.75">
      <c r="A746" s="1"/>
      <c r="B746" s="1"/>
      <c r="C746" s="1"/>
      <c r="D746" s="1"/>
      <c r="E746" s="1"/>
      <c r="F746" s="1"/>
      <c r="G746" s="1"/>
      <c r="H746" s="1"/>
      <c r="I746" s="3"/>
      <c r="J746" s="3"/>
      <c r="K746" s="1"/>
      <c r="L746" s="3"/>
    </row>
    <row r="747" spans="1:12" ht="12.75">
      <c r="A747" s="1"/>
      <c r="B747" s="1"/>
      <c r="C747" s="1"/>
      <c r="D747" s="1"/>
      <c r="E747" s="1"/>
      <c r="F747" s="1"/>
      <c r="G747" s="1"/>
      <c r="H747" s="1"/>
      <c r="I747" s="3"/>
      <c r="J747" s="3"/>
      <c r="K747" s="1"/>
      <c r="L747" s="3"/>
    </row>
    <row r="748" spans="1:12" ht="12.75">
      <c r="A748" s="1"/>
      <c r="B748" s="1"/>
      <c r="C748" s="1"/>
      <c r="D748" s="1"/>
      <c r="E748" s="1"/>
      <c r="F748" s="1"/>
      <c r="G748" s="1"/>
      <c r="H748" s="1"/>
      <c r="I748" s="3"/>
      <c r="J748" s="3"/>
      <c r="K748" s="1"/>
      <c r="L748" s="3"/>
    </row>
    <row r="749" spans="1:12" ht="12.75">
      <c r="A749" s="1"/>
      <c r="B749" s="1"/>
      <c r="C749" s="1"/>
      <c r="D749" s="1"/>
      <c r="E749" s="1"/>
      <c r="F749" s="1"/>
      <c r="G749" s="1"/>
      <c r="H749" s="1"/>
      <c r="I749" s="3"/>
      <c r="J749" s="3"/>
      <c r="K749" s="1"/>
      <c r="L749" s="3"/>
    </row>
    <row r="750" spans="1:12" ht="12.75">
      <c r="A750" s="1"/>
      <c r="B750" s="1"/>
      <c r="C750" s="1"/>
      <c r="D750" s="1"/>
      <c r="E750" s="1"/>
      <c r="F750" s="1"/>
      <c r="G750" s="1"/>
      <c r="H750" s="1"/>
      <c r="I750" s="3"/>
      <c r="J750" s="3"/>
      <c r="K750" s="1"/>
      <c r="L750" s="3"/>
    </row>
    <row r="751" spans="1:12" ht="12.75">
      <c r="A751" s="1"/>
      <c r="B751" s="1"/>
      <c r="C751" s="1"/>
      <c r="D751" s="1"/>
      <c r="E751" s="1"/>
      <c r="F751" s="1"/>
      <c r="G751" s="1"/>
      <c r="H751" s="1"/>
      <c r="I751" s="3"/>
      <c r="J751" s="3"/>
      <c r="K751" s="1"/>
      <c r="L751" s="3"/>
    </row>
    <row r="752" spans="1:12" ht="12.75">
      <c r="A752" s="1"/>
      <c r="B752" s="1"/>
      <c r="C752" s="1"/>
      <c r="D752" s="1"/>
      <c r="E752" s="1"/>
      <c r="F752" s="1"/>
      <c r="G752" s="1"/>
      <c r="H752" s="1"/>
      <c r="I752" s="3"/>
      <c r="J752" s="3"/>
      <c r="K752" s="1"/>
      <c r="L752" s="3"/>
    </row>
    <row r="753" spans="1:12" ht="12.75">
      <c r="A753" s="1"/>
      <c r="B753" s="1"/>
      <c r="C753" s="1"/>
      <c r="D753" s="1"/>
      <c r="E753" s="1"/>
      <c r="F753" s="1"/>
      <c r="G753" s="1"/>
      <c r="H753" s="1"/>
      <c r="I753" s="3"/>
      <c r="J753" s="3"/>
      <c r="K753" s="1"/>
      <c r="L753" s="3"/>
    </row>
    <row r="754" spans="1:12" ht="12.75">
      <c r="A754" s="1"/>
      <c r="B754" s="1"/>
      <c r="C754" s="1"/>
      <c r="D754" s="1"/>
      <c r="E754" s="1"/>
      <c r="F754" s="1"/>
      <c r="G754" s="1"/>
      <c r="H754" s="1"/>
      <c r="I754" s="3"/>
      <c r="J754" s="3"/>
      <c r="K754" s="1"/>
      <c r="L754" s="3"/>
    </row>
    <row r="755" spans="1:12" ht="12.75">
      <c r="A755" s="1"/>
      <c r="B755" s="1"/>
      <c r="C755" s="1"/>
      <c r="D755" s="1"/>
      <c r="E755" s="1"/>
      <c r="F755" s="1"/>
      <c r="G755" s="1"/>
      <c r="H755" s="1"/>
      <c r="I755" s="3"/>
      <c r="J755" s="3"/>
      <c r="K755" s="1"/>
      <c r="L755" s="3"/>
    </row>
    <row r="756" spans="1:12" ht="12.75">
      <c r="A756" s="1"/>
      <c r="B756" s="1"/>
      <c r="C756" s="1"/>
      <c r="D756" s="1"/>
      <c r="E756" s="1"/>
      <c r="F756" s="1"/>
      <c r="G756" s="1"/>
      <c r="H756" s="1"/>
      <c r="I756" s="3"/>
      <c r="J756" s="3"/>
      <c r="K756" s="1"/>
      <c r="L756" s="3"/>
    </row>
    <row r="757" spans="1:12" ht="12.75">
      <c r="A757" s="1"/>
      <c r="B757" s="1"/>
      <c r="C757" s="1"/>
      <c r="D757" s="1"/>
      <c r="E757" s="1"/>
      <c r="F757" s="1"/>
      <c r="G757" s="1"/>
      <c r="H757" s="1"/>
      <c r="I757" s="3"/>
      <c r="J757" s="3"/>
      <c r="K757" s="1"/>
      <c r="L757" s="3"/>
    </row>
    <row r="758" spans="1:12" ht="12.75">
      <c r="A758" s="1"/>
      <c r="B758" s="1"/>
      <c r="C758" s="1"/>
      <c r="D758" s="1"/>
      <c r="E758" s="1"/>
      <c r="F758" s="1"/>
      <c r="G758" s="1"/>
      <c r="H758" s="1"/>
      <c r="I758" s="3"/>
      <c r="J758" s="3"/>
      <c r="K758" s="1"/>
      <c r="L758" s="3"/>
    </row>
    <row r="759" spans="1:12" ht="12.75">
      <c r="A759" s="1"/>
      <c r="B759" s="1"/>
      <c r="C759" s="1"/>
      <c r="D759" s="1"/>
      <c r="E759" s="1"/>
      <c r="F759" s="1"/>
      <c r="G759" s="1"/>
      <c r="H759" s="1"/>
      <c r="I759" s="3"/>
      <c r="J759" s="3"/>
      <c r="K759" s="1"/>
      <c r="L759" s="3"/>
    </row>
    <row r="760" spans="1:12" ht="12.75">
      <c r="A760" s="1"/>
      <c r="B760" s="1"/>
      <c r="C760" s="1"/>
      <c r="D760" s="1"/>
      <c r="E760" s="1"/>
      <c r="F760" s="1"/>
      <c r="G760" s="1"/>
      <c r="H760" s="1"/>
      <c r="I760" s="3"/>
      <c r="J760" s="3"/>
      <c r="K760" s="1"/>
      <c r="L760" s="3"/>
    </row>
    <row r="761" spans="1:12" ht="12.75">
      <c r="A761" s="1"/>
      <c r="B761" s="1"/>
      <c r="C761" s="1"/>
      <c r="D761" s="1"/>
      <c r="E761" s="1"/>
      <c r="F761" s="1"/>
      <c r="G761" s="1"/>
      <c r="H761" s="1"/>
      <c r="I761" s="3"/>
      <c r="J761" s="3"/>
      <c r="K761" s="1"/>
      <c r="L761" s="3"/>
    </row>
    <row r="762" spans="1:12" ht="12.75">
      <c r="A762" s="1"/>
      <c r="B762" s="1"/>
      <c r="C762" s="1"/>
      <c r="D762" s="1"/>
      <c r="E762" s="1"/>
      <c r="F762" s="1"/>
      <c r="G762" s="1"/>
      <c r="H762" s="1"/>
      <c r="I762" s="3"/>
      <c r="J762" s="3"/>
      <c r="K762" s="1"/>
      <c r="L762" s="3"/>
    </row>
    <row r="763" spans="1:12" ht="12.75">
      <c r="A763" s="1"/>
      <c r="B763" s="1"/>
      <c r="C763" s="1"/>
      <c r="D763" s="1"/>
      <c r="E763" s="1"/>
      <c r="F763" s="1"/>
      <c r="G763" s="1"/>
      <c r="H763" s="1"/>
      <c r="I763" s="3"/>
      <c r="J763" s="3"/>
      <c r="K763" s="1"/>
      <c r="L763" s="3"/>
    </row>
    <row r="764" spans="1:12" ht="12.75">
      <c r="A764" s="1"/>
      <c r="B764" s="1"/>
      <c r="C764" s="1"/>
      <c r="D764" s="1"/>
      <c r="E764" s="1"/>
      <c r="F764" s="1"/>
      <c r="G764" s="1"/>
      <c r="H764" s="1"/>
      <c r="I764" s="3"/>
      <c r="J764" s="3"/>
      <c r="K764" s="1"/>
      <c r="L764" s="3"/>
    </row>
    <row r="765" spans="1:12" ht="12.75">
      <c r="A765" s="1"/>
      <c r="B765" s="1"/>
      <c r="C765" s="1"/>
      <c r="D765" s="1"/>
      <c r="E765" s="1"/>
      <c r="F765" s="1"/>
      <c r="G765" s="1"/>
      <c r="H765" s="1"/>
      <c r="I765" s="3"/>
      <c r="J765" s="3"/>
      <c r="K765" s="1"/>
      <c r="L765" s="3"/>
    </row>
    <row r="766" spans="1:12" ht="12.75">
      <c r="A766" s="1"/>
      <c r="B766" s="1"/>
      <c r="C766" s="1"/>
      <c r="D766" s="1"/>
      <c r="E766" s="1"/>
      <c r="F766" s="1"/>
      <c r="G766" s="1"/>
      <c r="H766" s="1"/>
      <c r="I766" s="3"/>
      <c r="J766" s="3"/>
      <c r="K766" s="1"/>
      <c r="L766" s="3"/>
    </row>
    <row r="767" spans="1:12" ht="12.75">
      <c r="A767" s="1"/>
      <c r="B767" s="1"/>
      <c r="C767" s="1"/>
      <c r="D767" s="1"/>
      <c r="E767" s="1"/>
      <c r="F767" s="1"/>
      <c r="G767" s="1"/>
      <c r="H767" s="1"/>
      <c r="I767" s="3"/>
      <c r="J767" s="3"/>
      <c r="K767" s="1"/>
      <c r="L767" s="3"/>
    </row>
    <row r="768" spans="1:12" ht="12.75">
      <c r="A768" s="1"/>
      <c r="B768" s="1"/>
      <c r="C768" s="1"/>
      <c r="D768" s="1"/>
      <c r="E768" s="1"/>
      <c r="F768" s="1"/>
      <c r="G768" s="1"/>
      <c r="H768" s="1"/>
      <c r="I768" s="3"/>
      <c r="J768" s="3"/>
      <c r="K768" s="1"/>
      <c r="L768" s="3"/>
    </row>
    <row r="769" spans="1:12" ht="12.75">
      <c r="A769" s="1"/>
      <c r="B769" s="1"/>
      <c r="C769" s="1"/>
      <c r="D769" s="1"/>
      <c r="E769" s="1"/>
      <c r="F769" s="1"/>
      <c r="G769" s="1"/>
      <c r="H769" s="1"/>
      <c r="I769" s="3"/>
      <c r="J769" s="3"/>
      <c r="K769" s="1"/>
      <c r="L769" s="3"/>
    </row>
    <row r="770" spans="1:12" ht="12.75">
      <c r="A770" s="1"/>
      <c r="B770" s="1"/>
      <c r="C770" s="1"/>
      <c r="D770" s="1"/>
      <c r="E770" s="1"/>
      <c r="F770" s="1"/>
      <c r="G770" s="1"/>
      <c r="H770" s="1"/>
      <c r="I770" s="3"/>
      <c r="J770" s="3"/>
      <c r="K770" s="1"/>
      <c r="L770" s="3"/>
    </row>
    <row r="771" spans="1:12" ht="12.75">
      <c r="A771" s="1"/>
      <c r="B771" s="1"/>
      <c r="C771" s="1"/>
      <c r="D771" s="1"/>
      <c r="E771" s="1"/>
      <c r="F771" s="1"/>
      <c r="G771" s="1"/>
      <c r="H771" s="1"/>
      <c r="I771" s="3"/>
      <c r="J771" s="3"/>
      <c r="K771" s="1"/>
      <c r="L771" s="3"/>
    </row>
    <row r="772" spans="1:12" ht="12.75">
      <c r="A772" s="1"/>
      <c r="B772" s="1"/>
      <c r="C772" s="1"/>
      <c r="D772" s="1"/>
      <c r="E772" s="1"/>
      <c r="F772" s="1"/>
      <c r="G772" s="1"/>
      <c r="H772" s="1"/>
      <c r="I772" s="3"/>
      <c r="J772" s="3"/>
      <c r="K772" s="1"/>
      <c r="L772" s="3"/>
    </row>
    <row r="773" spans="1:12" ht="12.75">
      <c r="A773" s="1"/>
      <c r="B773" s="1"/>
      <c r="C773" s="1"/>
      <c r="D773" s="1"/>
      <c r="E773" s="1"/>
      <c r="F773" s="1"/>
      <c r="G773" s="1"/>
      <c r="H773" s="1"/>
      <c r="I773" s="3"/>
      <c r="J773" s="3"/>
      <c r="K773" s="1"/>
      <c r="L773" s="3"/>
    </row>
    <row r="774" spans="1:12" ht="12.75">
      <c r="A774" s="1"/>
      <c r="B774" s="1"/>
      <c r="C774" s="1"/>
      <c r="D774" s="1"/>
      <c r="E774" s="1"/>
      <c r="F774" s="1"/>
      <c r="G774" s="1"/>
      <c r="H774" s="1"/>
      <c r="I774" s="3"/>
      <c r="J774" s="3"/>
      <c r="K774" s="1"/>
      <c r="L774" s="3"/>
    </row>
    <row r="775" spans="1:12" ht="12.75">
      <c r="A775" s="1"/>
      <c r="B775" s="1"/>
      <c r="C775" s="1"/>
      <c r="D775" s="1"/>
      <c r="E775" s="1"/>
      <c r="F775" s="1"/>
      <c r="G775" s="1"/>
      <c r="H775" s="1"/>
      <c r="I775" s="3"/>
      <c r="J775" s="3"/>
      <c r="K775" s="1"/>
      <c r="L775" s="3"/>
    </row>
    <row r="776" spans="1:12" ht="12.75">
      <c r="A776" s="1"/>
      <c r="B776" s="1"/>
      <c r="C776" s="1"/>
      <c r="D776" s="1"/>
      <c r="E776" s="1"/>
      <c r="F776" s="1"/>
      <c r="G776" s="1"/>
      <c r="H776" s="1"/>
      <c r="I776" s="3"/>
      <c r="J776" s="3"/>
      <c r="K776" s="1"/>
      <c r="L776" s="3"/>
    </row>
    <row r="777" spans="1:12" ht="12.75">
      <c r="A777" s="1"/>
      <c r="B777" s="1"/>
      <c r="C777" s="1"/>
      <c r="D777" s="1"/>
      <c r="E777" s="1"/>
      <c r="F777" s="1"/>
      <c r="G777" s="1"/>
      <c r="H777" s="1"/>
      <c r="I777" s="3"/>
      <c r="J777" s="3"/>
      <c r="K777" s="1"/>
      <c r="L777" s="3"/>
    </row>
    <row r="778" spans="1:12" ht="12.75">
      <c r="A778" s="1"/>
      <c r="B778" s="1"/>
      <c r="C778" s="1"/>
      <c r="D778" s="1"/>
      <c r="E778" s="1"/>
      <c r="F778" s="1"/>
      <c r="G778" s="1"/>
      <c r="H778" s="1"/>
      <c r="I778" s="3"/>
      <c r="J778" s="3"/>
      <c r="K778" s="1"/>
      <c r="L778" s="3"/>
    </row>
    <row r="779" spans="1:12" ht="12.75">
      <c r="A779" s="1"/>
      <c r="B779" s="1"/>
      <c r="C779" s="1"/>
      <c r="D779" s="1"/>
      <c r="E779" s="1"/>
      <c r="F779" s="1"/>
      <c r="G779" s="1"/>
      <c r="H779" s="1"/>
      <c r="I779" s="3"/>
      <c r="J779" s="3"/>
      <c r="K779" s="1"/>
      <c r="L779" s="3"/>
    </row>
    <row r="780" spans="1:12" ht="12.75">
      <c r="A780" s="1"/>
      <c r="B780" s="1"/>
      <c r="C780" s="1"/>
      <c r="D780" s="1"/>
      <c r="E780" s="1"/>
      <c r="F780" s="1"/>
      <c r="G780" s="1"/>
      <c r="H780" s="1"/>
      <c r="I780" s="3"/>
      <c r="J780" s="3"/>
      <c r="K780" s="1"/>
      <c r="L780" s="3"/>
    </row>
    <row r="781" spans="1:12" ht="12.75">
      <c r="A781" s="1"/>
      <c r="B781" s="1"/>
      <c r="C781" s="1"/>
      <c r="D781" s="1"/>
      <c r="E781" s="1"/>
      <c r="F781" s="1"/>
      <c r="G781" s="1"/>
      <c r="H781" s="1"/>
      <c r="I781" s="3"/>
      <c r="J781" s="3"/>
      <c r="K781" s="1"/>
      <c r="L781" s="3"/>
    </row>
    <row r="782" spans="1:12" ht="12.75">
      <c r="A782" s="1"/>
      <c r="B782" s="1"/>
      <c r="C782" s="1"/>
      <c r="D782" s="1"/>
      <c r="E782" s="1"/>
      <c r="F782" s="1"/>
      <c r="G782" s="1"/>
      <c r="H782" s="1"/>
      <c r="I782" s="3"/>
      <c r="J782" s="3"/>
      <c r="K782" s="1"/>
      <c r="L782" s="3"/>
    </row>
    <row r="783" spans="1:12" ht="12.75">
      <c r="A783" s="1"/>
      <c r="B783" s="1"/>
      <c r="C783" s="1"/>
      <c r="D783" s="1"/>
      <c r="E783" s="1"/>
      <c r="F783" s="1"/>
      <c r="G783" s="1"/>
      <c r="H783" s="1"/>
      <c r="I783" s="3"/>
      <c r="J783" s="3"/>
      <c r="K783" s="1"/>
      <c r="L783" s="3"/>
    </row>
    <row r="784" spans="1:12" ht="12.75">
      <c r="A784" s="1"/>
      <c r="B784" s="1"/>
      <c r="C784" s="1"/>
      <c r="D784" s="1"/>
      <c r="E784" s="1"/>
      <c r="F784" s="1"/>
      <c r="G784" s="1"/>
      <c r="H784" s="1"/>
      <c r="I784" s="3"/>
      <c r="J784" s="3"/>
      <c r="K784" s="1"/>
      <c r="L784" s="3"/>
    </row>
    <row r="785" spans="1:12" ht="12.75">
      <c r="A785" s="1"/>
      <c r="B785" s="1"/>
      <c r="C785" s="1"/>
      <c r="D785" s="1"/>
      <c r="E785" s="1"/>
      <c r="F785" s="1"/>
      <c r="G785" s="1"/>
      <c r="H785" s="1"/>
      <c r="I785" s="3"/>
      <c r="J785" s="3"/>
      <c r="K785" s="1"/>
      <c r="L785" s="3"/>
    </row>
    <row r="786" spans="1:12" ht="12.75">
      <c r="A786" s="1"/>
      <c r="B786" s="1"/>
      <c r="C786" s="1"/>
      <c r="D786" s="1"/>
      <c r="E786" s="1"/>
      <c r="F786" s="1"/>
      <c r="G786" s="1"/>
      <c r="H786" s="1"/>
      <c r="I786" s="3"/>
      <c r="J786" s="3"/>
      <c r="K786" s="1"/>
      <c r="L786" s="3"/>
    </row>
    <row r="787" spans="1:12" ht="12.75">
      <c r="A787" s="1"/>
      <c r="B787" s="1"/>
      <c r="C787" s="1"/>
      <c r="D787" s="1"/>
      <c r="E787" s="1"/>
      <c r="F787" s="1"/>
      <c r="G787" s="1"/>
      <c r="H787" s="1"/>
      <c r="I787" s="3"/>
      <c r="J787" s="3"/>
      <c r="K787" s="1"/>
      <c r="L787" s="3"/>
    </row>
    <row r="788" spans="1:12" ht="12.75">
      <c r="A788" s="1"/>
      <c r="B788" s="1"/>
      <c r="C788" s="1"/>
      <c r="D788" s="1"/>
      <c r="E788" s="1"/>
      <c r="F788" s="1"/>
      <c r="G788" s="1"/>
      <c r="H788" s="1"/>
      <c r="I788" s="3"/>
      <c r="J788" s="3"/>
      <c r="K788" s="1"/>
      <c r="L788" s="3"/>
    </row>
    <row r="789" spans="1:12" ht="12.75">
      <c r="A789" s="1"/>
      <c r="B789" s="1"/>
      <c r="C789" s="1"/>
      <c r="D789" s="1"/>
      <c r="E789" s="1"/>
      <c r="F789" s="1"/>
      <c r="G789" s="1"/>
      <c r="H789" s="1"/>
      <c r="I789" s="3"/>
      <c r="J789" s="3"/>
      <c r="K789" s="1"/>
      <c r="L789" s="3"/>
    </row>
    <row r="790" spans="1:12" ht="12.75">
      <c r="A790" s="1"/>
      <c r="B790" s="1"/>
      <c r="C790" s="1"/>
      <c r="D790" s="1"/>
      <c r="E790" s="1"/>
      <c r="F790" s="1"/>
      <c r="G790" s="1"/>
      <c r="H790" s="1"/>
      <c r="I790" s="3"/>
      <c r="J790" s="3"/>
      <c r="K790" s="1"/>
      <c r="L790" s="3"/>
    </row>
    <row r="791" spans="1:12" ht="12.75">
      <c r="A791" s="1"/>
      <c r="B791" s="1"/>
      <c r="C791" s="1"/>
      <c r="D791" s="1"/>
      <c r="E791" s="1"/>
      <c r="F791" s="1"/>
      <c r="G791" s="1"/>
      <c r="H791" s="1"/>
      <c r="I791" s="3"/>
      <c r="J791" s="3"/>
      <c r="K791" s="1"/>
      <c r="L791" s="3"/>
    </row>
    <row r="792" spans="1:12" ht="12.75">
      <c r="A792" s="1"/>
      <c r="B792" s="1"/>
      <c r="C792" s="1"/>
      <c r="D792" s="1"/>
      <c r="E792" s="1"/>
      <c r="F792" s="1"/>
      <c r="G792" s="1"/>
      <c r="H792" s="1"/>
      <c r="I792" s="3"/>
      <c r="J792" s="3"/>
      <c r="K792" s="1"/>
      <c r="L792" s="3"/>
    </row>
    <row r="793" spans="1:12" ht="12.75">
      <c r="A793" s="1"/>
      <c r="B793" s="1"/>
      <c r="C793" s="1"/>
      <c r="D793" s="1"/>
      <c r="E793" s="1"/>
      <c r="F793" s="1"/>
      <c r="G793" s="1"/>
      <c r="H793" s="1"/>
      <c r="I793" s="3"/>
      <c r="J793" s="3"/>
      <c r="K793" s="1"/>
      <c r="L793" s="3"/>
    </row>
    <row r="794" spans="1:12" ht="12.75">
      <c r="A794" s="1"/>
      <c r="B794" s="1"/>
      <c r="C794" s="1"/>
      <c r="D794" s="1"/>
      <c r="E794" s="1"/>
      <c r="F794" s="1"/>
      <c r="G794" s="1"/>
      <c r="H794" s="1"/>
      <c r="I794" s="3"/>
      <c r="J794" s="3"/>
      <c r="K794" s="1"/>
      <c r="L794" s="3"/>
    </row>
    <row r="795" spans="1:12" ht="12.75">
      <c r="A795" s="1"/>
      <c r="B795" s="1"/>
      <c r="C795" s="1"/>
      <c r="D795" s="1"/>
      <c r="E795" s="1"/>
      <c r="F795" s="1"/>
      <c r="G795" s="1"/>
      <c r="H795" s="1"/>
      <c r="I795" s="3"/>
      <c r="J795" s="3"/>
      <c r="K795" s="1"/>
      <c r="L795" s="3"/>
    </row>
    <row r="796" spans="1:12" ht="12.75">
      <c r="A796" s="1"/>
      <c r="B796" s="1"/>
      <c r="C796" s="1"/>
      <c r="D796" s="1"/>
      <c r="E796" s="1"/>
      <c r="F796" s="1"/>
      <c r="G796" s="1"/>
      <c r="H796" s="1"/>
      <c r="I796" s="3"/>
      <c r="J796" s="3"/>
      <c r="K796" s="1"/>
      <c r="L796" s="3"/>
    </row>
    <row r="797" spans="1:12" ht="12.75">
      <c r="A797" s="1"/>
      <c r="B797" s="1"/>
      <c r="C797" s="1"/>
      <c r="D797" s="1"/>
      <c r="E797" s="1"/>
      <c r="F797" s="1"/>
      <c r="G797" s="1"/>
      <c r="H797" s="1"/>
      <c r="I797" s="3"/>
      <c r="J797" s="3"/>
      <c r="K797" s="1"/>
      <c r="L797" s="3"/>
    </row>
    <row r="798" spans="1:12" ht="12.75">
      <c r="A798" s="1"/>
      <c r="B798" s="1"/>
      <c r="C798" s="1"/>
      <c r="D798" s="1"/>
      <c r="E798" s="1"/>
      <c r="F798" s="1"/>
      <c r="G798" s="1"/>
      <c r="H798" s="1"/>
      <c r="I798" s="3"/>
      <c r="J798" s="3"/>
      <c r="K798" s="1"/>
      <c r="L798" s="3"/>
    </row>
    <row r="799" spans="1:12" ht="12.75">
      <c r="A799" s="1"/>
      <c r="B799" s="1"/>
      <c r="C799" s="1"/>
      <c r="D799" s="1"/>
      <c r="E799" s="1"/>
      <c r="F799" s="1"/>
      <c r="G799" s="1"/>
      <c r="H799" s="1"/>
      <c r="I799" s="3"/>
      <c r="J799" s="3"/>
      <c r="K799" s="1"/>
      <c r="L799" s="3"/>
    </row>
    <row r="800" spans="1:12" ht="12.75">
      <c r="A800" s="1"/>
      <c r="B800" s="1"/>
      <c r="C800" s="1"/>
      <c r="D800" s="1"/>
      <c r="E800" s="1"/>
      <c r="F800" s="1"/>
      <c r="G800" s="1"/>
      <c r="H800" s="1"/>
      <c r="I800" s="3"/>
      <c r="J800" s="3"/>
      <c r="K800" s="1"/>
      <c r="L800" s="3"/>
    </row>
    <row r="801" spans="1:12" ht="12.75">
      <c r="A801" s="1"/>
      <c r="B801" s="1"/>
      <c r="C801" s="1"/>
      <c r="D801" s="1"/>
      <c r="E801" s="1"/>
      <c r="F801" s="1"/>
      <c r="G801" s="1"/>
      <c r="H801" s="1"/>
      <c r="I801" s="3"/>
      <c r="J801" s="3"/>
      <c r="K801" s="1"/>
      <c r="L801" s="3"/>
    </row>
    <row r="802" spans="1:12" ht="12.75">
      <c r="A802" s="1"/>
      <c r="B802" s="1"/>
      <c r="C802" s="1"/>
      <c r="D802" s="1"/>
      <c r="E802" s="1"/>
      <c r="F802" s="1"/>
      <c r="G802" s="1"/>
      <c r="H802" s="1"/>
      <c r="I802" s="3"/>
      <c r="J802" s="3"/>
      <c r="K802" s="1"/>
      <c r="L802" s="3"/>
    </row>
    <row r="803" spans="1:12" ht="12.75">
      <c r="A803" s="1"/>
      <c r="B803" s="1"/>
      <c r="C803" s="1"/>
      <c r="D803" s="1"/>
      <c r="E803" s="1"/>
      <c r="F803" s="1"/>
      <c r="G803" s="1"/>
      <c r="H803" s="1"/>
      <c r="I803" s="3"/>
      <c r="J803" s="3"/>
      <c r="K803" s="1"/>
      <c r="L803" s="3"/>
    </row>
    <row r="804" spans="1:12" ht="12.75">
      <c r="A804" s="1"/>
      <c r="B804" s="1"/>
      <c r="C804" s="1"/>
      <c r="D804" s="1"/>
      <c r="E804" s="1"/>
      <c r="F804" s="1"/>
      <c r="G804" s="1"/>
      <c r="H804" s="1"/>
      <c r="I804" s="3"/>
      <c r="J804" s="3"/>
      <c r="K804" s="1"/>
      <c r="L804" s="3"/>
    </row>
    <row r="805" spans="1:12" ht="12.75">
      <c r="A805" s="1"/>
      <c r="B805" s="1"/>
      <c r="C805" s="1"/>
      <c r="D805" s="1"/>
      <c r="E805" s="1"/>
      <c r="F805" s="1"/>
      <c r="G805" s="1"/>
      <c r="H805" s="1"/>
      <c r="I805" s="3"/>
      <c r="J805" s="3"/>
      <c r="K805" s="1"/>
      <c r="L805" s="3"/>
    </row>
    <row r="806" spans="1:12" ht="12.75">
      <c r="A806" s="1"/>
      <c r="B806" s="1"/>
      <c r="C806" s="1"/>
      <c r="D806" s="1"/>
      <c r="E806" s="1"/>
      <c r="F806" s="1"/>
      <c r="G806" s="1"/>
      <c r="H806" s="1"/>
      <c r="I806" s="3"/>
      <c r="J806" s="3"/>
      <c r="K806" s="1"/>
      <c r="L806" s="3"/>
    </row>
    <row r="807" spans="1:12" ht="12.75">
      <c r="A807" s="1"/>
      <c r="B807" s="1"/>
      <c r="C807" s="1"/>
      <c r="D807" s="1"/>
      <c r="E807" s="1"/>
      <c r="F807" s="1"/>
      <c r="G807" s="1"/>
      <c r="H807" s="1"/>
      <c r="I807" s="3"/>
      <c r="J807" s="3"/>
      <c r="K807" s="1"/>
      <c r="L807" s="3"/>
    </row>
    <row r="808" spans="1:12" ht="12.75">
      <c r="A808" s="1"/>
      <c r="B808" s="1"/>
      <c r="C808" s="1"/>
      <c r="D808" s="1"/>
      <c r="E808" s="1"/>
      <c r="F808" s="1"/>
      <c r="G808" s="1"/>
      <c r="H808" s="1"/>
      <c r="I808" s="3"/>
      <c r="J808" s="3"/>
      <c r="K808" s="1"/>
      <c r="L808" s="3"/>
    </row>
    <row r="809" spans="1:12" ht="12.75">
      <c r="A809" s="1"/>
      <c r="B809" s="1"/>
      <c r="C809" s="1"/>
      <c r="D809" s="1"/>
      <c r="E809" s="1"/>
      <c r="F809" s="1"/>
      <c r="G809" s="1"/>
      <c r="H809" s="1"/>
      <c r="I809" s="3"/>
      <c r="J809" s="3"/>
      <c r="K809" s="1"/>
      <c r="L809" s="3"/>
    </row>
    <row r="810" spans="1:12" ht="12.75">
      <c r="A810" s="1"/>
      <c r="B810" s="1"/>
      <c r="C810" s="1"/>
      <c r="D810" s="1"/>
      <c r="E810" s="1"/>
      <c r="F810" s="1"/>
      <c r="G810" s="1"/>
      <c r="H810" s="1"/>
      <c r="I810" s="3"/>
      <c r="J810" s="3"/>
      <c r="K810" s="1"/>
      <c r="L810" s="3"/>
    </row>
    <row r="811" spans="1:12" ht="12.75">
      <c r="A811" s="1"/>
      <c r="B811" s="1"/>
      <c r="C811" s="1"/>
      <c r="D811" s="1"/>
      <c r="E811" s="1"/>
      <c r="F811" s="1"/>
      <c r="G811" s="1"/>
      <c r="H811" s="1"/>
      <c r="I811" s="3"/>
      <c r="J811" s="3"/>
      <c r="K811" s="1"/>
      <c r="L811" s="3"/>
    </row>
    <row r="812" spans="1:12" ht="12.75">
      <c r="A812" s="1"/>
      <c r="B812" s="1"/>
      <c r="C812" s="1"/>
      <c r="D812" s="1"/>
      <c r="E812" s="1"/>
      <c r="F812" s="1"/>
      <c r="G812" s="1"/>
      <c r="H812" s="1"/>
      <c r="I812" s="3"/>
      <c r="J812" s="3"/>
      <c r="K812" s="1"/>
      <c r="L812" s="3"/>
    </row>
    <row r="813" spans="1:12" ht="12.75">
      <c r="A813" s="1"/>
      <c r="B813" s="1"/>
      <c r="C813" s="1"/>
      <c r="D813" s="1"/>
      <c r="E813" s="1"/>
      <c r="F813" s="1"/>
      <c r="G813" s="1"/>
      <c r="H813" s="1"/>
      <c r="I813" s="3"/>
      <c r="J813" s="3"/>
      <c r="K813" s="1"/>
      <c r="L813" s="3"/>
    </row>
    <row r="814" spans="1:12" ht="12.75">
      <c r="A814" s="1"/>
      <c r="B814" s="1"/>
      <c r="C814" s="1"/>
      <c r="D814" s="1"/>
      <c r="E814" s="1"/>
      <c r="F814" s="1"/>
      <c r="G814" s="1"/>
      <c r="H814" s="1"/>
      <c r="I814" s="3"/>
      <c r="J814" s="3"/>
      <c r="K814" s="1"/>
      <c r="L814" s="3"/>
    </row>
    <row r="815" spans="1:12" ht="12.75">
      <c r="A815" s="1"/>
      <c r="B815" s="1"/>
      <c r="C815" s="1"/>
      <c r="D815" s="1"/>
      <c r="E815" s="1"/>
      <c r="F815" s="1"/>
      <c r="G815" s="1"/>
      <c r="H815" s="1"/>
      <c r="I815" s="3"/>
      <c r="J815" s="3"/>
      <c r="K815" s="1"/>
      <c r="L815" s="3"/>
    </row>
    <row r="816" spans="1:12" ht="12.75">
      <c r="A816" s="1"/>
      <c r="B816" s="1"/>
      <c r="C816" s="1"/>
      <c r="D816" s="1"/>
      <c r="E816" s="1"/>
      <c r="F816" s="1"/>
      <c r="G816" s="1"/>
      <c r="H816" s="1"/>
      <c r="I816" s="3"/>
      <c r="J816" s="3"/>
      <c r="K816" s="1"/>
      <c r="L816" s="3"/>
    </row>
    <row r="817" spans="1:12" ht="12.75">
      <c r="A817" s="1"/>
      <c r="B817" s="1"/>
      <c r="C817" s="1"/>
      <c r="D817" s="1"/>
      <c r="E817" s="1"/>
      <c r="F817" s="1"/>
      <c r="G817" s="1"/>
      <c r="H817" s="1"/>
      <c r="I817" s="3"/>
      <c r="J817" s="3"/>
      <c r="K817" s="1"/>
      <c r="L817" s="3"/>
    </row>
    <row r="818" spans="1:12" ht="12.75">
      <c r="A818" s="1"/>
      <c r="B818" s="1"/>
      <c r="C818" s="1"/>
      <c r="D818" s="1"/>
      <c r="E818" s="1"/>
      <c r="F818" s="1"/>
      <c r="G818" s="1"/>
      <c r="H818" s="1"/>
      <c r="I818" s="3"/>
      <c r="J818" s="3"/>
      <c r="K818" s="1"/>
      <c r="L818" s="3"/>
    </row>
    <row r="819" spans="1:12" ht="12.75">
      <c r="A819" s="1"/>
      <c r="B819" s="1"/>
      <c r="C819" s="1"/>
      <c r="D819" s="1"/>
      <c r="E819" s="1"/>
      <c r="F819" s="1"/>
      <c r="G819" s="1"/>
      <c r="H819" s="1"/>
      <c r="I819" s="3"/>
      <c r="J819" s="3"/>
      <c r="K819" s="1"/>
      <c r="L819" s="3"/>
    </row>
    <row r="820" spans="1:12" ht="12.75">
      <c r="A820" s="1"/>
      <c r="B820" s="1"/>
      <c r="C820" s="1"/>
      <c r="D820" s="1"/>
      <c r="E820" s="1"/>
      <c r="F820" s="1"/>
      <c r="G820" s="1"/>
      <c r="H820" s="1"/>
      <c r="I820" s="3"/>
      <c r="J820" s="3"/>
      <c r="K820" s="1"/>
      <c r="L820" s="3"/>
    </row>
    <row r="821" spans="1:12" ht="12.75">
      <c r="A821" s="1"/>
      <c r="B821" s="1"/>
      <c r="C821" s="1"/>
      <c r="D821" s="1"/>
      <c r="E821" s="1"/>
      <c r="F821" s="1"/>
      <c r="G821" s="1"/>
      <c r="H821" s="1"/>
      <c r="I821" s="3"/>
      <c r="J821" s="3"/>
      <c r="K821" s="1"/>
      <c r="L821" s="3"/>
    </row>
    <row r="822" spans="1:12" ht="12.75">
      <c r="A822" s="1"/>
      <c r="B822" s="1"/>
      <c r="C822" s="1"/>
      <c r="D822" s="1"/>
      <c r="E822" s="1"/>
      <c r="F822" s="1"/>
      <c r="G822" s="1"/>
      <c r="H822" s="1"/>
      <c r="I822" s="3"/>
      <c r="J822" s="3"/>
      <c r="K822" s="1"/>
      <c r="L822" s="3"/>
    </row>
    <row r="823" spans="1:12" ht="12.75">
      <c r="A823" s="1"/>
      <c r="B823" s="1"/>
      <c r="C823" s="1"/>
      <c r="D823" s="1"/>
      <c r="E823" s="1"/>
      <c r="F823" s="1"/>
      <c r="G823" s="1"/>
      <c r="H823" s="1"/>
      <c r="I823" s="3"/>
      <c r="J823" s="3"/>
      <c r="K823" s="1"/>
      <c r="L823" s="3"/>
    </row>
    <row r="824" spans="1:12" ht="12.75">
      <c r="A824" s="1"/>
      <c r="B824" s="1"/>
      <c r="C824" s="1"/>
      <c r="D824" s="1"/>
      <c r="E824" s="1"/>
      <c r="F824" s="1"/>
      <c r="G824" s="1"/>
      <c r="H824" s="1"/>
      <c r="I824" s="3"/>
      <c r="J824" s="3"/>
      <c r="K824" s="1"/>
      <c r="L824" s="3"/>
    </row>
    <row r="825" spans="1:12" ht="12.75">
      <c r="A825" s="1"/>
      <c r="B825" s="1"/>
      <c r="C825" s="1"/>
      <c r="D825" s="1"/>
      <c r="E825" s="1"/>
      <c r="F825" s="1"/>
      <c r="G825" s="1"/>
      <c r="H825" s="1"/>
      <c r="I825" s="3"/>
      <c r="J825" s="3"/>
      <c r="K825" s="1"/>
      <c r="L825" s="3"/>
    </row>
    <row r="826" spans="1:12" ht="12.75">
      <c r="A826" s="1"/>
      <c r="B826" s="1"/>
      <c r="C826" s="1"/>
      <c r="D826" s="1"/>
      <c r="E826" s="1"/>
      <c r="F826" s="1"/>
      <c r="G826" s="1"/>
      <c r="H826" s="1"/>
      <c r="I826" s="3"/>
      <c r="J826" s="3"/>
      <c r="K826" s="1"/>
      <c r="L826" s="3"/>
    </row>
    <row r="827" spans="1:12" ht="12.75">
      <c r="A827" s="1"/>
      <c r="B827" s="1"/>
      <c r="C827" s="1"/>
      <c r="D827" s="1"/>
      <c r="E827" s="1"/>
      <c r="F827" s="1"/>
      <c r="G827" s="1"/>
      <c r="H827" s="1"/>
      <c r="I827" s="3"/>
      <c r="J827" s="3"/>
      <c r="K827" s="1"/>
      <c r="L827" s="3"/>
    </row>
    <row r="828" spans="1:12" ht="12.75">
      <c r="A828" s="1"/>
      <c r="B828" s="1"/>
      <c r="C828" s="1"/>
      <c r="D828" s="1"/>
      <c r="E828" s="1"/>
      <c r="F828" s="1"/>
      <c r="G828" s="1"/>
      <c r="H828" s="1"/>
      <c r="I828" s="3"/>
      <c r="J828" s="3"/>
      <c r="K828" s="1"/>
      <c r="L828" s="3"/>
    </row>
    <row r="829" spans="1:12" ht="12.75">
      <c r="A829" s="1"/>
      <c r="B829" s="1"/>
      <c r="C829" s="1"/>
      <c r="D829" s="1"/>
      <c r="E829" s="1"/>
      <c r="F829" s="1"/>
      <c r="G829" s="1"/>
      <c r="H829" s="1"/>
      <c r="I829" s="3"/>
      <c r="J829" s="3"/>
      <c r="K829" s="1"/>
      <c r="L829" s="3"/>
    </row>
    <row r="830" spans="1:12" ht="12.75">
      <c r="A830" s="1"/>
      <c r="B830" s="1"/>
      <c r="C830" s="1"/>
      <c r="D830" s="1"/>
      <c r="E830" s="1"/>
      <c r="F830" s="1"/>
      <c r="G830" s="1"/>
      <c r="H830" s="1"/>
      <c r="I830" s="3"/>
      <c r="J830" s="3"/>
      <c r="K830" s="1"/>
      <c r="L830" s="3"/>
    </row>
    <row r="831" spans="1:12" ht="12.75">
      <c r="A831" s="1"/>
      <c r="B831" s="1"/>
      <c r="C831" s="1"/>
      <c r="D831" s="1"/>
      <c r="E831" s="1"/>
      <c r="F831" s="1"/>
      <c r="G831" s="1"/>
      <c r="H831" s="1"/>
      <c r="I831" s="3"/>
      <c r="J831" s="3"/>
      <c r="K831" s="1"/>
      <c r="L831" s="3"/>
    </row>
    <row r="832" spans="1:12" ht="12.75">
      <c r="A832" s="1"/>
      <c r="B832" s="1"/>
      <c r="C832" s="1"/>
      <c r="D832" s="1"/>
      <c r="E832" s="1"/>
      <c r="F832" s="1"/>
      <c r="G832" s="1"/>
      <c r="H832" s="1"/>
      <c r="I832" s="3"/>
      <c r="J832" s="3"/>
      <c r="K832" s="1"/>
      <c r="L832" s="3"/>
    </row>
    <row r="833" spans="1:12" ht="12.75">
      <c r="A833" s="1"/>
      <c r="B833" s="1"/>
      <c r="C833" s="1"/>
      <c r="D833" s="1"/>
      <c r="E833" s="1"/>
      <c r="F833" s="1"/>
      <c r="G833" s="1"/>
      <c r="H833" s="1"/>
      <c r="I833" s="3"/>
      <c r="J833" s="3"/>
      <c r="K833" s="1"/>
      <c r="L833" s="3"/>
    </row>
    <row r="834" spans="1:12" ht="12.75">
      <c r="A834" s="1"/>
      <c r="B834" s="1"/>
      <c r="C834" s="1"/>
      <c r="D834" s="1"/>
      <c r="E834" s="1"/>
      <c r="F834" s="1"/>
      <c r="G834" s="1"/>
      <c r="H834" s="1"/>
      <c r="I834" s="3"/>
      <c r="J834" s="3"/>
      <c r="K834" s="1"/>
      <c r="L834" s="3"/>
    </row>
    <row r="835" spans="1:12" ht="12.75">
      <c r="A835" s="1"/>
      <c r="B835" s="1"/>
      <c r="C835" s="1"/>
      <c r="D835" s="1"/>
      <c r="E835" s="1"/>
      <c r="F835" s="1"/>
      <c r="G835" s="1"/>
      <c r="H835" s="1"/>
      <c r="I835" s="3"/>
      <c r="J835" s="3"/>
      <c r="K835" s="1"/>
      <c r="L835" s="3"/>
    </row>
    <row r="836" spans="1:12" ht="12.75">
      <c r="A836" s="1"/>
      <c r="B836" s="1"/>
      <c r="C836" s="1"/>
      <c r="D836" s="1"/>
      <c r="E836" s="1"/>
      <c r="F836" s="1"/>
      <c r="G836" s="1"/>
      <c r="H836" s="1"/>
      <c r="I836" s="3"/>
      <c r="J836" s="3"/>
      <c r="K836" s="1"/>
      <c r="L836" s="3"/>
    </row>
    <row r="837" spans="1:12" ht="12.75">
      <c r="A837" s="1"/>
      <c r="B837" s="1"/>
      <c r="C837" s="1"/>
      <c r="D837" s="1"/>
      <c r="E837" s="1"/>
      <c r="F837" s="1"/>
      <c r="G837" s="1"/>
      <c r="H837" s="1"/>
      <c r="I837" s="3"/>
      <c r="J837" s="3"/>
      <c r="K837" s="1"/>
      <c r="L837" s="3"/>
    </row>
    <row r="838" spans="1:12" ht="12.75">
      <c r="A838" s="1"/>
      <c r="B838" s="1"/>
      <c r="C838" s="1"/>
      <c r="D838" s="1"/>
      <c r="E838" s="1"/>
      <c r="F838" s="1"/>
      <c r="G838" s="1"/>
      <c r="H838" s="1"/>
      <c r="I838" s="3"/>
      <c r="J838" s="3"/>
      <c r="K838" s="1"/>
      <c r="L838" s="3"/>
    </row>
    <row r="839" spans="1:12" ht="12.75">
      <c r="A839" s="1"/>
      <c r="B839" s="1"/>
      <c r="C839" s="1"/>
      <c r="D839" s="1"/>
      <c r="E839" s="1"/>
      <c r="F839" s="1"/>
      <c r="G839" s="1"/>
      <c r="H839" s="1"/>
      <c r="I839" s="3"/>
      <c r="J839" s="3"/>
      <c r="K839" s="1"/>
      <c r="L839" s="3"/>
    </row>
    <row r="840" spans="1:12" ht="12.75">
      <c r="A840" s="1"/>
      <c r="B840" s="1"/>
      <c r="C840" s="1"/>
      <c r="D840" s="1"/>
      <c r="E840" s="1"/>
      <c r="F840" s="1"/>
      <c r="G840" s="1"/>
      <c r="H840" s="1"/>
      <c r="I840" s="3"/>
      <c r="J840" s="3"/>
      <c r="K840" s="1"/>
      <c r="L840" s="3"/>
    </row>
    <row r="841" spans="1:12" ht="12.75">
      <c r="A841" s="1"/>
      <c r="B841" s="1"/>
      <c r="C841" s="1"/>
      <c r="D841" s="1"/>
      <c r="E841" s="1"/>
      <c r="F841" s="1"/>
      <c r="G841" s="1"/>
      <c r="H841" s="1"/>
      <c r="I841" s="3"/>
      <c r="J841" s="3"/>
      <c r="K841" s="1"/>
      <c r="L841" s="3"/>
    </row>
    <row r="842" spans="1:12" ht="12.75">
      <c r="A842" s="1"/>
      <c r="B842" s="1"/>
      <c r="C842" s="1"/>
      <c r="D842" s="1"/>
      <c r="E842" s="1"/>
      <c r="F842" s="1"/>
      <c r="G842" s="1"/>
      <c r="H842" s="1"/>
      <c r="I842" s="3"/>
      <c r="J842" s="3"/>
      <c r="K842" s="1"/>
      <c r="L842" s="3"/>
    </row>
    <row r="843" spans="1:12" ht="12.75">
      <c r="A843" s="1"/>
      <c r="B843" s="1"/>
      <c r="C843" s="1"/>
      <c r="D843" s="1"/>
      <c r="E843" s="1"/>
      <c r="F843" s="1"/>
      <c r="G843" s="1"/>
      <c r="H843" s="1"/>
      <c r="I843" s="3"/>
      <c r="J843" s="3"/>
      <c r="K843" s="1"/>
      <c r="L843" s="3"/>
    </row>
    <row r="844" spans="1:12" ht="12.75">
      <c r="A844" s="1"/>
      <c r="B844" s="1"/>
      <c r="C844" s="1"/>
      <c r="D844" s="1"/>
      <c r="E844" s="1"/>
      <c r="F844" s="1"/>
      <c r="G844" s="1"/>
      <c r="H844" s="1"/>
      <c r="I844" s="3"/>
      <c r="J844" s="3"/>
      <c r="K844" s="1"/>
      <c r="L844" s="3"/>
    </row>
    <row r="845" spans="1:12" ht="12.75">
      <c r="A845" s="1"/>
      <c r="B845" s="1"/>
      <c r="C845" s="1"/>
      <c r="D845" s="1"/>
      <c r="E845" s="1"/>
      <c r="F845" s="1"/>
      <c r="G845" s="1"/>
      <c r="H845" s="1"/>
      <c r="I845" s="3"/>
      <c r="J845" s="3"/>
      <c r="K845" s="1"/>
      <c r="L845" s="3"/>
    </row>
    <row r="846" spans="1:12" ht="12.75">
      <c r="A846" s="1"/>
      <c r="B846" s="1"/>
      <c r="C846" s="1"/>
      <c r="D846" s="1"/>
      <c r="E846" s="1"/>
      <c r="F846" s="1"/>
      <c r="G846" s="1"/>
      <c r="H846" s="1"/>
      <c r="I846" s="3"/>
      <c r="J846" s="3"/>
      <c r="K846" s="1"/>
      <c r="L846" s="3"/>
    </row>
    <row r="847" spans="1:12" ht="12.75">
      <c r="A847" s="1"/>
      <c r="B847" s="1"/>
      <c r="C847" s="1"/>
      <c r="D847" s="1"/>
      <c r="E847" s="1"/>
      <c r="F847" s="1"/>
      <c r="G847" s="1"/>
      <c r="H847" s="1"/>
      <c r="I847" s="3"/>
      <c r="J847" s="3"/>
      <c r="K847" s="1"/>
      <c r="L847" s="3"/>
    </row>
    <row r="848" spans="1:12" ht="12.75">
      <c r="A848" s="1"/>
      <c r="B848" s="1"/>
      <c r="C848" s="1"/>
      <c r="D848" s="1"/>
      <c r="E848" s="1"/>
      <c r="F848" s="1"/>
      <c r="G848" s="1"/>
      <c r="H848" s="1"/>
      <c r="I848" s="3"/>
      <c r="J848" s="3"/>
      <c r="K848" s="1"/>
      <c r="L848" s="3"/>
    </row>
    <row r="849" spans="1:12" ht="12.75">
      <c r="A849" s="1"/>
      <c r="B849" s="1"/>
      <c r="C849" s="1"/>
      <c r="D849" s="1"/>
      <c r="E849" s="1"/>
      <c r="F849" s="1"/>
      <c r="G849" s="1"/>
      <c r="H849" s="1"/>
      <c r="I849" s="3"/>
      <c r="J849" s="3"/>
      <c r="K849" s="1"/>
      <c r="L849" s="3"/>
    </row>
    <row r="850" spans="1:12" ht="12.75">
      <c r="A850" s="1"/>
      <c r="B850" s="1"/>
      <c r="C850" s="1"/>
      <c r="D850" s="1"/>
      <c r="E850" s="1"/>
      <c r="F850" s="1"/>
      <c r="G850" s="1"/>
      <c r="H850" s="1"/>
      <c r="I850" s="3"/>
      <c r="J850" s="3"/>
      <c r="K850" s="1"/>
      <c r="L850" s="3"/>
    </row>
    <row r="851" spans="1:12" ht="12.75">
      <c r="A851" s="1"/>
      <c r="B851" s="1"/>
      <c r="C851" s="1"/>
      <c r="D851" s="1"/>
      <c r="E851" s="1"/>
      <c r="F851" s="1"/>
      <c r="G851" s="1"/>
      <c r="H851" s="1"/>
      <c r="I851" s="3"/>
      <c r="J851" s="3"/>
      <c r="K851" s="1"/>
      <c r="L851" s="3"/>
    </row>
    <row r="852" spans="1:12" ht="12.75">
      <c r="A852" s="1"/>
      <c r="B852" s="1"/>
      <c r="C852" s="1"/>
      <c r="D852" s="1"/>
      <c r="E852" s="1"/>
      <c r="F852" s="1"/>
      <c r="G852" s="1"/>
      <c r="H852" s="1"/>
      <c r="I852" s="3"/>
      <c r="J852" s="3"/>
      <c r="K852" s="1"/>
      <c r="L852" s="3"/>
    </row>
    <row r="853" spans="1:12" ht="12.75">
      <c r="A853" s="1"/>
      <c r="B853" s="1"/>
      <c r="C853" s="1"/>
      <c r="D853" s="1"/>
      <c r="E853" s="1"/>
      <c r="F853" s="1"/>
      <c r="G853" s="1"/>
      <c r="H853" s="1"/>
      <c r="I853" s="3"/>
      <c r="J853" s="3"/>
      <c r="K853" s="1"/>
      <c r="L853" s="3"/>
    </row>
    <row r="854" spans="1:12" ht="12.75">
      <c r="A854" s="1"/>
      <c r="B854" s="1"/>
      <c r="C854" s="1"/>
      <c r="D854" s="1"/>
      <c r="E854" s="1"/>
      <c r="F854" s="1"/>
      <c r="G854" s="1"/>
      <c r="H854" s="1"/>
      <c r="I854" s="3"/>
      <c r="J854" s="3"/>
      <c r="K854" s="1"/>
      <c r="L854" s="3"/>
    </row>
    <row r="855" spans="1:12" ht="12.75">
      <c r="A855" s="1"/>
      <c r="B855" s="1"/>
      <c r="C855" s="1"/>
      <c r="D855" s="1"/>
      <c r="E855" s="1"/>
      <c r="F855" s="1"/>
      <c r="G855" s="1"/>
      <c r="H855" s="1"/>
      <c r="I855" s="3"/>
      <c r="J855" s="3"/>
      <c r="K855" s="1"/>
      <c r="L855" s="3"/>
    </row>
    <row r="856" spans="1:12" ht="12.75">
      <c r="A856" s="1"/>
      <c r="B856" s="1"/>
      <c r="C856" s="1"/>
      <c r="D856" s="1"/>
      <c r="E856" s="1"/>
      <c r="F856" s="1"/>
      <c r="G856" s="1"/>
      <c r="H856" s="1"/>
      <c r="I856" s="3"/>
      <c r="J856" s="3"/>
      <c r="K856" s="1"/>
      <c r="L856" s="3"/>
    </row>
    <row r="857" spans="1:12" ht="12.75">
      <c r="A857" s="1"/>
      <c r="B857" s="1"/>
      <c r="C857" s="1"/>
      <c r="D857" s="1"/>
      <c r="E857" s="1"/>
      <c r="F857" s="1"/>
      <c r="G857" s="1"/>
      <c r="H857" s="1"/>
      <c r="I857" s="3"/>
      <c r="J857" s="3"/>
      <c r="K857" s="1"/>
      <c r="L857" s="3"/>
    </row>
    <row r="858" spans="1:12" ht="12.75">
      <c r="A858" s="1"/>
      <c r="B858" s="1"/>
      <c r="C858" s="1"/>
      <c r="D858" s="1"/>
      <c r="E858" s="1"/>
      <c r="F858" s="1"/>
      <c r="G858" s="1"/>
      <c r="H858" s="1"/>
      <c r="I858" s="3"/>
      <c r="J858" s="3"/>
      <c r="K858" s="1"/>
      <c r="L858" s="3"/>
    </row>
    <row r="859" spans="1:12" ht="12.75">
      <c r="A859" s="1"/>
      <c r="B859" s="1"/>
      <c r="C859" s="1"/>
      <c r="D859" s="1"/>
      <c r="E859" s="1"/>
      <c r="F859" s="1"/>
      <c r="G859" s="1"/>
      <c r="H859" s="1"/>
      <c r="I859" s="3"/>
      <c r="J859" s="3"/>
      <c r="K859" s="1"/>
      <c r="L859" s="3"/>
    </row>
    <row r="860" spans="1:12" ht="12.75">
      <c r="A860" s="1"/>
      <c r="B860" s="1"/>
      <c r="C860" s="1"/>
      <c r="D860" s="1"/>
      <c r="E860" s="1"/>
      <c r="F860" s="1"/>
      <c r="G860" s="1"/>
      <c r="H860" s="1"/>
      <c r="I860" s="3"/>
      <c r="J860" s="3"/>
      <c r="K860" s="1"/>
      <c r="L860" s="3"/>
    </row>
    <row r="861" spans="1:12" ht="12.75">
      <c r="A861" s="1"/>
      <c r="B861" s="1"/>
      <c r="C861" s="1"/>
      <c r="D861" s="1"/>
      <c r="E861" s="1"/>
      <c r="F861" s="1"/>
      <c r="G861" s="1"/>
      <c r="H861" s="1"/>
      <c r="I861" s="3"/>
      <c r="J861" s="3"/>
      <c r="K861" s="1"/>
      <c r="L861" s="3"/>
    </row>
    <row r="862" spans="1:12" ht="12.75">
      <c r="A862" s="1"/>
      <c r="B862" s="1"/>
      <c r="C862" s="1"/>
      <c r="D862" s="1"/>
      <c r="E862" s="1"/>
      <c r="F862" s="1"/>
      <c r="G862" s="1"/>
      <c r="H862" s="1"/>
      <c r="I862" s="3"/>
      <c r="J862" s="3"/>
      <c r="K862" s="1"/>
      <c r="L862" s="3"/>
    </row>
    <row r="863" spans="1:12" ht="12.75">
      <c r="A863" s="1"/>
      <c r="B863" s="1"/>
      <c r="C863" s="1"/>
      <c r="D863" s="1"/>
      <c r="E863" s="1"/>
      <c r="F863" s="1"/>
      <c r="G863" s="1"/>
      <c r="H863" s="1"/>
      <c r="I863" s="3"/>
      <c r="J863" s="3"/>
      <c r="K863" s="1"/>
      <c r="L863" s="3"/>
    </row>
    <row r="864" spans="1:12" ht="12.75">
      <c r="A864" s="1"/>
      <c r="B864" s="1"/>
      <c r="C864" s="1"/>
      <c r="D864" s="1"/>
      <c r="E864" s="1"/>
      <c r="F864" s="1"/>
      <c r="G864" s="1"/>
      <c r="H864" s="1"/>
      <c r="I864" s="3"/>
      <c r="J864" s="3"/>
      <c r="K864" s="1"/>
      <c r="L864" s="3"/>
    </row>
    <row r="865" spans="1:12" ht="12.75">
      <c r="A865" s="1"/>
      <c r="B865" s="1"/>
      <c r="C865" s="1"/>
      <c r="D865" s="1"/>
      <c r="E865" s="1"/>
      <c r="F865" s="1"/>
      <c r="G865" s="1"/>
      <c r="H865" s="1"/>
      <c r="I865" s="3"/>
      <c r="J865" s="3"/>
      <c r="K865" s="1"/>
      <c r="L865" s="3"/>
    </row>
    <row r="866" spans="1:12" ht="12.75">
      <c r="A866" s="1"/>
      <c r="B866" s="1"/>
      <c r="C866" s="1"/>
      <c r="D866" s="1"/>
      <c r="E866" s="1"/>
      <c r="F866" s="1"/>
      <c r="G866" s="1"/>
      <c r="H866" s="1"/>
      <c r="I866" s="3"/>
      <c r="J866" s="3"/>
      <c r="K866" s="1"/>
      <c r="L866" s="3"/>
    </row>
    <row r="867" spans="1:12" ht="12.75">
      <c r="A867" s="1"/>
      <c r="B867" s="1"/>
      <c r="C867" s="1"/>
      <c r="D867" s="1"/>
      <c r="E867" s="1"/>
      <c r="F867" s="1"/>
      <c r="G867" s="1"/>
      <c r="H867" s="1"/>
      <c r="I867" s="3"/>
      <c r="J867" s="3"/>
      <c r="K867" s="1"/>
      <c r="L867" s="3"/>
    </row>
    <row r="868" spans="1:12" ht="12.75">
      <c r="A868" s="1"/>
      <c r="B868" s="1"/>
      <c r="C868" s="1"/>
      <c r="D868" s="1"/>
      <c r="E868" s="1"/>
      <c r="F868" s="1"/>
      <c r="G868" s="1"/>
      <c r="H868" s="1"/>
      <c r="I868" s="3"/>
      <c r="J868" s="3"/>
      <c r="K868" s="1"/>
      <c r="L868" s="3"/>
    </row>
    <row r="869" spans="1:12" ht="12.75">
      <c r="A869" s="1"/>
      <c r="B869" s="1"/>
      <c r="C869" s="1"/>
      <c r="D869" s="1"/>
      <c r="E869" s="1"/>
      <c r="F869" s="1"/>
      <c r="G869" s="1"/>
      <c r="H869" s="1"/>
      <c r="I869" s="3"/>
      <c r="J869" s="3"/>
      <c r="K869" s="1"/>
      <c r="L869" s="3"/>
    </row>
    <row r="870" spans="1:12" ht="12.75">
      <c r="A870" s="1"/>
      <c r="B870" s="1"/>
      <c r="C870" s="1"/>
      <c r="D870" s="1"/>
      <c r="E870" s="1"/>
      <c r="F870" s="1"/>
      <c r="G870" s="1"/>
      <c r="H870" s="1"/>
      <c r="I870" s="3"/>
      <c r="J870" s="3"/>
      <c r="K870" s="1"/>
      <c r="L870" s="3"/>
    </row>
    <row r="871" spans="1:12" ht="12.75">
      <c r="A871" s="1"/>
      <c r="B871" s="1"/>
      <c r="C871" s="1"/>
      <c r="D871" s="1"/>
      <c r="E871" s="1"/>
      <c r="F871" s="1"/>
      <c r="G871" s="1"/>
      <c r="H871" s="1"/>
      <c r="I871" s="3"/>
      <c r="J871" s="3"/>
      <c r="K871" s="1"/>
      <c r="L871" s="3"/>
    </row>
    <row r="872" spans="1:12" ht="12.75">
      <c r="A872" s="1"/>
      <c r="B872" s="1"/>
      <c r="C872" s="1"/>
      <c r="D872" s="1"/>
      <c r="E872" s="1"/>
      <c r="F872" s="1"/>
      <c r="G872" s="1"/>
      <c r="H872" s="1"/>
      <c r="I872" s="3"/>
      <c r="J872" s="3"/>
      <c r="K872" s="1"/>
      <c r="L872" s="3"/>
    </row>
    <row r="873" spans="1:12" ht="12.75">
      <c r="A873" s="1"/>
      <c r="B873" s="1"/>
      <c r="C873" s="1"/>
      <c r="D873" s="1"/>
      <c r="E873" s="1"/>
      <c r="F873" s="1"/>
      <c r="G873" s="1"/>
      <c r="H873" s="1"/>
      <c r="I873" s="3"/>
      <c r="J873" s="3"/>
      <c r="K873" s="1"/>
      <c r="L873" s="3"/>
    </row>
    <row r="874" spans="1:12" ht="12.75">
      <c r="A874" s="1"/>
      <c r="B874" s="1"/>
      <c r="C874" s="1"/>
      <c r="D874" s="1"/>
      <c r="E874" s="1"/>
      <c r="F874" s="1"/>
      <c r="G874" s="1"/>
      <c r="H874" s="1"/>
      <c r="I874" s="3"/>
      <c r="J874" s="3"/>
      <c r="K874" s="1"/>
      <c r="L874" s="3"/>
    </row>
    <row r="875" spans="1:12" ht="12.75">
      <c r="A875" s="1"/>
      <c r="B875" s="1"/>
      <c r="C875" s="1"/>
      <c r="D875" s="1"/>
      <c r="E875" s="1"/>
      <c r="F875" s="1"/>
      <c r="G875" s="1"/>
      <c r="H875" s="1"/>
      <c r="I875" s="3"/>
      <c r="J875" s="3"/>
      <c r="K875" s="1"/>
      <c r="L875" s="3"/>
    </row>
    <row r="876" spans="1:12" ht="12.75">
      <c r="A876" s="1"/>
      <c r="B876" s="1"/>
      <c r="C876" s="1"/>
      <c r="D876" s="1"/>
      <c r="E876" s="1"/>
      <c r="F876" s="1"/>
      <c r="G876" s="1"/>
      <c r="H876" s="1"/>
      <c r="I876" s="3"/>
      <c r="J876" s="3"/>
      <c r="K876" s="1"/>
      <c r="L876" s="3"/>
    </row>
    <row r="877" spans="1:12" ht="12.75">
      <c r="A877" s="1"/>
      <c r="B877" s="1"/>
      <c r="C877" s="1"/>
      <c r="D877" s="1"/>
      <c r="E877" s="1"/>
      <c r="F877" s="1"/>
      <c r="G877" s="1"/>
      <c r="H877" s="1"/>
      <c r="I877" s="3"/>
      <c r="J877" s="3"/>
      <c r="K877" s="1"/>
      <c r="L877" s="3"/>
    </row>
    <row r="878" spans="1:12" ht="12.75">
      <c r="A878" s="1"/>
      <c r="B878" s="1"/>
      <c r="C878" s="1"/>
      <c r="D878" s="1"/>
      <c r="E878" s="1"/>
      <c r="F878" s="1"/>
      <c r="G878" s="1"/>
      <c r="H878" s="1"/>
      <c r="I878" s="3"/>
      <c r="J878" s="3"/>
      <c r="K878" s="1"/>
      <c r="L878" s="3"/>
    </row>
    <row r="879" spans="1:12" ht="12.75">
      <c r="A879" s="1"/>
      <c r="B879" s="1"/>
      <c r="C879" s="1"/>
      <c r="D879" s="1"/>
      <c r="E879" s="1"/>
      <c r="F879" s="1"/>
      <c r="G879" s="1"/>
      <c r="H879" s="1"/>
      <c r="I879" s="3"/>
      <c r="J879" s="3"/>
      <c r="K879" s="1"/>
      <c r="L879" s="3"/>
    </row>
    <row r="880" spans="1:12" ht="12.75">
      <c r="A880" s="1"/>
      <c r="B880" s="1"/>
      <c r="C880" s="1"/>
      <c r="D880" s="1"/>
      <c r="E880" s="1"/>
      <c r="F880" s="1"/>
      <c r="G880" s="1"/>
      <c r="H880" s="1"/>
      <c r="I880" s="3"/>
      <c r="J880" s="3"/>
      <c r="K880" s="1"/>
      <c r="L880" s="3"/>
    </row>
    <row r="881" spans="1:12" ht="12.75">
      <c r="A881" s="1"/>
      <c r="B881" s="1"/>
      <c r="C881" s="1"/>
      <c r="D881" s="1"/>
      <c r="E881" s="1"/>
      <c r="F881" s="1"/>
      <c r="G881" s="1"/>
      <c r="H881" s="1"/>
      <c r="I881" s="3"/>
      <c r="J881" s="3"/>
      <c r="K881" s="1"/>
      <c r="L881" s="3"/>
    </row>
    <row r="882" spans="1:12" ht="12.75">
      <c r="A882" s="1"/>
      <c r="B882" s="1"/>
      <c r="C882" s="1"/>
      <c r="D882" s="1"/>
      <c r="E882" s="1"/>
      <c r="F882" s="1"/>
      <c r="G882" s="1"/>
      <c r="H882" s="1"/>
      <c r="I882" s="3"/>
      <c r="J882" s="3"/>
      <c r="K882" s="1"/>
      <c r="L882" s="3"/>
    </row>
    <row r="883" spans="1:12" ht="12.75">
      <c r="A883" s="1"/>
      <c r="B883" s="1"/>
      <c r="C883" s="1"/>
      <c r="D883" s="1"/>
      <c r="E883" s="1"/>
      <c r="F883" s="1"/>
      <c r="G883" s="1"/>
      <c r="H883" s="1"/>
      <c r="I883" s="3"/>
      <c r="J883" s="3"/>
      <c r="K883" s="1"/>
      <c r="L883" s="3"/>
    </row>
    <row r="884" spans="1:12" ht="12.75">
      <c r="A884" s="1"/>
      <c r="B884" s="1"/>
      <c r="C884" s="1"/>
      <c r="D884" s="1"/>
      <c r="E884" s="1"/>
      <c r="F884" s="1"/>
      <c r="G884" s="1"/>
      <c r="H884" s="1"/>
      <c r="I884" s="3"/>
      <c r="J884" s="3"/>
      <c r="K884" s="1"/>
      <c r="L884" s="3"/>
    </row>
    <row r="885" spans="1:12" ht="12.75">
      <c r="A885" s="1"/>
      <c r="B885" s="1"/>
      <c r="C885" s="1"/>
      <c r="D885" s="1"/>
      <c r="E885" s="1"/>
      <c r="F885" s="1"/>
      <c r="G885" s="1"/>
      <c r="H885" s="1"/>
      <c r="I885" s="3"/>
      <c r="J885" s="3"/>
      <c r="K885" s="1"/>
      <c r="L885" s="3"/>
    </row>
    <row r="886" spans="1:12" ht="12.75">
      <c r="A886" s="1"/>
      <c r="B886" s="1"/>
      <c r="C886" s="1"/>
      <c r="D886" s="1"/>
      <c r="E886" s="1"/>
      <c r="F886" s="1"/>
      <c r="G886" s="1"/>
      <c r="H886" s="1"/>
      <c r="I886" s="3"/>
      <c r="J886" s="3"/>
      <c r="K886" s="1"/>
      <c r="L886" s="3"/>
    </row>
    <row r="887" spans="1:12" ht="12.75">
      <c r="A887" s="1"/>
      <c r="B887" s="1"/>
      <c r="C887" s="1"/>
      <c r="D887" s="1"/>
      <c r="E887" s="1"/>
      <c r="F887" s="1"/>
      <c r="G887" s="1"/>
      <c r="H887" s="1"/>
      <c r="I887" s="3"/>
      <c r="J887" s="3"/>
      <c r="K887" s="1"/>
      <c r="L887" s="3"/>
    </row>
    <row r="888" spans="1:12" ht="12.75">
      <c r="A888" s="1"/>
      <c r="B888" s="1"/>
      <c r="C888" s="1"/>
      <c r="D888" s="1"/>
      <c r="E888" s="1"/>
      <c r="F888" s="1"/>
      <c r="G888" s="1"/>
      <c r="H888" s="1"/>
      <c r="I888" s="3"/>
      <c r="J888" s="3"/>
      <c r="K888" s="1"/>
      <c r="L888" s="3"/>
    </row>
    <row r="889" spans="1:12" ht="12.75">
      <c r="A889" s="1"/>
      <c r="B889" s="1"/>
      <c r="C889" s="1"/>
      <c r="D889" s="1"/>
      <c r="E889" s="1"/>
      <c r="F889" s="1"/>
      <c r="G889" s="1"/>
      <c r="H889" s="1"/>
      <c r="I889" s="3"/>
      <c r="J889" s="3"/>
      <c r="K889" s="1"/>
      <c r="L889" s="3"/>
    </row>
    <row r="890" spans="1:12" ht="12.75">
      <c r="A890" s="1"/>
      <c r="B890" s="1"/>
      <c r="C890" s="1"/>
      <c r="D890" s="1"/>
      <c r="E890" s="1"/>
      <c r="F890" s="1"/>
      <c r="G890" s="1"/>
      <c r="H890" s="1"/>
      <c r="I890" s="3"/>
      <c r="J890" s="3"/>
      <c r="K890" s="1"/>
      <c r="L890" s="3"/>
    </row>
    <row r="891" spans="1:12" ht="12.75">
      <c r="A891" s="1"/>
      <c r="B891" s="1"/>
      <c r="C891" s="1"/>
      <c r="D891" s="1"/>
      <c r="E891" s="1"/>
      <c r="F891" s="1"/>
      <c r="G891" s="1"/>
      <c r="H891" s="1"/>
      <c r="I891" s="3"/>
      <c r="J891" s="3"/>
      <c r="K891" s="1"/>
      <c r="L891" s="3"/>
    </row>
    <row r="892" spans="1:12" ht="12.75">
      <c r="A892" s="1"/>
      <c r="B892" s="1"/>
      <c r="C892" s="1"/>
      <c r="D892" s="1"/>
      <c r="E892" s="1"/>
      <c r="F892" s="1"/>
      <c r="G892" s="1"/>
      <c r="H892" s="1"/>
      <c r="I892" s="3"/>
      <c r="J892" s="3"/>
      <c r="K892" s="1"/>
      <c r="L892" s="3"/>
    </row>
    <row r="893" spans="1:12" ht="12.75">
      <c r="A893" s="1"/>
      <c r="B893" s="1"/>
      <c r="C893" s="1"/>
      <c r="D893" s="1"/>
      <c r="E893" s="1"/>
      <c r="F893" s="1"/>
      <c r="G893" s="1"/>
      <c r="H893" s="1"/>
      <c r="I893" s="3"/>
      <c r="J893" s="3"/>
      <c r="K893" s="1"/>
      <c r="L893" s="3"/>
    </row>
    <row r="894" spans="1:12" ht="12.75">
      <c r="A894" s="1"/>
      <c r="B894" s="1"/>
      <c r="C894" s="1"/>
      <c r="D894" s="1"/>
      <c r="E894" s="1"/>
      <c r="F894" s="1"/>
      <c r="G894" s="1"/>
      <c r="H894" s="1"/>
      <c r="I894" s="3"/>
      <c r="J894" s="3"/>
      <c r="K894" s="1"/>
      <c r="L894" s="3"/>
    </row>
    <row r="895" spans="1:12" ht="12.75">
      <c r="A895" s="1"/>
      <c r="B895" s="1"/>
      <c r="C895" s="1"/>
      <c r="D895" s="1"/>
      <c r="E895" s="1"/>
      <c r="F895" s="1"/>
      <c r="G895" s="1"/>
      <c r="H895" s="1"/>
      <c r="I895" s="3"/>
      <c r="J895" s="3"/>
      <c r="K895" s="1"/>
      <c r="L895" s="3"/>
    </row>
    <row r="896" spans="1:12" ht="12.75">
      <c r="A896" s="1"/>
      <c r="B896" s="1"/>
      <c r="C896" s="1"/>
      <c r="D896" s="1"/>
      <c r="E896" s="1"/>
      <c r="F896" s="1"/>
      <c r="G896" s="1"/>
      <c r="H896" s="1"/>
      <c r="I896" s="3"/>
      <c r="J896" s="3"/>
      <c r="K896" s="1"/>
      <c r="L896" s="3"/>
    </row>
    <row r="897" spans="1:12" ht="12.75">
      <c r="A897" s="1"/>
      <c r="B897" s="1"/>
      <c r="C897" s="1"/>
      <c r="D897" s="1"/>
      <c r="E897" s="1"/>
      <c r="F897" s="1"/>
      <c r="G897" s="1"/>
      <c r="H897" s="1"/>
      <c r="I897" s="3"/>
      <c r="J897" s="3"/>
      <c r="K897" s="1"/>
      <c r="L897" s="3"/>
    </row>
    <row r="898" spans="1:12" ht="12.75">
      <c r="A898" s="1"/>
      <c r="B898" s="1"/>
      <c r="C898" s="1"/>
      <c r="D898" s="1"/>
      <c r="E898" s="1"/>
      <c r="F898" s="1"/>
      <c r="G898" s="1"/>
      <c r="H898" s="1"/>
      <c r="I898" s="3"/>
      <c r="J898" s="3"/>
      <c r="K898" s="1"/>
      <c r="L898" s="3"/>
    </row>
    <row r="899" spans="1:12" ht="12.75">
      <c r="A899" s="1"/>
      <c r="B899" s="1"/>
      <c r="C899" s="1"/>
      <c r="D899" s="1"/>
      <c r="E899" s="1"/>
      <c r="F899" s="1"/>
      <c r="G899" s="1"/>
      <c r="H899" s="1"/>
      <c r="I899" s="3"/>
      <c r="J899" s="3"/>
      <c r="K899" s="1"/>
      <c r="L899" s="3"/>
    </row>
    <row r="900" spans="1:12" ht="12.75">
      <c r="A900" s="1"/>
      <c r="B900" s="1"/>
      <c r="C900" s="1"/>
      <c r="D900" s="1"/>
      <c r="E900" s="1"/>
      <c r="F900" s="1"/>
      <c r="G900" s="1"/>
      <c r="H900" s="1"/>
      <c r="I900" s="3"/>
      <c r="J900" s="3"/>
      <c r="K900" s="1"/>
      <c r="L900" s="3"/>
    </row>
    <row r="901" spans="1:12" ht="12.75">
      <c r="A901" s="1"/>
      <c r="B901" s="1"/>
      <c r="C901" s="1"/>
      <c r="D901" s="1"/>
      <c r="E901" s="1"/>
      <c r="F901" s="1"/>
      <c r="G901" s="1"/>
      <c r="H901" s="1"/>
      <c r="I901" s="3"/>
      <c r="J901" s="3"/>
      <c r="K901" s="1"/>
      <c r="L901" s="3"/>
    </row>
    <row r="902" spans="1:12" ht="12.75">
      <c r="A902" s="1"/>
      <c r="B902" s="1"/>
      <c r="C902" s="1"/>
      <c r="D902" s="1"/>
      <c r="E902" s="1"/>
      <c r="F902" s="1"/>
      <c r="G902" s="1"/>
      <c r="H902" s="1"/>
      <c r="I902" s="3"/>
      <c r="J902" s="3"/>
      <c r="K902" s="1"/>
      <c r="L902" s="3"/>
    </row>
    <row r="903" spans="1:12" ht="12.75">
      <c r="A903" s="1"/>
      <c r="B903" s="1"/>
      <c r="C903" s="1"/>
      <c r="D903" s="1"/>
      <c r="E903" s="1"/>
      <c r="F903" s="1"/>
      <c r="G903" s="1"/>
      <c r="H903" s="1"/>
      <c r="I903" s="3"/>
      <c r="J903" s="3"/>
      <c r="K903" s="1"/>
      <c r="L903" s="3"/>
    </row>
    <row r="904" spans="1:12" ht="12.75">
      <c r="A904" s="1"/>
      <c r="B904" s="1"/>
      <c r="C904" s="1"/>
      <c r="D904" s="1"/>
      <c r="E904" s="1"/>
      <c r="F904" s="1"/>
      <c r="G904" s="1"/>
      <c r="H904" s="1"/>
      <c r="I904" s="3"/>
      <c r="J904" s="3"/>
      <c r="K904" s="1"/>
      <c r="L904" s="3"/>
    </row>
    <row r="905" spans="1:12" ht="12.75">
      <c r="A905" s="1"/>
      <c r="B905" s="1"/>
      <c r="C905" s="1"/>
      <c r="D905" s="1"/>
      <c r="E905" s="1"/>
      <c r="F905" s="1"/>
      <c r="G905" s="1"/>
      <c r="H905" s="1"/>
      <c r="I905" s="3"/>
      <c r="J905" s="3"/>
      <c r="K905" s="1"/>
      <c r="L905" s="3"/>
    </row>
    <row r="906" spans="1:12" ht="12.75">
      <c r="A906" s="1"/>
      <c r="B906" s="1"/>
      <c r="C906" s="1"/>
      <c r="D906" s="1"/>
      <c r="E906" s="1"/>
      <c r="F906" s="1"/>
      <c r="G906" s="1"/>
      <c r="H906" s="1"/>
      <c r="I906" s="3"/>
      <c r="J906" s="3"/>
      <c r="K906" s="1"/>
      <c r="L906" s="3"/>
    </row>
    <row r="907" spans="1:12" ht="12.75">
      <c r="A907" s="1"/>
      <c r="B907" s="1"/>
      <c r="C907" s="1"/>
      <c r="D907" s="1"/>
      <c r="E907" s="1"/>
      <c r="F907" s="1"/>
      <c r="G907" s="1"/>
      <c r="H907" s="1"/>
      <c r="I907" s="3"/>
      <c r="J907" s="3"/>
      <c r="K907" s="1"/>
      <c r="L907" s="3"/>
    </row>
    <row r="908" spans="1:12" ht="12.75">
      <c r="A908" s="1"/>
      <c r="B908" s="1"/>
      <c r="C908" s="1"/>
      <c r="D908" s="1"/>
      <c r="E908" s="1"/>
      <c r="F908" s="1"/>
      <c r="G908" s="1"/>
      <c r="H908" s="1"/>
      <c r="I908" s="3"/>
      <c r="J908" s="3"/>
      <c r="K908" s="1"/>
      <c r="L908" s="3"/>
    </row>
    <row r="909" spans="1:12" ht="12.75">
      <c r="A909" s="1"/>
      <c r="B909" s="1"/>
      <c r="C909" s="1"/>
      <c r="D909" s="1"/>
      <c r="E909" s="1"/>
      <c r="F909" s="1"/>
      <c r="G909" s="1"/>
      <c r="H909" s="1"/>
      <c r="I909" s="3"/>
      <c r="J909" s="3"/>
      <c r="K909" s="1"/>
      <c r="L909" s="3"/>
    </row>
    <row r="910" spans="1:12" ht="12.75">
      <c r="A910" s="1"/>
      <c r="B910" s="1"/>
      <c r="C910" s="1"/>
      <c r="D910" s="1"/>
      <c r="E910" s="1"/>
      <c r="F910" s="1"/>
      <c r="G910" s="1"/>
      <c r="H910" s="1"/>
      <c r="I910" s="3"/>
      <c r="J910" s="3"/>
      <c r="K910" s="1"/>
      <c r="L910" s="3"/>
    </row>
    <row r="911" spans="1:12" ht="12.75">
      <c r="A911" s="1"/>
      <c r="B911" s="1"/>
      <c r="C911" s="1"/>
      <c r="D911" s="1"/>
      <c r="E911" s="1"/>
      <c r="F911" s="1"/>
      <c r="G911" s="1"/>
      <c r="H911" s="1"/>
      <c r="I911" s="3"/>
      <c r="J911" s="3"/>
      <c r="K911" s="1"/>
      <c r="L911" s="3"/>
    </row>
    <row r="912" spans="1:12" ht="12.75">
      <c r="A912" s="1"/>
      <c r="B912" s="1"/>
      <c r="C912" s="1"/>
      <c r="D912" s="1"/>
      <c r="E912" s="1"/>
      <c r="F912" s="1"/>
      <c r="G912" s="1"/>
      <c r="H912" s="1"/>
      <c r="I912" s="3"/>
      <c r="J912" s="3"/>
      <c r="K912" s="1"/>
      <c r="L912" s="3"/>
    </row>
    <row r="913" spans="1:12" ht="12.75">
      <c r="A913" s="1"/>
      <c r="B913" s="1"/>
      <c r="C913" s="1"/>
      <c r="D913" s="1"/>
      <c r="E913" s="1"/>
      <c r="F913" s="1"/>
      <c r="G913" s="1"/>
      <c r="H913" s="1"/>
      <c r="I913" s="3"/>
      <c r="J913" s="3"/>
      <c r="K913" s="1"/>
      <c r="L913" s="3"/>
    </row>
    <row r="914" spans="1:12" ht="12.75">
      <c r="A914" s="1"/>
      <c r="B914" s="1"/>
      <c r="C914" s="1"/>
      <c r="D914" s="1"/>
      <c r="E914" s="1"/>
      <c r="F914" s="1"/>
      <c r="G914" s="1"/>
      <c r="H914" s="1"/>
      <c r="I914" s="3"/>
      <c r="J914" s="3"/>
      <c r="K914" s="1"/>
      <c r="L914" s="3"/>
    </row>
    <row r="915" spans="1:12" ht="12.75">
      <c r="A915" s="1"/>
      <c r="B915" s="1"/>
      <c r="C915" s="1"/>
      <c r="D915" s="1"/>
      <c r="E915" s="1"/>
      <c r="F915" s="1"/>
      <c r="G915" s="1"/>
      <c r="H915" s="1"/>
      <c r="I915" s="3"/>
      <c r="J915" s="3"/>
      <c r="K915" s="1"/>
      <c r="L915" s="3"/>
    </row>
    <row r="916" spans="1:12" ht="12.75">
      <c r="A916" s="1"/>
      <c r="B916" s="1"/>
      <c r="C916" s="1"/>
      <c r="D916" s="1"/>
      <c r="E916" s="1"/>
      <c r="F916" s="1"/>
      <c r="G916" s="1"/>
      <c r="H916" s="1"/>
      <c r="I916" s="3"/>
      <c r="J916" s="3"/>
      <c r="K916" s="1"/>
      <c r="L916" s="3"/>
    </row>
    <row r="917" spans="1:12" ht="12.75">
      <c r="A917" s="1"/>
      <c r="B917" s="1"/>
      <c r="C917" s="1"/>
      <c r="D917" s="1"/>
      <c r="E917" s="1"/>
      <c r="F917" s="1"/>
      <c r="G917" s="1"/>
      <c r="H917" s="1"/>
      <c r="I917" s="3"/>
      <c r="J917" s="3"/>
      <c r="K917" s="1"/>
      <c r="L917" s="3"/>
    </row>
    <row r="918" spans="1:12" ht="12.75">
      <c r="A918" s="1"/>
      <c r="B918" s="1"/>
      <c r="C918" s="1"/>
      <c r="D918" s="1"/>
      <c r="E918" s="1"/>
      <c r="F918" s="1"/>
      <c r="G918" s="1"/>
      <c r="H918" s="1"/>
      <c r="I918" s="3"/>
      <c r="J918" s="3"/>
      <c r="K918" s="1"/>
      <c r="L918" s="3"/>
    </row>
    <row r="919" spans="1:12" ht="12.75">
      <c r="A919" s="1"/>
      <c r="B919" s="1"/>
      <c r="C919" s="1"/>
      <c r="D919" s="1"/>
      <c r="E919" s="1"/>
      <c r="F919" s="1"/>
      <c r="G919" s="1"/>
      <c r="H919" s="1"/>
      <c r="I919" s="3"/>
      <c r="J919" s="3"/>
      <c r="K919" s="1"/>
      <c r="L919" s="3"/>
    </row>
    <row r="920" spans="1:12" ht="12.75">
      <c r="A920" s="1"/>
      <c r="B920" s="1"/>
      <c r="C920" s="1"/>
      <c r="D920" s="1"/>
      <c r="E920" s="1"/>
      <c r="F920" s="1"/>
      <c r="G920" s="1"/>
      <c r="H920" s="1"/>
      <c r="I920" s="3"/>
      <c r="J920" s="3"/>
      <c r="K920" s="1"/>
      <c r="L920" s="3"/>
    </row>
    <row r="921" spans="1:12" ht="12.75">
      <c r="A921" s="1"/>
      <c r="B921" s="1"/>
      <c r="C921" s="1"/>
      <c r="D921" s="1"/>
      <c r="E921" s="1"/>
      <c r="F921" s="1"/>
      <c r="G921" s="1"/>
      <c r="H921" s="1"/>
      <c r="I921" s="3"/>
      <c r="J921" s="3"/>
      <c r="K921" s="1"/>
      <c r="L921" s="3"/>
    </row>
    <row r="922" spans="1:12" ht="12.75">
      <c r="A922" s="1"/>
      <c r="B922" s="1"/>
      <c r="C922" s="1"/>
      <c r="D922" s="1"/>
      <c r="E922" s="1"/>
      <c r="F922" s="1"/>
      <c r="G922" s="1"/>
      <c r="H922" s="1"/>
      <c r="I922" s="3"/>
      <c r="J922" s="3"/>
      <c r="K922" s="1"/>
      <c r="L922" s="3"/>
    </row>
    <row r="923" spans="1:12" ht="12.75">
      <c r="A923" s="1"/>
      <c r="B923" s="1"/>
      <c r="C923" s="1"/>
      <c r="D923" s="1"/>
      <c r="E923" s="1"/>
      <c r="F923" s="1"/>
      <c r="G923" s="1"/>
      <c r="H923" s="1"/>
      <c r="I923" s="3"/>
      <c r="J923" s="3"/>
      <c r="K923" s="1"/>
      <c r="L923" s="3"/>
    </row>
    <row r="924" spans="1:12" ht="12.75">
      <c r="A924" s="1"/>
      <c r="B924" s="1"/>
      <c r="C924" s="1"/>
      <c r="D924" s="1"/>
      <c r="E924" s="1"/>
      <c r="F924" s="1"/>
      <c r="G924" s="1"/>
      <c r="H924" s="1"/>
      <c r="I924" s="3"/>
      <c r="J924" s="3"/>
      <c r="K924" s="1"/>
      <c r="L924" s="3"/>
    </row>
    <row r="925" spans="1:12" ht="12.75">
      <c r="A925" s="1"/>
      <c r="B925" s="1"/>
      <c r="C925" s="1"/>
      <c r="D925" s="1"/>
      <c r="E925" s="1"/>
      <c r="F925" s="1"/>
      <c r="G925" s="1"/>
      <c r="H925" s="1"/>
      <c r="I925" s="3"/>
      <c r="J925" s="3"/>
      <c r="K925" s="1"/>
      <c r="L925" s="3"/>
    </row>
    <row r="926" spans="1:12" ht="12.75">
      <c r="A926" s="1"/>
      <c r="B926" s="1"/>
      <c r="C926" s="1"/>
      <c r="D926" s="1"/>
      <c r="E926" s="1"/>
      <c r="F926" s="1"/>
      <c r="G926" s="1"/>
      <c r="H926" s="1"/>
      <c r="I926" s="3"/>
      <c r="J926" s="3"/>
      <c r="K926" s="1"/>
      <c r="L926" s="3"/>
    </row>
    <row r="927" spans="1:12" ht="12.75">
      <c r="A927" s="1"/>
      <c r="B927" s="1"/>
      <c r="C927" s="1"/>
      <c r="D927" s="1"/>
      <c r="E927" s="1"/>
      <c r="F927" s="1"/>
      <c r="G927" s="1"/>
      <c r="H927" s="1"/>
      <c r="I927" s="3"/>
      <c r="J927" s="3"/>
      <c r="K927" s="1"/>
      <c r="L927" s="3"/>
    </row>
    <row r="928" spans="1:12" ht="12.75">
      <c r="A928" s="1"/>
      <c r="B928" s="1"/>
      <c r="C928" s="1"/>
      <c r="D928" s="1"/>
      <c r="E928" s="1"/>
      <c r="F928" s="1"/>
      <c r="G928" s="1"/>
      <c r="H928" s="1"/>
      <c r="I928" s="3"/>
      <c r="J928" s="3"/>
      <c r="K928" s="1"/>
      <c r="L928" s="3"/>
    </row>
    <row r="929" spans="1:12" ht="12.75">
      <c r="A929" s="1"/>
      <c r="B929" s="1"/>
      <c r="C929" s="1"/>
      <c r="D929" s="1"/>
      <c r="E929" s="1"/>
      <c r="F929" s="1"/>
      <c r="G929" s="1"/>
      <c r="H929" s="1"/>
      <c r="I929" s="3"/>
      <c r="J929" s="3"/>
      <c r="K929" s="1"/>
      <c r="L929" s="3"/>
    </row>
    <row r="930" spans="1:12" ht="12.75">
      <c r="A930" s="1"/>
      <c r="B930" s="1"/>
      <c r="C930" s="1"/>
      <c r="D930" s="1"/>
      <c r="E930" s="1"/>
      <c r="F930" s="1"/>
      <c r="G930" s="1"/>
      <c r="H930" s="1"/>
      <c r="I930" s="3"/>
      <c r="J930" s="3"/>
      <c r="K930" s="1"/>
      <c r="L930" s="3"/>
    </row>
    <row r="931" spans="1:12" ht="12.75">
      <c r="A931" s="1"/>
      <c r="B931" s="1"/>
      <c r="C931" s="1"/>
      <c r="D931" s="1"/>
      <c r="E931" s="1"/>
      <c r="F931" s="1"/>
      <c r="G931" s="1"/>
      <c r="H931" s="1"/>
      <c r="I931" s="3"/>
      <c r="J931" s="3"/>
      <c r="K931" s="1"/>
      <c r="L931" s="3"/>
    </row>
    <row r="932" spans="1:12" ht="12.75">
      <c r="A932" s="1"/>
      <c r="B932" s="1"/>
      <c r="C932" s="1"/>
      <c r="D932" s="1"/>
      <c r="E932" s="1"/>
      <c r="F932" s="1"/>
      <c r="G932" s="1"/>
      <c r="H932" s="1"/>
      <c r="I932" s="3"/>
      <c r="J932" s="3"/>
      <c r="K932" s="1"/>
      <c r="L932" s="3"/>
    </row>
    <row r="933" spans="1:12" ht="12.75">
      <c r="A933" s="1"/>
      <c r="B933" s="1"/>
      <c r="C933" s="1"/>
      <c r="D933" s="1"/>
      <c r="E933" s="1"/>
      <c r="F933" s="1"/>
      <c r="G933" s="1"/>
      <c r="H933" s="1"/>
      <c r="I933" s="3"/>
      <c r="J933" s="3"/>
      <c r="K933" s="1"/>
      <c r="L933" s="3"/>
    </row>
    <row r="934" spans="1:12" ht="12.75">
      <c r="A934" s="1"/>
      <c r="B934" s="1"/>
      <c r="C934" s="1"/>
      <c r="D934" s="1"/>
      <c r="E934" s="1"/>
      <c r="F934" s="1"/>
      <c r="G934" s="1"/>
      <c r="H934" s="1"/>
      <c r="I934" s="3"/>
      <c r="J934" s="3"/>
      <c r="K934" s="1"/>
      <c r="L934" s="3"/>
    </row>
    <row r="935" spans="1:12" ht="12.75">
      <c r="A935" s="1"/>
      <c r="B935" s="1"/>
      <c r="C935" s="1"/>
      <c r="D935" s="1"/>
      <c r="E935" s="1"/>
      <c r="F935" s="1"/>
      <c r="G935" s="1"/>
      <c r="H935" s="1"/>
      <c r="I935" s="3"/>
      <c r="J935" s="3"/>
      <c r="K935" s="1"/>
      <c r="L935" s="3"/>
    </row>
    <row r="936" spans="1:12" ht="12.75">
      <c r="A936" s="1"/>
      <c r="B936" s="1"/>
      <c r="C936" s="1"/>
      <c r="D936" s="1"/>
      <c r="E936" s="1"/>
      <c r="F936" s="1"/>
      <c r="G936" s="1"/>
      <c r="H936" s="1"/>
      <c r="I936" s="3"/>
      <c r="J936" s="3"/>
      <c r="K936" s="1"/>
      <c r="L936" s="3"/>
    </row>
    <row r="937" spans="1:12" ht="12.75">
      <c r="A937" s="1"/>
      <c r="B937" s="1"/>
      <c r="C937" s="1"/>
      <c r="D937" s="1"/>
      <c r="E937" s="1"/>
      <c r="F937" s="1"/>
      <c r="G937" s="1"/>
      <c r="H937" s="1"/>
      <c r="I937" s="3"/>
      <c r="J937" s="3"/>
      <c r="K937" s="1"/>
      <c r="L937" s="3"/>
    </row>
    <row r="938" spans="1:12" ht="12.75">
      <c r="A938" s="1"/>
      <c r="B938" s="1"/>
      <c r="C938" s="1"/>
      <c r="D938" s="1"/>
      <c r="E938" s="1"/>
      <c r="F938" s="1"/>
      <c r="G938" s="1"/>
      <c r="H938" s="1"/>
      <c r="I938" s="3"/>
      <c r="J938" s="3"/>
      <c r="K938" s="1"/>
      <c r="L938" s="3"/>
    </row>
    <row r="939" spans="1:12" ht="12.75">
      <c r="A939" s="1"/>
      <c r="B939" s="1"/>
      <c r="C939" s="1"/>
      <c r="D939" s="1"/>
      <c r="E939" s="1"/>
      <c r="F939" s="1"/>
      <c r="G939" s="1"/>
      <c r="H939" s="1"/>
      <c r="I939" s="3"/>
      <c r="J939" s="3"/>
      <c r="K939" s="1"/>
      <c r="L939" s="3"/>
    </row>
    <row r="940" spans="1:12" ht="12.75">
      <c r="A940" s="1"/>
      <c r="B940" s="1"/>
      <c r="C940" s="1"/>
      <c r="D940" s="1"/>
      <c r="E940" s="1"/>
      <c r="F940" s="1"/>
      <c r="G940" s="1"/>
      <c r="H940" s="1"/>
      <c r="I940" s="3"/>
      <c r="J940" s="3"/>
      <c r="K940" s="1"/>
      <c r="L940" s="3"/>
    </row>
    <row r="941" spans="1:12" ht="12.75">
      <c r="A941" s="1"/>
      <c r="B941" s="1"/>
      <c r="C941" s="1"/>
      <c r="D941" s="1"/>
      <c r="E941" s="1"/>
      <c r="F941" s="1"/>
      <c r="G941" s="1"/>
      <c r="H941" s="1"/>
      <c r="I941" s="3"/>
      <c r="J941" s="3"/>
      <c r="K941" s="1"/>
      <c r="L941" s="3"/>
    </row>
    <row r="942" spans="1:12" ht="12.75">
      <c r="A942" s="1"/>
      <c r="B942" s="1"/>
      <c r="C942" s="1"/>
      <c r="D942" s="1"/>
      <c r="E942" s="1"/>
      <c r="F942" s="1"/>
      <c r="G942" s="1"/>
      <c r="H942" s="1"/>
      <c r="I942" s="3"/>
      <c r="J942" s="3"/>
      <c r="K942" s="1"/>
      <c r="L942" s="3"/>
    </row>
    <row r="943" spans="1:12" ht="12.75">
      <c r="A943" s="1"/>
      <c r="B943" s="1"/>
      <c r="C943" s="1"/>
      <c r="D943" s="1"/>
      <c r="E943" s="1"/>
      <c r="F943" s="1"/>
      <c r="G943" s="1"/>
      <c r="H943" s="1"/>
      <c r="I943" s="3"/>
      <c r="J943" s="3"/>
      <c r="K943" s="1"/>
      <c r="L943" s="3"/>
    </row>
    <row r="944" spans="1:12" ht="12.75">
      <c r="A944" s="1"/>
      <c r="B944" s="1"/>
      <c r="C944" s="1"/>
      <c r="D944" s="1"/>
      <c r="E944" s="1"/>
      <c r="F944" s="1"/>
      <c r="G944" s="1"/>
      <c r="H944" s="1"/>
      <c r="I944" s="3"/>
      <c r="J944" s="3"/>
      <c r="K944" s="1"/>
      <c r="L944" s="3"/>
    </row>
    <row r="945" spans="1:12" ht="12.75">
      <c r="A945" s="1"/>
      <c r="B945" s="1"/>
      <c r="C945" s="1"/>
      <c r="D945" s="1"/>
      <c r="E945" s="1"/>
      <c r="F945" s="1"/>
      <c r="G945" s="1"/>
      <c r="H945" s="1"/>
      <c r="I945" s="3"/>
      <c r="J945" s="3"/>
      <c r="K945" s="1"/>
      <c r="L945" s="3"/>
    </row>
    <row r="946" spans="1:12" ht="12.75">
      <c r="A946" s="1"/>
      <c r="B946" s="1"/>
      <c r="C946" s="1"/>
      <c r="D946" s="1"/>
      <c r="E946" s="1"/>
      <c r="F946" s="1"/>
      <c r="G946" s="1"/>
      <c r="H946" s="1"/>
      <c r="I946" s="3"/>
      <c r="J946" s="3"/>
      <c r="K946" s="1"/>
      <c r="L946" s="3"/>
    </row>
    <row r="947" spans="1:12" ht="12.75">
      <c r="A947" s="1"/>
      <c r="B947" s="1"/>
      <c r="C947" s="1"/>
      <c r="D947" s="1"/>
      <c r="E947" s="1"/>
      <c r="F947" s="1"/>
      <c r="G947" s="1"/>
      <c r="H947" s="1"/>
      <c r="I947" s="3"/>
      <c r="J947" s="3"/>
      <c r="K947" s="1"/>
      <c r="L947" s="3"/>
    </row>
    <row r="948" spans="1:12" ht="12.75">
      <c r="A948" s="1"/>
      <c r="B948" s="1"/>
      <c r="C948" s="1"/>
      <c r="D948" s="1"/>
      <c r="E948" s="1"/>
      <c r="F948" s="1"/>
      <c r="G948" s="1"/>
      <c r="H948" s="1"/>
      <c r="I948" s="3"/>
      <c r="J948" s="3"/>
      <c r="K948" s="1"/>
      <c r="L948" s="3"/>
    </row>
    <row r="949" spans="1:12" ht="12.75">
      <c r="A949" s="1"/>
      <c r="B949" s="1"/>
      <c r="C949" s="1"/>
      <c r="D949" s="1"/>
      <c r="E949" s="1"/>
      <c r="F949" s="1"/>
      <c r="G949" s="1"/>
      <c r="H949" s="1"/>
      <c r="I949" s="3"/>
      <c r="J949" s="3"/>
      <c r="K949" s="1"/>
      <c r="L949" s="3"/>
    </row>
    <row r="950" spans="1:12" ht="12.75">
      <c r="A950" s="1"/>
      <c r="B950" s="1"/>
      <c r="C950" s="1"/>
      <c r="D950" s="1"/>
      <c r="E950" s="1"/>
      <c r="F950" s="1"/>
      <c r="G950" s="1"/>
      <c r="H950" s="1"/>
      <c r="I950" s="3"/>
      <c r="J950" s="3"/>
      <c r="K950" s="1"/>
      <c r="L950" s="3"/>
    </row>
    <row r="951" spans="1:12" ht="12.75">
      <c r="A951" s="1"/>
      <c r="B951" s="1"/>
      <c r="C951" s="1"/>
      <c r="D951" s="1"/>
      <c r="E951" s="1"/>
      <c r="F951" s="1"/>
      <c r="G951" s="1"/>
      <c r="H951" s="1"/>
      <c r="I951" s="3"/>
      <c r="J951" s="3"/>
      <c r="K951" s="1"/>
      <c r="L951" s="3"/>
    </row>
    <row r="952" spans="1:12" ht="12.75">
      <c r="A952" s="1"/>
      <c r="B952" s="1"/>
      <c r="C952" s="1"/>
      <c r="D952" s="1"/>
      <c r="E952" s="1"/>
      <c r="F952" s="1"/>
      <c r="G952" s="1"/>
      <c r="H952" s="1"/>
      <c r="I952" s="3"/>
      <c r="J952" s="3"/>
      <c r="K952" s="1"/>
      <c r="L952" s="3"/>
    </row>
    <row r="953" spans="1:12" ht="12.75">
      <c r="A953" s="1"/>
      <c r="B953" s="1"/>
      <c r="C953" s="1"/>
      <c r="D953" s="1"/>
      <c r="E953" s="1"/>
      <c r="F953" s="1"/>
      <c r="G953" s="1"/>
      <c r="H953" s="1"/>
      <c r="I953" s="3"/>
      <c r="J953" s="3"/>
      <c r="K953" s="1"/>
      <c r="L953" s="3"/>
    </row>
    <row r="954" spans="1:12" ht="12.75">
      <c r="A954" s="1"/>
      <c r="B954" s="1"/>
      <c r="C954" s="1"/>
      <c r="D954" s="1"/>
      <c r="E954" s="1"/>
      <c r="F954" s="1"/>
      <c r="G954" s="1"/>
      <c r="H954" s="1"/>
      <c r="I954" s="3"/>
      <c r="J954" s="3"/>
      <c r="K954" s="1"/>
      <c r="L954" s="3"/>
    </row>
    <row r="955" spans="1:12" ht="12.75">
      <c r="A955" s="1"/>
      <c r="B955" s="1"/>
      <c r="C955" s="1"/>
      <c r="D955" s="1"/>
      <c r="E955" s="1"/>
      <c r="F955" s="1"/>
      <c r="G955" s="1"/>
      <c r="H955" s="1"/>
      <c r="I955" s="3"/>
      <c r="J955" s="3"/>
      <c r="K955" s="1"/>
      <c r="L955" s="3"/>
    </row>
    <row r="956" spans="1:12" ht="12.75">
      <c r="A956" s="1"/>
      <c r="B956" s="1"/>
      <c r="C956" s="1"/>
      <c r="D956" s="1"/>
      <c r="E956" s="1"/>
      <c r="F956" s="1"/>
      <c r="G956" s="1"/>
      <c r="H956" s="1"/>
      <c r="I956" s="3"/>
      <c r="J956" s="3"/>
      <c r="K956" s="1"/>
      <c r="L956" s="3"/>
    </row>
    <row r="957" spans="1:12" ht="12.75">
      <c r="A957" s="1"/>
      <c r="B957" s="1"/>
      <c r="C957" s="1"/>
      <c r="D957" s="1"/>
      <c r="E957" s="1"/>
      <c r="F957" s="1"/>
      <c r="G957" s="1"/>
      <c r="H957" s="1"/>
      <c r="I957" s="3"/>
      <c r="J957" s="3"/>
      <c r="K957" s="1"/>
      <c r="L957" s="3"/>
    </row>
    <row r="958" spans="1:12" ht="12.75">
      <c r="A958" s="1"/>
      <c r="B958" s="1"/>
      <c r="C958" s="1"/>
      <c r="D958" s="1"/>
      <c r="E958" s="1"/>
      <c r="F958" s="1"/>
      <c r="G958" s="1"/>
      <c r="H958" s="1"/>
      <c r="I958" s="3"/>
      <c r="J958" s="3"/>
      <c r="K958" s="1"/>
      <c r="L958" s="3"/>
    </row>
    <row r="959" spans="1:12" ht="12.75">
      <c r="A959" s="1"/>
      <c r="B959" s="1"/>
      <c r="C959" s="1"/>
      <c r="D959" s="1"/>
      <c r="E959" s="1"/>
      <c r="F959" s="1"/>
      <c r="G959" s="1"/>
      <c r="H959" s="1"/>
      <c r="I959" s="3"/>
      <c r="J959" s="3"/>
      <c r="K959" s="1"/>
      <c r="L959" s="3"/>
    </row>
    <row r="960" spans="1:12" ht="12.75">
      <c r="A960" s="1"/>
      <c r="B960" s="1"/>
      <c r="C960" s="1"/>
      <c r="D960" s="1"/>
      <c r="E960" s="1"/>
      <c r="F960" s="1"/>
      <c r="G960" s="1"/>
      <c r="H960" s="1"/>
      <c r="I960" s="3"/>
      <c r="J960" s="3"/>
      <c r="K960" s="1"/>
      <c r="L960" s="3"/>
    </row>
    <row r="961" spans="1:12" ht="12.75">
      <c r="A961" s="1"/>
      <c r="B961" s="1"/>
      <c r="C961" s="1"/>
      <c r="D961" s="1"/>
      <c r="E961" s="1"/>
      <c r="F961" s="1"/>
      <c r="G961" s="1"/>
      <c r="H961" s="1"/>
      <c r="I961" s="3"/>
      <c r="J961" s="3"/>
      <c r="K961" s="1"/>
      <c r="L961" s="3"/>
    </row>
    <row r="962" spans="1:12" ht="12.75">
      <c r="A962" s="1"/>
      <c r="B962" s="1"/>
      <c r="C962" s="1"/>
      <c r="D962" s="1"/>
      <c r="E962" s="1"/>
      <c r="F962" s="1"/>
      <c r="G962" s="1"/>
      <c r="H962" s="1"/>
      <c r="I962" s="3"/>
      <c r="J962" s="3"/>
      <c r="K962" s="1"/>
      <c r="L962" s="3"/>
    </row>
    <row r="963" spans="1:12" ht="12.75">
      <c r="A963" s="1"/>
      <c r="B963" s="1"/>
      <c r="C963" s="1"/>
      <c r="D963" s="1"/>
      <c r="E963" s="1"/>
      <c r="F963" s="1"/>
      <c r="G963" s="1"/>
      <c r="H963" s="1"/>
      <c r="I963" s="3"/>
      <c r="J963" s="3"/>
      <c r="K963" s="1"/>
      <c r="L963" s="3"/>
    </row>
    <row r="964" spans="1:12" ht="12.75">
      <c r="A964" s="1"/>
      <c r="B964" s="1"/>
      <c r="C964" s="1"/>
      <c r="D964" s="1"/>
      <c r="E964" s="1"/>
      <c r="F964" s="1"/>
      <c r="G964" s="1"/>
      <c r="H964" s="1"/>
      <c r="I964" s="3"/>
      <c r="J964" s="3"/>
      <c r="K964" s="1"/>
      <c r="L964" s="3"/>
    </row>
    <row r="965" spans="1:12" ht="12.75">
      <c r="A965" s="1"/>
      <c r="B965" s="1"/>
      <c r="C965" s="1"/>
      <c r="D965" s="1"/>
      <c r="E965" s="1"/>
      <c r="F965" s="1"/>
      <c r="G965" s="1"/>
      <c r="H965" s="1"/>
      <c r="I965" s="3"/>
      <c r="J965" s="3"/>
      <c r="K965" s="1"/>
      <c r="L965" s="3"/>
    </row>
    <row r="966" spans="1:12" ht="12.75">
      <c r="A966" s="1"/>
      <c r="B966" s="1"/>
      <c r="C966" s="1"/>
      <c r="D966" s="1"/>
      <c r="E966" s="1"/>
      <c r="F966" s="1"/>
      <c r="G966" s="1"/>
      <c r="H966" s="1"/>
      <c r="I966" s="3"/>
      <c r="J966" s="3"/>
      <c r="K966" s="1"/>
      <c r="L966" s="3"/>
    </row>
    <row r="967" spans="1:12" ht="12.75">
      <c r="A967" s="1"/>
      <c r="B967" s="1"/>
      <c r="C967" s="1"/>
      <c r="D967" s="1"/>
      <c r="E967" s="1"/>
      <c r="F967" s="1"/>
      <c r="G967" s="1"/>
      <c r="H967" s="1"/>
      <c r="I967" s="3"/>
      <c r="J967" s="3"/>
      <c r="K967" s="1"/>
      <c r="L967" s="3"/>
    </row>
    <row r="968" spans="1:12" ht="12.75">
      <c r="A968" s="1"/>
      <c r="B968" s="1"/>
      <c r="C968" s="1"/>
      <c r="D968" s="1"/>
      <c r="E968" s="1"/>
      <c r="F968" s="1"/>
      <c r="G968" s="1"/>
      <c r="H968" s="1"/>
      <c r="I968" s="3"/>
      <c r="J968" s="3"/>
      <c r="K968" s="1"/>
      <c r="L968" s="3"/>
    </row>
    <row r="969" spans="1:12" ht="12.75">
      <c r="A969" s="1"/>
      <c r="B969" s="1"/>
      <c r="C969" s="1"/>
      <c r="D969" s="1"/>
      <c r="E969" s="1"/>
      <c r="F969" s="1"/>
      <c r="G969" s="1"/>
      <c r="H969" s="1"/>
      <c r="I969" s="3"/>
      <c r="J969" s="3"/>
      <c r="K969" s="1"/>
      <c r="L969" s="3"/>
    </row>
    <row r="970" spans="1:12" ht="12.75">
      <c r="A970" s="1"/>
      <c r="B970" s="1"/>
      <c r="C970" s="1"/>
      <c r="D970" s="1"/>
      <c r="E970" s="1"/>
      <c r="F970" s="1"/>
      <c r="G970" s="1"/>
      <c r="H970" s="1"/>
      <c r="I970" s="3"/>
      <c r="J970" s="3"/>
      <c r="K970" s="1"/>
      <c r="L970" s="3"/>
    </row>
    <row r="971" spans="1:12" ht="12.75">
      <c r="A971" s="1"/>
      <c r="B971" s="1"/>
      <c r="C971" s="1"/>
      <c r="D971" s="1"/>
      <c r="E971" s="1"/>
      <c r="F971" s="1"/>
      <c r="G971" s="1"/>
      <c r="H971" s="1"/>
      <c r="I971" s="3"/>
      <c r="J971" s="3"/>
      <c r="K971" s="1"/>
      <c r="L971" s="3"/>
    </row>
    <row r="972" spans="1:12" ht="12.75">
      <c r="A972" s="1"/>
      <c r="B972" s="1"/>
      <c r="C972" s="1"/>
      <c r="D972" s="1"/>
      <c r="E972" s="1"/>
      <c r="F972" s="1"/>
      <c r="G972" s="1"/>
      <c r="H972" s="1"/>
      <c r="I972" s="3"/>
      <c r="J972" s="3"/>
      <c r="K972" s="1"/>
      <c r="L972" s="3"/>
    </row>
    <row r="973" spans="1:12" ht="12.75">
      <c r="A973" s="1"/>
      <c r="B973" s="1"/>
      <c r="C973" s="1"/>
      <c r="D973" s="1"/>
      <c r="E973" s="1"/>
      <c r="F973" s="1"/>
      <c r="G973" s="1"/>
      <c r="H973" s="1"/>
      <c r="I973" s="3"/>
      <c r="J973" s="3"/>
      <c r="K973" s="1"/>
      <c r="L973" s="3"/>
    </row>
    <row r="974" spans="1:12" ht="12.75">
      <c r="A974" s="1"/>
      <c r="B974" s="1"/>
      <c r="C974" s="1"/>
      <c r="D974" s="1"/>
      <c r="E974" s="1"/>
      <c r="F974" s="1"/>
      <c r="G974" s="1"/>
      <c r="H974" s="1"/>
      <c r="I974" s="3"/>
      <c r="J974" s="3"/>
      <c r="K974" s="1"/>
      <c r="L974" s="3"/>
    </row>
    <row r="975" spans="1:12" ht="12.75">
      <c r="A975" s="1"/>
      <c r="B975" s="1"/>
      <c r="C975" s="1"/>
      <c r="D975" s="1"/>
      <c r="E975" s="1"/>
      <c r="F975" s="1"/>
      <c r="G975" s="1"/>
      <c r="H975" s="1"/>
      <c r="I975" s="3"/>
      <c r="J975" s="3"/>
      <c r="K975" s="1"/>
      <c r="L975" s="3"/>
    </row>
    <row r="976" spans="1:12" ht="12.75">
      <c r="A976" s="1"/>
      <c r="B976" s="1"/>
      <c r="C976" s="1"/>
      <c r="D976" s="1"/>
      <c r="E976" s="1"/>
      <c r="F976" s="1"/>
      <c r="G976" s="1"/>
      <c r="H976" s="1"/>
      <c r="I976" s="3"/>
      <c r="J976" s="3"/>
      <c r="K976" s="1"/>
      <c r="L976" s="3"/>
    </row>
    <row r="977" spans="1:12" ht="12.75">
      <c r="A977" s="1"/>
      <c r="B977" s="1"/>
      <c r="C977" s="1"/>
      <c r="D977" s="1"/>
      <c r="E977" s="1"/>
      <c r="F977" s="1"/>
      <c r="G977" s="1"/>
      <c r="H977" s="1"/>
      <c r="I977" s="3"/>
      <c r="J977" s="3"/>
      <c r="K977" s="1"/>
      <c r="L977" s="3"/>
    </row>
    <row r="978" spans="1:12" ht="12.75">
      <c r="A978" s="1"/>
      <c r="B978" s="1"/>
      <c r="C978" s="1"/>
      <c r="D978" s="1"/>
      <c r="E978" s="1"/>
      <c r="F978" s="1"/>
      <c r="G978" s="1"/>
      <c r="H978" s="1"/>
      <c r="I978" s="3"/>
      <c r="J978" s="3"/>
      <c r="K978" s="1"/>
      <c r="L978" s="3"/>
    </row>
    <row r="979" spans="1:12" ht="12.75">
      <c r="A979" s="1"/>
      <c r="B979" s="1"/>
      <c r="C979" s="1"/>
      <c r="D979" s="1"/>
      <c r="E979" s="1"/>
      <c r="F979" s="1"/>
      <c r="G979" s="1"/>
      <c r="H979" s="1"/>
      <c r="I979" s="3"/>
      <c r="J979" s="3"/>
      <c r="K979" s="1"/>
      <c r="L979" s="3"/>
    </row>
    <row r="980" spans="1:12" ht="12.75">
      <c r="A980" s="1"/>
      <c r="B980" s="1"/>
      <c r="C980" s="1"/>
      <c r="D980" s="1"/>
      <c r="E980" s="1"/>
      <c r="F980" s="1"/>
      <c r="G980" s="1"/>
      <c r="H980" s="1"/>
      <c r="I980" s="3"/>
      <c r="J980" s="3"/>
      <c r="K980" s="1"/>
      <c r="L980" s="3"/>
    </row>
    <row r="981" spans="1:12" ht="12.75">
      <c r="A981" s="1"/>
      <c r="B981" s="1"/>
      <c r="C981" s="1"/>
      <c r="D981" s="1"/>
      <c r="E981" s="1"/>
      <c r="F981" s="1"/>
      <c r="G981" s="1"/>
      <c r="H981" s="1"/>
      <c r="I981" s="3"/>
      <c r="J981" s="3"/>
      <c r="K981" s="1"/>
      <c r="L981" s="3"/>
    </row>
    <row r="982" spans="1:12" ht="12.75">
      <c r="A982" s="1"/>
      <c r="B982" s="1"/>
      <c r="C982" s="1"/>
      <c r="D982" s="1"/>
      <c r="E982" s="1"/>
      <c r="F982" s="1"/>
      <c r="G982" s="1"/>
      <c r="H982" s="1"/>
      <c r="I982" s="3"/>
      <c r="J982" s="3"/>
      <c r="K982" s="1"/>
      <c r="L982" s="3"/>
    </row>
    <row r="983" spans="1:12" ht="12.75">
      <c r="A983" s="1"/>
      <c r="B983" s="1"/>
      <c r="C983" s="1"/>
      <c r="D983" s="1"/>
      <c r="E983" s="1"/>
      <c r="F983" s="1"/>
      <c r="G983" s="1"/>
      <c r="H983" s="1"/>
      <c r="I983" s="3"/>
      <c r="J983" s="3"/>
      <c r="K983" s="1"/>
      <c r="L983" s="3"/>
    </row>
    <row r="984" spans="1:12" ht="12.75">
      <c r="A984" s="1"/>
      <c r="B984" s="1"/>
      <c r="C984" s="1"/>
      <c r="D984" s="1"/>
      <c r="E984" s="1"/>
      <c r="F984" s="1"/>
      <c r="G984" s="1"/>
      <c r="H984" s="1"/>
      <c r="I984" s="3"/>
      <c r="J984" s="3"/>
      <c r="K984" s="1"/>
      <c r="L984" s="3"/>
    </row>
    <row r="985" spans="1:12" ht="12.75">
      <c r="A985" s="1"/>
      <c r="B985" s="1"/>
      <c r="C985" s="1"/>
      <c r="D985" s="1"/>
      <c r="E985" s="1"/>
      <c r="F985" s="1"/>
      <c r="G985" s="1"/>
      <c r="H985" s="1"/>
      <c r="I985" s="3"/>
      <c r="J985" s="3"/>
      <c r="K985" s="1"/>
      <c r="L985" s="3"/>
    </row>
    <row r="986" spans="1:12" ht="12.75">
      <c r="A986" s="1"/>
      <c r="B986" s="1"/>
      <c r="C986" s="1"/>
      <c r="D986" s="1"/>
      <c r="E986" s="1"/>
      <c r="F986" s="1"/>
      <c r="G986" s="1"/>
      <c r="H986" s="1"/>
      <c r="I986" s="3"/>
      <c r="J986" s="3"/>
      <c r="K986" s="1"/>
      <c r="L986" s="3"/>
    </row>
    <row r="987" spans="1:12" ht="12.75">
      <c r="A987" s="1"/>
      <c r="B987" s="1"/>
      <c r="C987" s="1"/>
      <c r="D987" s="1"/>
      <c r="E987" s="1"/>
      <c r="F987" s="1"/>
      <c r="G987" s="1"/>
      <c r="H987" s="1"/>
      <c r="I987" s="3"/>
      <c r="J987" s="3"/>
      <c r="K987" s="1"/>
      <c r="L987" s="3"/>
    </row>
    <row r="988" spans="1:12" ht="12.75">
      <c r="A988" s="1"/>
      <c r="B988" s="1"/>
      <c r="C988" s="1"/>
      <c r="D988" s="1"/>
      <c r="E988" s="1"/>
      <c r="F988" s="1"/>
      <c r="G988" s="1"/>
      <c r="H988" s="1"/>
      <c r="I988" s="3"/>
      <c r="J988" s="3"/>
      <c r="K988" s="1"/>
      <c r="L988" s="3"/>
    </row>
    <row r="989" spans="1:12" ht="12.75">
      <c r="A989" s="1"/>
      <c r="B989" s="1"/>
      <c r="C989" s="1"/>
      <c r="D989" s="1"/>
      <c r="E989" s="1"/>
      <c r="F989" s="1"/>
      <c r="G989" s="1"/>
      <c r="H989" s="1"/>
      <c r="I989" s="3"/>
      <c r="J989" s="3"/>
      <c r="K989" s="1"/>
      <c r="L989" s="3"/>
    </row>
    <row r="990" spans="1:12" ht="12.75">
      <c r="A990" s="1"/>
      <c r="B990" s="1"/>
      <c r="C990" s="1"/>
      <c r="D990" s="1"/>
      <c r="E990" s="1"/>
      <c r="F990" s="1"/>
      <c r="G990" s="1"/>
      <c r="H990" s="1"/>
      <c r="I990" s="3"/>
      <c r="J990" s="3"/>
      <c r="K990" s="1"/>
      <c r="L990" s="3"/>
    </row>
    <row r="991" spans="1:12" ht="12.75">
      <c r="A991" s="1"/>
      <c r="B991" s="1"/>
      <c r="C991" s="1"/>
      <c r="D991" s="1"/>
      <c r="E991" s="1"/>
      <c r="F991" s="1"/>
      <c r="G991" s="1"/>
      <c r="H991" s="1"/>
      <c r="I991" s="3"/>
      <c r="J991" s="3"/>
      <c r="K991" s="1"/>
      <c r="L991" s="3"/>
    </row>
    <row r="992" spans="1:12" ht="12.75">
      <c r="A992" s="1"/>
      <c r="B992" s="1"/>
      <c r="C992" s="1"/>
      <c r="D992" s="1"/>
      <c r="E992" s="1"/>
      <c r="F992" s="1"/>
      <c r="G992" s="1"/>
      <c r="H992" s="1"/>
      <c r="I992" s="3"/>
      <c r="J992" s="3"/>
      <c r="K992" s="1"/>
      <c r="L992" s="3"/>
    </row>
    <row r="993" spans="1:12" ht="12.75">
      <c r="A993" s="1"/>
      <c r="B993" s="1"/>
      <c r="C993" s="1"/>
      <c r="D993" s="1"/>
      <c r="E993" s="1"/>
      <c r="F993" s="1"/>
      <c r="G993" s="1"/>
      <c r="H993" s="1"/>
      <c r="I993" s="3"/>
      <c r="J993" s="3"/>
      <c r="K993" s="1"/>
      <c r="L993" s="3"/>
    </row>
    <row r="994" spans="1:12" ht="12.75">
      <c r="A994" s="1"/>
      <c r="B994" s="1"/>
      <c r="C994" s="1"/>
      <c r="D994" s="1"/>
      <c r="E994" s="1"/>
      <c r="F994" s="1"/>
      <c r="G994" s="1"/>
      <c r="H994" s="1"/>
      <c r="I994" s="3"/>
      <c r="J994" s="3"/>
      <c r="K994" s="1"/>
      <c r="L994" s="3"/>
    </row>
    <row r="995" spans="1:12" ht="12.75">
      <c r="A995" s="1"/>
      <c r="B995" s="1"/>
      <c r="C995" s="1"/>
      <c r="D995" s="1"/>
      <c r="E995" s="1"/>
      <c r="F995" s="1"/>
      <c r="G995" s="1"/>
      <c r="H995" s="1"/>
      <c r="I995" s="3"/>
      <c r="J995" s="3"/>
      <c r="K995" s="1"/>
      <c r="L995" s="3"/>
    </row>
    <row r="996" spans="1:12" ht="12.75">
      <c r="A996" s="1"/>
      <c r="B996" s="1"/>
      <c r="C996" s="1"/>
      <c r="D996" s="1"/>
      <c r="E996" s="1"/>
      <c r="F996" s="1"/>
      <c r="G996" s="1"/>
      <c r="H996" s="1"/>
      <c r="I996" s="3"/>
      <c r="J996" s="3"/>
      <c r="K996" s="1"/>
      <c r="L996" s="3"/>
    </row>
    <row r="997" spans="1:12" ht="12.75">
      <c r="A997" s="1"/>
      <c r="B997" s="1"/>
      <c r="C997" s="1"/>
      <c r="D997" s="1"/>
      <c r="E997" s="1"/>
      <c r="F997" s="1"/>
      <c r="G997" s="1"/>
      <c r="H997" s="1"/>
      <c r="I997" s="3"/>
      <c r="J997" s="3"/>
      <c r="K997" s="1"/>
      <c r="L997" s="3"/>
    </row>
    <row r="998" spans="1:12" ht="12.75">
      <c r="A998" s="1"/>
      <c r="B998" s="1"/>
      <c r="C998" s="1"/>
      <c r="D998" s="1"/>
      <c r="E998" s="1"/>
      <c r="F998" s="1"/>
      <c r="G998" s="1"/>
      <c r="H998" s="1"/>
      <c r="I998" s="3"/>
      <c r="J998" s="3"/>
      <c r="K998" s="1"/>
      <c r="L998" s="3"/>
    </row>
    <row r="999" spans="1:12" ht="12.75">
      <c r="A999" s="1"/>
      <c r="B999" s="1"/>
      <c r="C999" s="1"/>
      <c r="D999" s="1"/>
      <c r="E999" s="1"/>
      <c r="F999" s="1"/>
      <c r="G999" s="1"/>
      <c r="H999" s="1"/>
      <c r="I999" s="3"/>
      <c r="J999" s="3"/>
      <c r="K999" s="1"/>
      <c r="L999" s="3"/>
    </row>
    <row r="1000" spans="1:12" ht="12.75">
      <c r="A1000" s="1"/>
      <c r="B1000" s="1"/>
      <c r="C1000" s="1"/>
      <c r="D1000" s="1"/>
      <c r="E1000" s="1"/>
      <c r="F1000" s="1"/>
      <c r="G1000" s="1"/>
      <c r="H1000" s="1"/>
      <c r="I1000" s="3"/>
      <c r="J1000" s="3"/>
      <c r="K1000" s="1"/>
      <c r="L1000" s="3"/>
    </row>
    <row r="1001" spans="1:12" ht="12.75">
      <c r="A1001" s="1"/>
      <c r="B1001" s="1"/>
      <c r="C1001" s="1"/>
      <c r="D1001" s="1"/>
      <c r="E1001" s="1"/>
      <c r="F1001" s="1"/>
      <c r="G1001" s="1"/>
      <c r="H1001" s="1"/>
      <c r="I1001" s="3"/>
      <c r="J1001" s="3"/>
      <c r="K1001" s="1"/>
      <c r="L1001" s="3"/>
    </row>
    <row r="1002" spans="1:12" ht="12.75">
      <c r="A1002" s="1"/>
      <c r="B1002" s="1"/>
      <c r="C1002" s="1"/>
      <c r="D1002" s="1"/>
      <c r="E1002" s="1"/>
      <c r="F1002" s="1"/>
      <c r="G1002" s="1"/>
      <c r="H1002" s="1"/>
      <c r="I1002" s="3"/>
      <c r="J1002" s="3"/>
      <c r="K1002" s="1"/>
      <c r="L1002" s="3"/>
    </row>
    <row r="1003" spans="1:12" ht="12.75">
      <c r="A1003" s="1"/>
      <c r="B1003" s="1"/>
      <c r="C1003" s="1"/>
      <c r="D1003" s="1"/>
      <c r="E1003" s="1"/>
      <c r="F1003" s="1"/>
      <c r="G1003" s="1"/>
      <c r="H1003" s="1"/>
      <c r="I1003" s="3"/>
      <c r="J1003" s="3"/>
      <c r="K1003" s="1"/>
      <c r="L1003" s="3"/>
    </row>
    <row r="1004" spans="1:12" ht="12.75">
      <c r="A1004" s="1"/>
      <c r="B1004" s="1"/>
      <c r="C1004" s="1"/>
      <c r="D1004" s="1"/>
      <c r="E1004" s="1"/>
      <c r="F1004" s="1"/>
      <c r="G1004" s="1"/>
      <c r="H1004" s="1"/>
      <c r="I1004" s="3"/>
      <c r="J1004" s="3"/>
      <c r="K1004" s="1"/>
      <c r="L1004" s="3"/>
    </row>
    <row r="1005" spans="1:12" ht="12.75">
      <c r="A1005" s="1"/>
      <c r="B1005" s="1"/>
      <c r="C1005" s="1"/>
      <c r="D1005" s="1"/>
      <c r="E1005" s="1"/>
      <c r="F1005" s="1"/>
      <c r="G1005" s="1"/>
      <c r="H1005" s="1"/>
      <c r="I1005" s="3"/>
      <c r="J1005" s="3"/>
      <c r="K1005" s="1"/>
      <c r="L1005" s="3"/>
    </row>
    <row r="1006" spans="1:12" ht="12.75">
      <c r="A1006" s="1"/>
      <c r="B1006" s="1"/>
      <c r="C1006" s="1"/>
      <c r="D1006" s="1"/>
      <c r="E1006" s="1"/>
      <c r="F1006" s="1"/>
      <c r="G1006" s="1"/>
      <c r="H1006" s="1"/>
      <c r="I1006" s="3"/>
      <c r="J1006" s="3"/>
      <c r="K1006" s="1"/>
      <c r="L1006" s="3"/>
    </row>
    <row r="1007" spans="1:12" ht="12.75">
      <c r="A1007" s="1"/>
      <c r="B1007" s="1"/>
      <c r="C1007" s="1"/>
      <c r="D1007" s="1"/>
      <c r="E1007" s="1"/>
      <c r="F1007" s="1"/>
      <c r="G1007" s="1"/>
      <c r="H1007" s="1"/>
      <c r="I1007" s="3"/>
      <c r="J1007" s="3"/>
      <c r="K1007" s="1"/>
      <c r="L1007" s="3"/>
    </row>
    <row r="1008" spans="1:12" ht="12.75">
      <c r="A1008" s="1"/>
      <c r="B1008" s="1"/>
      <c r="C1008" s="1"/>
      <c r="D1008" s="1"/>
      <c r="E1008" s="1"/>
      <c r="F1008" s="1"/>
      <c r="G1008" s="1"/>
      <c r="H1008" s="1"/>
      <c r="I1008" s="3"/>
      <c r="J1008" s="3"/>
      <c r="K1008" s="1"/>
      <c r="L1008" s="3"/>
    </row>
    <row r="1009" spans="1:12" ht="12.75">
      <c r="A1009" s="1"/>
      <c r="B1009" s="1"/>
      <c r="C1009" s="1"/>
      <c r="D1009" s="1"/>
      <c r="E1009" s="1"/>
      <c r="F1009" s="1"/>
      <c r="G1009" s="1"/>
      <c r="H1009" s="1"/>
      <c r="I1009" s="3"/>
      <c r="J1009" s="3"/>
      <c r="K1009" s="1"/>
      <c r="L1009" s="3"/>
    </row>
    <row r="1010" spans="1:12" ht="12.75">
      <c r="A1010" s="1"/>
      <c r="B1010" s="1"/>
      <c r="C1010" s="1"/>
      <c r="D1010" s="1"/>
      <c r="E1010" s="1"/>
      <c r="F1010" s="1"/>
      <c r="G1010" s="1"/>
      <c r="H1010" s="1"/>
      <c r="I1010" s="3"/>
      <c r="J1010" s="3"/>
      <c r="K1010" s="1"/>
      <c r="L1010" s="3"/>
    </row>
    <row r="1011" spans="1:12" ht="12.75">
      <c r="A1011" s="1"/>
      <c r="B1011" s="1"/>
      <c r="C1011" s="1"/>
      <c r="D1011" s="1"/>
      <c r="E1011" s="1"/>
      <c r="F1011" s="1"/>
      <c r="G1011" s="1"/>
      <c r="H1011" s="1"/>
      <c r="I1011" s="3"/>
      <c r="J1011" s="3"/>
      <c r="K1011" s="1"/>
      <c r="L1011" s="3"/>
    </row>
    <row r="1012" spans="1:12" ht="12.75">
      <c r="A1012" s="1"/>
      <c r="B1012" s="1"/>
      <c r="C1012" s="1"/>
      <c r="D1012" s="1"/>
      <c r="E1012" s="1"/>
      <c r="F1012" s="1"/>
      <c r="G1012" s="1"/>
      <c r="H1012" s="1"/>
      <c r="I1012" s="3"/>
      <c r="J1012" s="3"/>
      <c r="K1012" s="1"/>
      <c r="L1012" s="3"/>
    </row>
    <row r="1013" spans="1:12" ht="12.75">
      <c r="A1013" s="1"/>
      <c r="B1013" s="1"/>
      <c r="C1013" s="1"/>
      <c r="D1013" s="1"/>
      <c r="E1013" s="1"/>
      <c r="F1013" s="1"/>
      <c r="G1013" s="1"/>
      <c r="H1013" s="1"/>
      <c r="I1013" s="3"/>
      <c r="J1013" s="3"/>
      <c r="K1013" s="1"/>
      <c r="L1013" s="3"/>
    </row>
    <row r="1014" spans="1:12" ht="12.75">
      <c r="A1014" s="1"/>
      <c r="B1014" s="1"/>
      <c r="C1014" s="1"/>
      <c r="D1014" s="1"/>
      <c r="E1014" s="1"/>
      <c r="F1014" s="1"/>
      <c r="G1014" s="1"/>
      <c r="H1014" s="1"/>
      <c r="I1014" s="3"/>
      <c r="J1014" s="3"/>
      <c r="K1014" s="1"/>
      <c r="L1014" s="3"/>
    </row>
    <row r="1015" spans="1:12" ht="12.75">
      <c r="A1015" s="1"/>
      <c r="B1015" s="1"/>
      <c r="C1015" s="1"/>
      <c r="D1015" s="1"/>
      <c r="E1015" s="1"/>
      <c r="F1015" s="1"/>
      <c r="G1015" s="1"/>
      <c r="H1015" s="1"/>
      <c r="I1015" s="3"/>
      <c r="J1015" s="3"/>
      <c r="K1015" s="1"/>
      <c r="L1015" s="3"/>
    </row>
    <row r="1016" spans="1:12" ht="12.75">
      <c r="A1016" s="1"/>
      <c r="B1016" s="1"/>
      <c r="C1016" s="1"/>
      <c r="D1016" s="1"/>
      <c r="E1016" s="1"/>
      <c r="F1016" s="1"/>
      <c r="G1016" s="1"/>
      <c r="H1016" s="1"/>
      <c r="I1016" s="3"/>
      <c r="J1016" s="3"/>
      <c r="K1016" s="1"/>
      <c r="L1016" s="3"/>
    </row>
    <row r="1017" spans="1:12" ht="12.75">
      <c r="A1017" s="1"/>
      <c r="B1017" s="1"/>
      <c r="C1017" s="1"/>
      <c r="D1017" s="1"/>
      <c r="E1017" s="1"/>
      <c r="F1017" s="1"/>
      <c r="G1017" s="1"/>
      <c r="H1017" s="1"/>
      <c r="I1017" s="3"/>
      <c r="J1017" s="3"/>
      <c r="K1017" s="1"/>
      <c r="L1017" s="3"/>
    </row>
    <row r="1018" spans="1:12" ht="12.75">
      <c r="A1018" s="1"/>
      <c r="B1018" s="1"/>
      <c r="C1018" s="1"/>
      <c r="D1018" s="1"/>
      <c r="E1018" s="1"/>
      <c r="F1018" s="1"/>
      <c r="G1018" s="1"/>
      <c r="H1018" s="1"/>
      <c r="I1018" s="3"/>
      <c r="J1018" s="3"/>
      <c r="K1018" s="1"/>
      <c r="L1018" s="3"/>
    </row>
    <row r="1019" spans="1:12" ht="12.75">
      <c r="A1019" s="1"/>
      <c r="B1019" s="1"/>
      <c r="C1019" s="1"/>
      <c r="D1019" s="1"/>
      <c r="E1019" s="1"/>
      <c r="F1019" s="1"/>
      <c r="G1019" s="1"/>
      <c r="H1019" s="1"/>
      <c r="I1019" s="3"/>
      <c r="J1019" s="3"/>
      <c r="K1019" s="1"/>
      <c r="L1019" s="3"/>
    </row>
    <row r="1020" spans="1:12" ht="12.75">
      <c r="A1020" s="1"/>
      <c r="B1020" s="1"/>
      <c r="C1020" s="1"/>
      <c r="D1020" s="1"/>
      <c r="E1020" s="1"/>
      <c r="F1020" s="1"/>
      <c r="G1020" s="1"/>
      <c r="H1020" s="1"/>
      <c r="I1020" s="3"/>
      <c r="J1020" s="3"/>
      <c r="K1020" s="1"/>
      <c r="L1020" s="3"/>
    </row>
    <row r="1021" spans="1:12" ht="12.75">
      <c r="A1021" s="1"/>
      <c r="B1021" s="1"/>
      <c r="C1021" s="1"/>
      <c r="D1021" s="1"/>
      <c r="E1021" s="1"/>
      <c r="F1021" s="1"/>
      <c r="G1021" s="1"/>
      <c r="H1021" s="1"/>
      <c r="I1021" s="3"/>
      <c r="J1021" s="3"/>
      <c r="K1021" s="1"/>
      <c r="L1021" s="3"/>
    </row>
    <row r="1022" spans="1:12" ht="12.75">
      <c r="A1022" s="1"/>
      <c r="B1022" s="1"/>
      <c r="C1022" s="1"/>
      <c r="D1022" s="1"/>
      <c r="E1022" s="1"/>
      <c r="F1022" s="1"/>
      <c r="G1022" s="1"/>
      <c r="H1022" s="1"/>
      <c r="I1022" s="3"/>
      <c r="J1022" s="3"/>
      <c r="K1022" s="1"/>
      <c r="L1022" s="3"/>
    </row>
    <row r="1023" spans="1:12" ht="12.75">
      <c r="A1023" s="1"/>
      <c r="B1023" s="1"/>
      <c r="C1023" s="1"/>
      <c r="D1023" s="1"/>
      <c r="E1023" s="1"/>
      <c r="F1023" s="1"/>
      <c r="G1023" s="1"/>
      <c r="H1023" s="1"/>
      <c r="I1023" s="3"/>
      <c r="J1023" s="3"/>
      <c r="K1023" s="1"/>
      <c r="L1023" s="3"/>
    </row>
    <row r="1024" spans="1:12" ht="12.75">
      <c r="A1024" s="1"/>
      <c r="B1024" s="1"/>
      <c r="C1024" s="1"/>
      <c r="D1024" s="1"/>
      <c r="E1024" s="1"/>
      <c r="F1024" s="1"/>
      <c r="G1024" s="1"/>
      <c r="H1024" s="1"/>
      <c r="I1024" s="3"/>
      <c r="J1024" s="3"/>
      <c r="K1024" s="1"/>
      <c r="L1024" s="3"/>
    </row>
    <row r="1025" spans="1:12" ht="12.75">
      <c r="A1025" s="1"/>
      <c r="B1025" s="1"/>
      <c r="C1025" s="1"/>
      <c r="D1025" s="1"/>
      <c r="E1025" s="1"/>
      <c r="F1025" s="1"/>
      <c r="G1025" s="1"/>
      <c r="H1025" s="1"/>
      <c r="I1025" s="3"/>
      <c r="J1025" s="3"/>
      <c r="K1025" s="1"/>
      <c r="L1025" s="3"/>
    </row>
    <row r="1026" spans="1:12" ht="12.75">
      <c r="A1026" s="1"/>
      <c r="B1026" s="1"/>
      <c r="C1026" s="1"/>
      <c r="D1026" s="1"/>
      <c r="E1026" s="1"/>
      <c r="F1026" s="1"/>
      <c r="G1026" s="1"/>
      <c r="H1026" s="1"/>
      <c r="I1026" s="3"/>
      <c r="J1026" s="3"/>
      <c r="K1026" s="1"/>
      <c r="L1026" s="3"/>
    </row>
    <row r="1027" spans="1:12" ht="12.75">
      <c r="A1027" s="1"/>
      <c r="B1027" s="1"/>
      <c r="C1027" s="1"/>
      <c r="D1027" s="1"/>
      <c r="E1027" s="1"/>
      <c r="F1027" s="1"/>
      <c r="G1027" s="1"/>
      <c r="H1027" s="1"/>
      <c r="I1027" s="3"/>
      <c r="J1027" s="3"/>
      <c r="K1027" s="1"/>
      <c r="L1027" s="3"/>
    </row>
    <row r="1028" spans="1:12" ht="12.75">
      <c r="A1028" s="1"/>
      <c r="B1028" s="1"/>
      <c r="C1028" s="1"/>
      <c r="D1028" s="1"/>
      <c r="E1028" s="1"/>
      <c r="F1028" s="1"/>
      <c r="G1028" s="1"/>
      <c r="H1028" s="1"/>
      <c r="I1028" s="3"/>
      <c r="J1028" s="3"/>
      <c r="K1028" s="1"/>
      <c r="L1028" s="3"/>
    </row>
    <row r="1029" spans="1:12" ht="12.75">
      <c r="A1029" s="1"/>
      <c r="B1029" s="1"/>
      <c r="C1029" s="1"/>
      <c r="D1029" s="1"/>
      <c r="E1029" s="1"/>
      <c r="F1029" s="1"/>
      <c r="G1029" s="1"/>
      <c r="H1029" s="1"/>
      <c r="I1029" s="3"/>
      <c r="J1029" s="3"/>
      <c r="K1029" s="1"/>
      <c r="L1029" s="3"/>
    </row>
    <row r="1030" spans="1:12" ht="12.75">
      <c r="A1030" s="1"/>
      <c r="B1030" s="1"/>
      <c r="C1030" s="1"/>
      <c r="D1030" s="1"/>
      <c r="E1030" s="1"/>
      <c r="F1030" s="1"/>
      <c r="G1030" s="1"/>
      <c r="H1030" s="1"/>
      <c r="I1030" s="3"/>
      <c r="J1030" s="3"/>
      <c r="K1030" s="1"/>
      <c r="L1030" s="3"/>
    </row>
    <row r="1031" spans="1:12" ht="12.75">
      <c r="A1031" s="1"/>
      <c r="B1031" s="1"/>
      <c r="C1031" s="1"/>
      <c r="D1031" s="1"/>
      <c r="E1031" s="1"/>
      <c r="F1031" s="1"/>
      <c r="G1031" s="1"/>
      <c r="H1031" s="1"/>
      <c r="I1031" s="3"/>
      <c r="J1031" s="3"/>
      <c r="K1031" s="1"/>
      <c r="L1031" s="3"/>
    </row>
    <row r="1032" spans="1:12" ht="12.75">
      <c r="A1032" s="1"/>
      <c r="B1032" s="1"/>
      <c r="C1032" s="1"/>
      <c r="D1032" s="1"/>
      <c r="E1032" s="1"/>
      <c r="F1032" s="1"/>
      <c r="G1032" s="1"/>
      <c r="H1032" s="1"/>
      <c r="I1032" s="3"/>
      <c r="J1032" s="3"/>
      <c r="K1032" s="1"/>
      <c r="L1032" s="3"/>
    </row>
    <row r="1033" spans="1:12" ht="12.75">
      <c r="A1033" s="1"/>
      <c r="B1033" s="1"/>
      <c r="C1033" s="1"/>
      <c r="D1033" s="1"/>
      <c r="E1033" s="1"/>
      <c r="F1033" s="1"/>
      <c r="G1033" s="1"/>
      <c r="H1033" s="1"/>
      <c r="I1033" s="3"/>
      <c r="J1033" s="3"/>
      <c r="K1033" s="1"/>
      <c r="L1033" s="3"/>
    </row>
    <row r="1034" spans="1:12" ht="12.75">
      <c r="A1034" s="1"/>
      <c r="B1034" s="1"/>
      <c r="C1034" s="1"/>
      <c r="D1034" s="1"/>
      <c r="E1034" s="1"/>
      <c r="F1034" s="1"/>
      <c r="G1034" s="1"/>
      <c r="H1034" s="1"/>
      <c r="I1034" s="3"/>
      <c r="J1034" s="3"/>
      <c r="K1034" s="1"/>
      <c r="L1034" s="3"/>
    </row>
    <row r="1035" spans="1:12" ht="12.75">
      <c r="A1035" s="1"/>
      <c r="B1035" s="1"/>
      <c r="C1035" s="1"/>
      <c r="D1035" s="1"/>
      <c r="E1035" s="1"/>
      <c r="F1035" s="1"/>
      <c r="G1035" s="1"/>
      <c r="H1035" s="1"/>
      <c r="I1035" s="3"/>
      <c r="J1035" s="3"/>
      <c r="K1035" s="1"/>
      <c r="L1035" s="3"/>
    </row>
    <row r="1036" spans="1:12" ht="12.75">
      <c r="A1036" s="1"/>
      <c r="B1036" s="1"/>
      <c r="C1036" s="1"/>
      <c r="D1036" s="1"/>
      <c r="E1036" s="1"/>
      <c r="F1036" s="1"/>
      <c r="G1036" s="1"/>
      <c r="H1036" s="1"/>
      <c r="I1036" s="3"/>
      <c r="J1036" s="3"/>
      <c r="K1036" s="1"/>
      <c r="L1036" s="3"/>
    </row>
    <row r="1037" spans="1:12" ht="12.75">
      <c r="A1037" s="1"/>
      <c r="B1037" s="1"/>
      <c r="C1037" s="1"/>
      <c r="D1037" s="1"/>
      <c r="E1037" s="1"/>
      <c r="F1037" s="1"/>
      <c r="G1037" s="1"/>
      <c r="H1037" s="1"/>
      <c r="I1037" s="3"/>
      <c r="J1037" s="3"/>
      <c r="K1037" s="1"/>
      <c r="L1037" s="3"/>
    </row>
    <row r="1038" spans="1:12" ht="12.75">
      <c r="A1038" s="1"/>
      <c r="B1038" s="1"/>
      <c r="C1038" s="1"/>
      <c r="D1038" s="1"/>
      <c r="E1038" s="1"/>
      <c r="F1038" s="1"/>
      <c r="G1038" s="1"/>
      <c r="H1038" s="1"/>
      <c r="I1038" s="3"/>
      <c r="J1038" s="3"/>
      <c r="K1038" s="1"/>
      <c r="L1038" s="3"/>
    </row>
    <row r="1039" spans="1:12" ht="12.75">
      <c r="A1039" s="1"/>
      <c r="B1039" s="1"/>
      <c r="C1039" s="1"/>
      <c r="D1039" s="1"/>
      <c r="E1039" s="1"/>
      <c r="F1039" s="1"/>
      <c r="G1039" s="1"/>
      <c r="H1039" s="1"/>
      <c r="I1039" s="3"/>
      <c r="J1039" s="3"/>
      <c r="K1039" s="1"/>
      <c r="L1039" s="3"/>
    </row>
    <row r="1040" spans="1:12" ht="12.75">
      <c r="A1040" s="1"/>
      <c r="B1040" s="1"/>
      <c r="C1040" s="1"/>
      <c r="D1040" s="1"/>
      <c r="E1040" s="1"/>
      <c r="F1040" s="1"/>
      <c r="G1040" s="1"/>
      <c r="H1040" s="1"/>
      <c r="I1040" s="3"/>
      <c r="J1040" s="3"/>
      <c r="K1040" s="1"/>
      <c r="L1040" s="3"/>
    </row>
    <row r="1041" spans="1:12" ht="12.75">
      <c r="A1041" s="1"/>
      <c r="B1041" s="1"/>
      <c r="C1041" s="1"/>
      <c r="D1041" s="1"/>
      <c r="E1041" s="1"/>
      <c r="F1041" s="1"/>
      <c r="G1041" s="1"/>
      <c r="H1041" s="1"/>
      <c r="I1041" s="3"/>
      <c r="J1041" s="3"/>
      <c r="K1041" s="1"/>
      <c r="L1041" s="3"/>
    </row>
    <row r="1042" spans="1:12" ht="12.75">
      <c r="A1042" s="1"/>
      <c r="B1042" s="1"/>
      <c r="C1042" s="1"/>
      <c r="D1042" s="1"/>
      <c r="E1042" s="1"/>
      <c r="F1042" s="1"/>
      <c r="G1042" s="1"/>
      <c r="H1042" s="1"/>
      <c r="I1042" s="3"/>
      <c r="J1042" s="3"/>
      <c r="K1042" s="1"/>
      <c r="L1042" s="3"/>
    </row>
    <row r="1043" spans="1:12" ht="12.75">
      <c r="A1043" s="1"/>
      <c r="B1043" s="1"/>
      <c r="C1043" s="1"/>
      <c r="D1043" s="1"/>
      <c r="E1043" s="1"/>
      <c r="F1043" s="1"/>
      <c r="G1043" s="1"/>
      <c r="H1043" s="1"/>
      <c r="I1043" s="3"/>
      <c r="J1043" s="3"/>
      <c r="K1043" s="1"/>
      <c r="L1043" s="3"/>
    </row>
    <row r="1044" spans="1:12" ht="12.75">
      <c r="A1044" s="1"/>
      <c r="B1044" s="1"/>
      <c r="C1044" s="1"/>
      <c r="D1044" s="1"/>
      <c r="E1044" s="1"/>
      <c r="F1044" s="1"/>
      <c r="G1044" s="1"/>
      <c r="H1044" s="1"/>
      <c r="I1044" s="3"/>
      <c r="J1044" s="3"/>
      <c r="K1044" s="1"/>
      <c r="L1044" s="3"/>
    </row>
    <row r="1045" spans="1:12" ht="12.75">
      <c r="A1045" s="1"/>
      <c r="B1045" s="1"/>
      <c r="C1045" s="1"/>
      <c r="D1045" s="1"/>
      <c r="E1045" s="1"/>
      <c r="F1045" s="1"/>
      <c r="G1045" s="1"/>
      <c r="H1045" s="1"/>
      <c r="I1045" s="3"/>
      <c r="J1045" s="3"/>
      <c r="K1045" s="1"/>
      <c r="L1045" s="3"/>
    </row>
    <row r="1046" spans="1:12" ht="12.75">
      <c r="A1046" s="1"/>
      <c r="B1046" s="1"/>
      <c r="C1046" s="1"/>
      <c r="D1046" s="1"/>
      <c r="E1046" s="1"/>
      <c r="F1046" s="1"/>
      <c r="G1046" s="1"/>
      <c r="H1046" s="1"/>
      <c r="I1046" s="3"/>
      <c r="J1046" s="3"/>
      <c r="K1046" s="1"/>
      <c r="L1046" s="3"/>
    </row>
    <row r="1047" spans="1:12" ht="12.75">
      <c r="A1047" s="1"/>
      <c r="B1047" s="1"/>
      <c r="C1047" s="1"/>
      <c r="D1047" s="1"/>
      <c r="E1047" s="1"/>
      <c r="F1047" s="1"/>
      <c r="G1047" s="1"/>
      <c r="H1047" s="1"/>
      <c r="I1047" s="3"/>
      <c r="J1047" s="3"/>
      <c r="K1047" s="1"/>
      <c r="L1047" s="3"/>
    </row>
    <row r="1048" spans="1:12" ht="12.75">
      <c r="A1048" s="1"/>
      <c r="B1048" s="1"/>
      <c r="C1048" s="1"/>
      <c r="D1048" s="1"/>
      <c r="E1048" s="1"/>
      <c r="F1048" s="1"/>
      <c r="G1048" s="1"/>
      <c r="H1048" s="1"/>
      <c r="I1048" s="3"/>
      <c r="J1048" s="3"/>
      <c r="K1048" s="1"/>
      <c r="L1048" s="3"/>
    </row>
    <row r="1049" spans="1:12" ht="12.75">
      <c r="A1049" s="1"/>
      <c r="B1049" s="1"/>
      <c r="C1049" s="1"/>
      <c r="D1049" s="1"/>
      <c r="E1049" s="1"/>
      <c r="F1049" s="1"/>
      <c r="G1049" s="1"/>
      <c r="H1049" s="1"/>
      <c r="I1049" s="3"/>
      <c r="J1049" s="3"/>
      <c r="K1049" s="1"/>
      <c r="L1049" s="3"/>
    </row>
    <row r="1050" spans="1:12" ht="12.75">
      <c r="A1050" s="1"/>
      <c r="B1050" s="1"/>
      <c r="C1050" s="1"/>
      <c r="D1050" s="1"/>
      <c r="E1050" s="1"/>
      <c r="F1050" s="1"/>
      <c r="G1050" s="1"/>
      <c r="H1050" s="1"/>
      <c r="I1050" s="3"/>
      <c r="J1050" s="3"/>
      <c r="K1050" s="1"/>
      <c r="L1050" s="3"/>
    </row>
    <row r="1051" spans="1:12" ht="12.75">
      <c r="A1051" s="1"/>
      <c r="B1051" s="1"/>
      <c r="C1051" s="1"/>
      <c r="D1051" s="1"/>
      <c r="E1051" s="1"/>
      <c r="F1051" s="1"/>
      <c r="G1051" s="1"/>
      <c r="H1051" s="1"/>
      <c r="I1051" s="3"/>
      <c r="J1051" s="3"/>
      <c r="K1051" s="1"/>
      <c r="L1051" s="3"/>
    </row>
    <row r="1052" spans="1:12" ht="12.75">
      <c r="A1052" s="1"/>
      <c r="B1052" s="1"/>
      <c r="C1052" s="1"/>
      <c r="D1052" s="1"/>
      <c r="E1052" s="1"/>
      <c r="F1052" s="1"/>
      <c r="G1052" s="1"/>
      <c r="I1052" s="2"/>
      <c r="J1052" s="1"/>
      <c r="K1052" s="1"/>
      <c r="L1052" s="3"/>
    </row>
    <row r="1053" spans="1:12" ht="12.75">
      <c r="A1053" s="1"/>
      <c r="B1053" s="1"/>
      <c r="C1053" s="1"/>
      <c r="D1053" s="1"/>
      <c r="E1053" s="1"/>
      <c r="F1053" s="1"/>
      <c r="G1053" s="1"/>
      <c r="I1053" s="2"/>
      <c r="J1053" s="1"/>
      <c r="K1053" s="1"/>
      <c r="L1053" s="3"/>
    </row>
  </sheetData>
  <autoFilter ref="A4:L95" xr:uid="{00000000-0009-0000-0000-000003000000}">
    <filterColumn colId="7">
      <filters blank="1">
        <filter val="GPT모듈"/>
        <filter val="시험모듈"/>
      </filters>
    </filterColumn>
  </autoFilter>
  <mergeCells count="1">
    <mergeCell ref="B4:C4"/>
  </mergeCells>
  <phoneticPr fontId="10" type="noConversion"/>
  <dataValidations count="1">
    <dataValidation type="list" allowBlank="1" showErrorMessage="1" sqref="H5:H100" xr:uid="{00000000-0002-0000-0300-000000000000}">
      <formula1>"시험모듈,공통부분,모듈동일적용,번역모듈,GPT모듈,번역/GPT"</formula1>
    </dataValidation>
  </dataValidations>
  <printOptions horizontalCentered="1" gridLines="1"/>
  <pageMargins left="0.7" right="0.7" top="0.75" bottom="0.75" header="0" footer="0"/>
  <pageSetup paperSize="9" fitToWidth="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Z1003"/>
  <sheetViews>
    <sheetView topLeftCell="J1" workbookViewId="0">
      <selection activeCell="Q45" sqref="Q45"/>
    </sheetView>
  </sheetViews>
  <sheetFormatPr defaultColWidth="12.5703125" defaultRowHeight="15.75" customHeight="1"/>
  <cols>
    <col min="1" max="1" width="98.85546875" bestFit="1" customWidth="1"/>
    <col min="2" max="2" width="22.5703125" bestFit="1" customWidth="1"/>
    <col min="3" max="3" width="27.7109375" bestFit="1" customWidth="1"/>
    <col min="4" max="4" width="18.7109375" bestFit="1" customWidth="1"/>
    <col min="5" max="5" width="30.28515625" bestFit="1" customWidth="1"/>
    <col min="6" max="6" width="13.5703125" bestFit="1" customWidth="1"/>
    <col min="7" max="7" width="35.42578125" bestFit="1" customWidth="1"/>
    <col min="8" max="8" width="31.5703125" bestFit="1" customWidth="1"/>
    <col min="9" max="9" width="25.140625" bestFit="1" customWidth="1"/>
    <col min="10" max="10" width="23.85546875" bestFit="1" customWidth="1"/>
    <col min="11" max="11" width="14.28515625" customWidth="1"/>
    <col min="12" max="12" width="13.5703125" bestFit="1" customWidth="1"/>
    <col min="13" max="13" width="21.28515625" bestFit="1" customWidth="1"/>
    <col min="14" max="14" width="22.5703125" bestFit="1" customWidth="1"/>
    <col min="15" max="15" width="13.5703125" bestFit="1" customWidth="1"/>
    <col min="16" max="16" width="22.5703125" bestFit="1" customWidth="1"/>
    <col min="17" max="17" width="17.42578125" bestFit="1" customWidth="1"/>
    <col min="18" max="18" width="35.42578125" bestFit="1" customWidth="1"/>
    <col min="19" max="19" width="22.5703125" bestFit="1" customWidth="1"/>
    <col min="20" max="20" width="30.28515625" bestFit="1" customWidth="1"/>
    <col min="21" max="21" width="20" bestFit="1" customWidth="1"/>
    <col min="22" max="22" width="32.85546875" bestFit="1" customWidth="1"/>
    <col min="24" max="24" width="18.7109375" bestFit="1" customWidth="1"/>
  </cols>
  <sheetData>
    <row r="1" spans="1:26" ht="19.5">
      <c r="A1" s="65" t="s">
        <v>981</v>
      </c>
      <c r="B1" s="65"/>
      <c r="C1" s="65"/>
      <c r="D1" s="65"/>
      <c r="E1" s="65"/>
      <c r="F1" s="65"/>
      <c r="G1" s="65"/>
      <c r="H1" s="65"/>
      <c r="I1" s="65"/>
      <c r="J1" s="65"/>
      <c r="K1" s="36"/>
      <c r="L1" s="36"/>
      <c r="M1" s="36"/>
      <c r="N1" s="36"/>
      <c r="O1" s="36"/>
      <c r="P1" s="36"/>
      <c r="Q1" s="36"/>
      <c r="R1" s="36"/>
      <c r="S1" s="36"/>
      <c r="T1" s="36"/>
      <c r="U1" s="36"/>
      <c r="V1" s="36"/>
      <c r="W1" s="36"/>
      <c r="X1" s="36"/>
    </row>
    <row r="2" spans="1:26" ht="12.75">
      <c r="A2" s="72" t="s">
        <v>982</v>
      </c>
      <c r="B2" s="72"/>
      <c r="C2" s="72"/>
      <c r="D2" s="72"/>
      <c r="E2" s="72"/>
      <c r="F2" s="72"/>
      <c r="G2" s="72"/>
      <c r="H2" s="72"/>
      <c r="I2" s="72"/>
      <c r="J2" s="72"/>
      <c r="K2" s="36"/>
      <c r="L2" s="36"/>
      <c r="M2" s="36"/>
      <c r="N2" s="36"/>
      <c r="O2" s="36"/>
      <c r="P2" s="36"/>
      <c r="Q2" s="36"/>
      <c r="R2" s="36"/>
      <c r="S2" s="36"/>
      <c r="T2" s="36"/>
      <c r="U2" s="36"/>
      <c r="V2" s="36"/>
      <c r="W2" s="36"/>
      <c r="X2" s="36"/>
    </row>
    <row r="3" spans="1:26" ht="12.75">
      <c r="A3" s="55" t="s">
        <v>983</v>
      </c>
      <c r="B3" s="55"/>
      <c r="C3" s="55"/>
      <c r="D3" s="55"/>
      <c r="E3" s="55"/>
      <c r="F3" s="55"/>
      <c r="G3" s="55"/>
      <c r="H3" s="37"/>
      <c r="I3" s="37"/>
      <c r="J3" s="37"/>
      <c r="K3" s="36"/>
      <c r="L3" s="36"/>
      <c r="M3" s="36"/>
      <c r="N3" s="36"/>
      <c r="O3" s="36"/>
      <c r="P3" s="36"/>
      <c r="Q3" s="36"/>
      <c r="R3" s="36"/>
      <c r="S3" s="36"/>
      <c r="T3" s="36"/>
      <c r="U3" s="36"/>
      <c r="V3" s="36"/>
      <c r="W3" s="36"/>
      <c r="X3" s="36"/>
    </row>
    <row r="4" spans="1:26" ht="41.25">
      <c r="A4" s="20" t="s">
        <v>541</v>
      </c>
      <c r="B4" s="21"/>
      <c r="C4" s="21"/>
      <c r="D4" s="21"/>
      <c r="E4" s="21"/>
      <c r="F4" s="21"/>
      <c r="G4" s="21"/>
      <c r="H4" s="21"/>
      <c r="I4" s="21"/>
      <c r="J4" s="21"/>
      <c r="K4" s="22"/>
      <c r="L4" s="20" t="s">
        <v>542</v>
      </c>
      <c r="M4" s="21"/>
      <c r="N4" s="21"/>
      <c r="O4" s="21"/>
      <c r="P4" s="21"/>
      <c r="Q4" s="21"/>
      <c r="R4" s="21"/>
      <c r="S4" s="21"/>
      <c r="T4" s="21"/>
      <c r="U4" s="21"/>
      <c r="V4" s="21"/>
      <c r="W4" s="23"/>
      <c r="X4" s="23"/>
      <c r="Y4" s="2"/>
      <c r="Z4" s="2"/>
    </row>
    <row r="5" spans="1:26" ht="41.25">
      <c r="A5" s="24" t="s">
        <v>543</v>
      </c>
      <c r="B5" s="25" t="s">
        <v>544</v>
      </c>
      <c r="C5" s="25" t="s">
        <v>545</v>
      </c>
      <c r="D5" s="25" t="s">
        <v>546</v>
      </c>
      <c r="E5" s="25" t="s">
        <v>547</v>
      </c>
      <c r="F5" s="25" t="s">
        <v>548</v>
      </c>
      <c r="G5" s="25" t="s">
        <v>549</v>
      </c>
      <c r="H5" s="25" t="s">
        <v>550</v>
      </c>
      <c r="I5" s="25" t="s">
        <v>551</v>
      </c>
      <c r="J5" s="25" t="s">
        <v>552</v>
      </c>
      <c r="K5" s="26"/>
      <c r="L5" s="24" t="s">
        <v>257</v>
      </c>
      <c r="M5" s="25" t="s">
        <v>266</v>
      </c>
      <c r="N5" s="25" t="s">
        <v>553</v>
      </c>
      <c r="O5" s="25" t="s">
        <v>183</v>
      </c>
      <c r="P5" s="25" t="s">
        <v>289</v>
      </c>
      <c r="Q5" s="25" t="s">
        <v>554</v>
      </c>
      <c r="R5" s="25" t="s">
        <v>246</v>
      </c>
      <c r="S5" s="25" t="s">
        <v>247</v>
      </c>
      <c r="T5" s="25" t="s">
        <v>202</v>
      </c>
      <c r="U5" s="25" t="s">
        <v>555</v>
      </c>
      <c r="V5" s="25" t="s">
        <v>331</v>
      </c>
      <c r="W5" s="27"/>
      <c r="X5" s="27"/>
      <c r="Y5" s="2"/>
      <c r="Z5" s="2"/>
    </row>
    <row r="6" spans="1:26" ht="14.25">
      <c r="A6" s="83" t="s">
        <v>556</v>
      </c>
      <c r="B6" s="84" t="s">
        <v>557</v>
      </c>
      <c r="C6" s="84" t="s">
        <v>558</v>
      </c>
      <c r="D6" s="84" t="s">
        <v>559</v>
      </c>
      <c r="E6" s="84" t="s">
        <v>560</v>
      </c>
      <c r="F6" s="84" t="s">
        <v>561</v>
      </c>
      <c r="G6" s="84" t="s">
        <v>562</v>
      </c>
      <c r="H6" s="84" t="s">
        <v>141</v>
      </c>
      <c r="I6" s="84" t="s">
        <v>563</v>
      </c>
      <c r="J6" s="84" t="s">
        <v>564</v>
      </c>
      <c r="K6" s="8"/>
      <c r="L6" s="11" t="s">
        <v>565</v>
      </c>
      <c r="M6" s="9" t="s">
        <v>267</v>
      </c>
      <c r="N6" s="9" t="s">
        <v>566</v>
      </c>
      <c r="O6" s="9" t="s">
        <v>183</v>
      </c>
      <c r="P6" s="9" t="s">
        <v>559</v>
      </c>
      <c r="Q6" s="9" t="s">
        <v>561</v>
      </c>
      <c r="R6" s="9" t="s">
        <v>567</v>
      </c>
      <c r="S6" s="9" t="s">
        <v>568</v>
      </c>
      <c r="T6" s="9" t="s">
        <v>569</v>
      </c>
      <c r="U6" s="9" t="s">
        <v>570</v>
      </c>
      <c r="V6" s="9" t="s">
        <v>571</v>
      </c>
      <c r="W6" s="2"/>
      <c r="X6" s="2"/>
      <c r="Y6" s="2"/>
      <c r="Z6" s="2"/>
    </row>
    <row r="7" spans="1:26" ht="14.25">
      <c r="A7" s="85" t="s">
        <v>557</v>
      </c>
      <c r="B7" s="86" t="s">
        <v>572</v>
      </c>
      <c r="C7" s="86" t="s">
        <v>573</v>
      </c>
      <c r="D7" s="86" t="s">
        <v>574</v>
      </c>
      <c r="E7" s="86" t="s">
        <v>575</v>
      </c>
      <c r="F7" s="86" t="s">
        <v>576</v>
      </c>
      <c r="G7" s="86" t="s">
        <v>577</v>
      </c>
      <c r="H7" s="86" t="s">
        <v>578</v>
      </c>
      <c r="I7" s="86" t="s">
        <v>579</v>
      </c>
      <c r="J7" s="86" t="s">
        <v>580</v>
      </c>
      <c r="K7" s="8"/>
      <c r="L7" s="11" t="s">
        <v>581</v>
      </c>
      <c r="M7" s="9" t="s">
        <v>582</v>
      </c>
      <c r="N7" s="9" t="s">
        <v>154</v>
      </c>
      <c r="O7" s="9" t="s">
        <v>312</v>
      </c>
      <c r="P7" s="9" t="s">
        <v>574</v>
      </c>
      <c r="Q7" s="9" t="s">
        <v>576</v>
      </c>
      <c r="R7" s="12" t="s">
        <v>583</v>
      </c>
      <c r="S7" s="12" t="s">
        <v>584</v>
      </c>
      <c r="T7" s="9" t="s">
        <v>585</v>
      </c>
      <c r="U7" s="9" t="s">
        <v>586</v>
      </c>
      <c r="V7" s="9" t="s">
        <v>587</v>
      </c>
      <c r="W7" s="2"/>
      <c r="X7" s="2"/>
      <c r="Y7" s="2"/>
      <c r="Z7" s="2"/>
    </row>
    <row r="8" spans="1:26" ht="14.25">
      <c r="A8" s="87" t="s">
        <v>573</v>
      </c>
      <c r="B8" s="88" t="s">
        <v>588</v>
      </c>
      <c r="C8" s="88"/>
      <c r="D8" s="88" t="s">
        <v>589</v>
      </c>
      <c r="E8" s="88" t="s">
        <v>590</v>
      </c>
      <c r="F8" s="88" t="s">
        <v>591</v>
      </c>
      <c r="G8" s="88" t="s">
        <v>583</v>
      </c>
      <c r="H8" s="88" t="s">
        <v>144</v>
      </c>
      <c r="I8" s="88" t="s">
        <v>592</v>
      </c>
      <c r="J8" s="88" t="s">
        <v>571</v>
      </c>
      <c r="K8" s="8"/>
      <c r="L8" s="11" t="s">
        <v>289</v>
      </c>
      <c r="M8" s="9" t="s">
        <v>593</v>
      </c>
      <c r="N8" s="9" t="s">
        <v>95</v>
      </c>
      <c r="O8" s="9" t="s">
        <v>594</v>
      </c>
      <c r="P8" s="9" t="s">
        <v>595</v>
      </c>
      <c r="Q8" s="9" t="s">
        <v>591</v>
      </c>
      <c r="R8" s="12" t="s">
        <v>596</v>
      </c>
      <c r="S8" s="12" t="s">
        <v>597</v>
      </c>
      <c r="T8" s="12" t="s">
        <v>598</v>
      </c>
      <c r="U8" s="9" t="s">
        <v>599</v>
      </c>
      <c r="V8" s="9" t="s">
        <v>600</v>
      </c>
      <c r="W8" s="10"/>
      <c r="X8" s="2" t="s">
        <v>601</v>
      </c>
      <c r="Y8" s="2"/>
      <c r="Z8" s="2"/>
    </row>
    <row r="9" spans="1:26" ht="14.25">
      <c r="A9" s="89" t="s">
        <v>602</v>
      </c>
      <c r="B9" s="90" t="s">
        <v>602</v>
      </c>
      <c r="C9" s="90"/>
      <c r="D9" s="90" t="s">
        <v>603</v>
      </c>
      <c r="E9" s="90" t="s">
        <v>575</v>
      </c>
      <c r="F9" s="90" t="s">
        <v>604</v>
      </c>
      <c r="G9" s="90" t="s">
        <v>605</v>
      </c>
      <c r="H9" s="90" t="s">
        <v>606</v>
      </c>
      <c r="I9" s="90" t="s">
        <v>607</v>
      </c>
      <c r="J9" s="90" t="s">
        <v>587</v>
      </c>
      <c r="K9" s="8"/>
      <c r="L9" s="11" t="s">
        <v>195</v>
      </c>
      <c r="M9" s="9" t="s">
        <v>608</v>
      </c>
      <c r="N9" s="9" t="s">
        <v>588</v>
      </c>
      <c r="O9" s="9" t="s">
        <v>609</v>
      </c>
      <c r="P9" s="9" t="s">
        <v>610</v>
      </c>
      <c r="Q9" s="9" t="s">
        <v>611</v>
      </c>
      <c r="R9" s="12" t="s">
        <v>612</v>
      </c>
      <c r="S9" s="12" t="s">
        <v>613</v>
      </c>
      <c r="T9" s="9" t="s">
        <v>614</v>
      </c>
      <c r="U9" s="9" t="s">
        <v>615</v>
      </c>
      <c r="V9" s="9" t="s">
        <v>616</v>
      </c>
      <c r="W9" s="2"/>
      <c r="X9" s="2"/>
      <c r="Y9" s="2"/>
      <c r="Z9" s="2"/>
    </row>
    <row r="10" spans="1:26" ht="14.25">
      <c r="A10" s="91"/>
      <c r="B10" s="92"/>
      <c r="C10" s="92"/>
      <c r="D10" s="92" t="s">
        <v>617</v>
      </c>
      <c r="E10" s="92" t="s">
        <v>618</v>
      </c>
      <c r="F10" s="92"/>
      <c r="G10" s="92" t="s">
        <v>619</v>
      </c>
      <c r="H10" s="92" t="s">
        <v>145</v>
      </c>
      <c r="I10" s="92" t="s">
        <v>620</v>
      </c>
      <c r="J10" s="92" t="s">
        <v>600</v>
      </c>
      <c r="K10" s="8"/>
      <c r="L10" s="11" t="s">
        <v>621</v>
      </c>
      <c r="M10" s="9" t="s">
        <v>622</v>
      </c>
      <c r="N10" s="9" t="s">
        <v>623</v>
      </c>
      <c r="O10" s="9" t="s">
        <v>624</v>
      </c>
      <c r="P10" s="9" t="s">
        <v>625</v>
      </c>
      <c r="Q10" s="9" t="s">
        <v>268</v>
      </c>
      <c r="R10" s="12" t="s">
        <v>626</v>
      </c>
      <c r="S10" s="12" t="s">
        <v>145</v>
      </c>
      <c r="T10" s="9" t="s">
        <v>627</v>
      </c>
      <c r="U10" s="9"/>
      <c r="V10" s="9" t="s">
        <v>628</v>
      </c>
      <c r="W10" s="2"/>
      <c r="X10" s="2"/>
      <c r="Y10" s="2"/>
      <c r="Z10" s="2"/>
    </row>
    <row r="11" spans="1:26" ht="14.25">
      <c r="A11" s="93"/>
      <c r="B11" s="94"/>
      <c r="C11" s="94"/>
      <c r="D11" s="94" t="s">
        <v>629</v>
      </c>
      <c r="E11" s="94" t="s">
        <v>627</v>
      </c>
      <c r="F11" s="94"/>
      <c r="G11" s="94" t="s">
        <v>630</v>
      </c>
      <c r="H11" s="94"/>
      <c r="I11" s="94" t="s">
        <v>631</v>
      </c>
      <c r="J11" s="94" t="s">
        <v>632</v>
      </c>
      <c r="K11" s="8"/>
      <c r="L11" s="11" t="s">
        <v>633</v>
      </c>
      <c r="M11" s="9" t="s">
        <v>634</v>
      </c>
      <c r="N11" s="9" t="s">
        <v>635</v>
      </c>
      <c r="O11" s="9" t="s">
        <v>636</v>
      </c>
      <c r="P11" s="9" t="s">
        <v>589</v>
      </c>
      <c r="Q11" s="9" t="s">
        <v>311</v>
      </c>
      <c r="R11" s="12" t="s">
        <v>637</v>
      </c>
      <c r="S11" s="12"/>
      <c r="T11" s="12" t="s">
        <v>638</v>
      </c>
      <c r="U11" s="9"/>
      <c r="V11" s="9" t="s">
        <v>639</v>
      </c>
      <c r="W11" s="2"/>
      <c r="X11" s="2"/>
      <c r="Y11" s="2"/>
      <c r="Z11" s="2"/>
    </row>
    <row r="12" spans="1:26" ht="14.25">
      <c r="A12" s="91"/>
      <c r="B12" s="92"/>
      <c r="C12" s="92"/>
      <c r="D12" s="92" t="s">
        <v>640</v>
      </c>
      <c r="E12" s="92" t="s">
        <v>638</v>
      </c>
      <c r="F12" s="92"/>
      <c r="G12" s="92" t="s">
        <v>144</v>
      </c>
      <c r="H12" s="92"/>
      <c r="I12" s="92" t="s">
        <v>641</v>
      </c>
      <c r="J12" s="92" t="s">
        <v>628</v>
      </c>
      <c r="K12" s="8"/>
      <c r="L12" s="11" t="s">
        <v>153</v>
      </c>
      <c r="M12" s="9" t="s">
        <v>642</v>
      </c>
      <c r="N12" s="9"/>
      <c r="O12" s="9" t="s">
        <v>643</v>
      </c>
      <c r="P12" s="9" t="s">
        <v>589</v>
      </c>
      <c r="Q12" s="9" t="s">
        <v>644</v>
      </c>
      <c r="R12" s="12" t="s">
        <v>645</v>
      </c>
      <c r="S12" s="12"/>
      <c r="T12" s="12" t="s">
        <v>646</v>
      </c>
      <c r="U12" s="9"/>
      <c r="V12" s="9" t="s">
        <v>647</v>
      </c>
      <c r="W12" s="2"/>
      <c r="X12" s="2"/>
      <c r="Y12" s="2"/>
      <c r="Z12" s="2"/>
    </row>
    <row r="13" spans="1:26" ht="14.25">
      <c r="A13" s="93"/>
      <c r="B13" s="94"/>
      <c r="C13" s="94"/>
      <c r="D13" s="94" t="s">
        <v>648</v>
      </c>
      <c r="E13" s="94" t="s">
        <v>646</v>
      </c>
      <c r="F13" s="94"/>
      <c r="G13" s="94" t="s">
        <v>649</v>
      </c>
      <c r="H13" s="94"/>
      <c r="I13" s="94" t="s">
        <v>563</v>
      </c>
      <c r="J13" s="94" t="s">
        <v>650</v>
      </c>
      <c r="K13" s="8"/>
      <c r="L13" s="11"/>
      <c r="M13" s="9" t="s">
        <v>651</v>
      </c>
      <c r="N13" s="9"/>
      <c r="O13" s="9"/>
      <c r="P13" s="9" t="s">
        <v>617</v>
      </c>
      <c r="Q13" s="9"/>
      <c r="R13" s="12" t="s">
        <v>652</v>
      </c>
      <c r="S13" s="12" t="s">
        <v>653</v>
      </c>
      <c r="T13" s="12" t="s">
        <v>654</v>
      </c>
      <c r="U13" s="9"/>
      <c r="V13" s="9" t="s">
        <v>655</v>
      </c>
      <c r="W13" s="2"/>
      <c r="X13" s="2"/>
      <c r="Y13" s="2"/>
      <c r="Z13" s="2"/>
    </row>
    <row r="14" spans="1:26" ht="14.25">
      <c r="A14" s="91"/>
      <c r="B14" s="92"/>
      <c r="C14" s="92"/>
      <c r="D14" s="92" t="s">
        <v>656</v>
      </c>
      <c r="E14" s="92" t="s">
        <v>654</v>
      </c>
      <c r="F14" s="92"/>
      <c r="G14" s="92" t="s">
        <v>657</v>
      </c>
      <c r="H14" s="92"/>
      <c r="I14" s="92" t="s">
        <v>658</v>
      </c>
      <c r="J14" s="92" t="s">
        <v>659</v>
      </c>
      <c r="K14" s="8"/>
      <c r="L14" s="11"/>
      <c r="M14" s="9"/>
      <c r="N14" s="9"/>
      <c r="O14" s="9"/>
      <c r="P14" s="9" t="s">
        <v>183</v>
      </c>
      <c r="Q14" s="9"/>
      <c r="R14" s="9" t="s">
        <v>660</v>
      </c>
      <c r="S14" s="9"/>
      <c r="T14" s="9" t="s">
        <v>661</v>
      </c>
      <c r="U14" s="9"/>
      <c r="V14" s="9" t="s">
        <v>662</v>
      </c>
      <c r="W14" s="2"/>
      <c r="X14" s="2"/>
      <c r="Y14" s="2"/>
      <c r="Z14" s="2"/>
    </row>
    <row r="15" spans="1:26" ht="14.25">
      <c r="A15" s="93"/>
      <c r="B15" s="94"/>
      <c r="C15" s="94"/>
      <c r="D15" s="94" t="s">
        <v>663</v>
      </c>
      <c r="E15" s="94" t="s">
        <v>664</v>
      </c>
      <c r="F15" s="94"/>
      <c r="G15" s="94" t="s">
        <v>145</v>
      </c>
      <c r="H15" s="94"/>
      <c r="I15" s="94" t="s">
        <v>665</v>
      </c>
      <c r="J15" s="94" t="s">
        <v>647</v>
      </c>
      <c r="K15" s="8"/>
      <c r="L15" s="11"/>
      <c r="M15" s="9"/>
      <c r="N15" s="9"/>
      <c r="O15" s="9"/>
      <c r="P15" s="9" t="s">
        <v>629</v>
      </c>
      <c r="Q15" s="9"/>
      <c r="R15" s="9" t="s">
        <v>403</v>
      </c>
      <c r="S15" s="9"/>
      <c r="T15" s="9" t="s">
        <v>661</v>
      </c>
      <c r="U15" s="9"/>
      <c r="V15" s="9" t="s">
        <v>666</v>
      </c>
      <c r="W15" s="2"/>
      <c r="X15" s="2"/>
      <c r="Y15" s="2"/>
      <c r="Z15" s="2"/>
    </row>
    <row r="16" spans="1:26" ht="14.25">
      <c r="A16" s="91"/>
      <c r="B16" s="92"/>
      <c r="C16" s="92"/>
      <c r="D16" s="92" t="s">
        <v>290</v>
      </c>
      <c r="E16" s="92" t="s">
        <v>630</v>
      </c>
      <c r="F16" s="92"/>
      <c r="G16" s="92" t="s">
        <v>667</v>
      </c>
      <c r="H16" s="92"/>
      <c r="I16" s="92" t="s">
        <v>668</v>
      </c>
      <c r="J16" s="92" t="s">
        <v>655</v>
      </c>
      <c r="K16" s="8"/>
      <c r="L16" s="11"/>
      <c r="M16" s="9"/>
      <c r="N16" s="9"/>
      <c r="O16" s="9"/>
      <c r="P16" s="9" t="s">
        <v>183</v>
      </c>
      <c r="Q16" s="9"/>
      <c r="R16" s="9" t="s">
        <v>292</v>
      </c>
      <c r="S16" s="9"/>
      <c r="T16" s="9" t="s">
        <v>669</v>
      </c>
      <c r="U16" s="9"/>
      <c r="V16" s="12" t="s">
        <v>670</v>
      </c>
      <c r="W16" s="2"/>
      <c r="X16" s="2"/>
      <c r="Y16" s="2"/>
      <c r="Z16" s="2"/>
    </row>
    <row r="17" spans="1:26" ht="14.25">
      <c r="A17" s="93"/>
      <c r="B17" s="94"/>
      <c r="C17" s="94"/>
      <c r="D17" s="94" t="s">
        <v>671</v>
      </c>
      <c r="E17" s="94" t="s">
        <v>672</v>
      </c>
      <c r="F17" s="94"/>
      <c r="G17" s="94" t="s">
        <v>673</v>
      </c>
      <c r="H17" s="94"/>
      <c r="I17" s="94" t="s">
        <v>674</v>
      </c>
      <c r="J17" s="94" t="s">
        <v>628</v>
      </c>
      <c r="K17" s="8"/>
      <c r="L17" s="11"/>
      <c r="M17" s="9"/>
      <c r="N17" s="9"/>
      <c r="O17" s="9"/>
      <c r="P17" s="9" t="s">
        <v>640</v>
      </c>
      <c r="Q17" s="9"/>
      <c r="R17" s="9"/>
      <c r="S17" s="9"/>
      <c r="T17" s="12" t="s">
        <v>675</v>
      </c>
      <c r="U17" s="9"/>
      <c r="V17" s="12" t="s">
        <v>676</v>
      </c>
      <c r="W17" s="2"/>
      <c r="X17" s="2"/>
      <c r="Y17" s="2"/>
      <c r="Z17" s="2"/>
    </row>
    <row r="18" spans="1:26" ht="14.25">
      <c r="A18" s="91"/>
      <c r="B18" s="92"/>
      <c r="C18" s="92"/>
      <c r="D18" s="92" t="s">
        <v>616</v>
      </c>
      <c r="E18" s="92" t="s">
        <v>677</v>
      </c>
      <c r="F18" s="92"/>
      <c r="G18" s="92"/>
      <c r="H18" s="92"/>
      <c r="I18" s="92" t="s">
        <v>678</v>
      </c>
      <c r="J18" s="92" t="s">
        <v>679</v>
      </c>
      <c r="K18" s="8"/>
      <c r="L18" s="11"/>
      <c r="M18" s="9"/>
      <c r="N18" s="9"/>
      <c r="O18" s="9"/>
      <c r="P18" s="9" t="s">
        <v>604</v>
      </c>
      <c r="Q18" s="9"/>
      <c r="R18" s="9"/>
      <c r="S18" s="9"/>
      <c r="T18" s="9" t="s">
        <v>680</v>
      </c>
      <c r="U18" s="9"/>
      <c r="V18" s="12" t="s">
        <v>681</v>
      </c>
      <c r="W18" s="2"/>
      <c r="X18" s="2"/>
      <c r="Y18" s="2"/>
      <c r="Z18" s="2"/>
    </row>
    <row r="19" spans="1:26" ht="14.25">
      <c r="A19" s="93"/>
      <c r="B19" s="94"/>
      <c r="C19" s="94"/>
      <c r="D19" s="94" t="s">
        <v>682</v>
      </c>
      <c r="E19" s="94" t="s">
        <v>683</v>
      </c>
      <c r="F19" s="94"/>
      <c r="G19" s="94"/>
      <c r="H19" s="94"/>
      <c r="I19" s="94"/>
      <c r="J19" s="94" t="s">
        <v>666</v>
      </c>
      <c r="K19" s="8"/>
      <c r="L19" s="11"/>
      <c r="M19" s="9"/>
      <c r="N19" s="9"/>
      <c r="O19" s="9"/>
      <c r="P19" s="9" t="s">
        <v>684</v>
      </c>
      <c r="Q19" s="9"/>
      <c r="R19" s="13"/>
      <c r="S19" s="13"/>
      <c r="T19" s="12" t="s">
        <v>664</v>
      </c>
      <c r="U19" s="9"/>
      <c r="V19" s="12" t="s">
        <v>685</v>
      </c>
      <c r="W19" s="2"/>
      <c r="X19" s="2"/>
      <c r="Y19" s="2"/>
      <c r="Z19" s="2"/>
    </row>
    <row r="20" spans="1:26" ht="14.25">
      <c r="A20" s="91"/>
      <c r="B20" s="92"/>
      <c r="C20" s="92"/>
      <c r="D20" s="92"/>
      <c r="E20" s="92" t="s">
        <v>686</v>
      </c>
      <c r="F20" s="92"/>
      <c r="G20" s="92"/>
      <c r="H20" s="92"/>
      <c r="I20" s="92"/>
      <c r="J20" s="92" t="s">
        <v>676</v>
      </c>
      <c r="K20" s="8"/>
      <c r="L20" s="11"/>
      <c r="M20" s="9"/>
      <c r="N20" s="9"/>
      <c r="O20" s="9"/>
      <c r="P20" s="9" t="s">
        <v>687</v>
      </c>
      <c r="Q20" s="9"/>
      <c r="R20" s="13"/>
      <c r="S20" s="13"/>
      <c r="T20" s="12" t="s">
        <v>688</v>
      </c>
      <c r="U20" s="9"/>
      <c r="V20" s="12" t="s">
        <v>689</v>
      </c>
      <c r="W20" s="2"/>
      <c r="X20" s="2"/>
      <c r="Y20" s="2"/>
      <c r="Z20" s="2"/>
    </row>
    <row r="21" spans="1:26" ht="14.25">
      <c r="A21" s="93"/>
      <c r="B21" s="94"/>
      <c r="C21" s="94"/>
      <c r="D21" s="94"/>
      <c r="E21" s="94" t="s">
        <v>673</v>
      </c>
      <c r="F21" s="94"/>
      <c r="G21" s="94"/>
      <c r="H21" s="94"/>
      <c r="I21" s="94"/>
      <c r="J21" s="94" t="s">
        <v>690</v>
      </c>
      <c r="K21" s="8"/>
      <c r="L21" s="11"/>
      <c r="M21" s="9"/>
      <c r="N21" s="9"/>
      <c r="O21" s="9"/>
      <c r="P21" s="9" t="s">
        <v>616</v>
      </c>
      <c r="Q21" s="9"/>
      <c r="R21" s="13"/>
      <c r="S21" s="13"/>
      <c r="T21" s="12" t="s">
        <v>691</v>
      </c>
      <c r="U21" s="9"/>
      <c r="V21" s="12" t="s">
        <v>692</v>
      </c>
      <c r="W21" s="2"/>
      <c r="X21" s="2"/>
      <c r="Y21" s="2"/>
      <c r="Z21" s="2"/>
    </row>
    <row r="22" spans="1:26" ht="14.25">
      <c r="A22" s="91"/>
      <c r="B22" s="92"/>
      <c r="C22" s="92"/>
      <c r="D22" s="92"/>
      <c r="E22" s="92"/>
      <c r="F22" s="92"/>
      <c r="G22" s="92"/>
      <c r="H22" s="92"/>
      <c r="I22" s="92"/>
      <c r="J22" s="92" t="s">
        <v>692</v>
      </c>
      <c r="K22" s="8"/>
      <c r="L22" s="11"/>
      <c r="M22" s="9"/>
      <c r="N22" s="9"/>
      <c r="O22" s="9"/>
      <c r="P22" s="9" t="s">
        <v>682</v>
      </c>
      <c r="Q22" s="9"/>
      <c r="R22" s="13"/>
      <c r="S22" s="13"/>
      <c r="T22" s="12" t="s">
        <v>693</v>
      </c>
      <c r="U22" s="9"/>
      <c r="V22" s="12" t="s">
        <v>694</v>
      </c>
      <c r="W22" s="2"/>
      <c r="X22" s="2"/>
      <c r="Y22" s="2"/>
      <c r="Z22" s="2"/>
    </row>
    <row r="23" spans="1:26" ht="14.25">
      <c r="A23" s="93"/>
      <c r="B23" s="94"/>
      <c r="C23" s="94"/>
      <c r="D23" s="94"/>
      <c r="E23" s="94"/>
      <c r="F23" s="94"/>
      <c r="G23" s="94"/>
      <c r="H23" s="94"/>
      <c r="I23" s="94"/>
      <c r="J23" s="94" t="s">
        <v>628</v>
      </c>
      <c r="K23" s="8"/>
      <c r="L23" s="11"/>
      <c r="M23" s="9"/>
      <c r="N23" s="9"/>
      <c r="O23" s="9"/>
      <c r="P23" s="9" t="s">
        <v>695</v>
      </c>
      <c r="Q23" s="9"/>
      <c r="R23" s="13"/>
      <c r="S23" s="64"/>
      <c r="T23" s="12" t="s">
        <v>696</v>
      </c>
      <c r="U23" s="9"/>
      <c r="V23" s="9" t="s">
        <v>628</v>
      </c>
      <c r="W23" s="2"/>
      <c r="X23" s="2"/>
      <c r="Y23" s="2"/>
      <c r="Z23" s="2"/>
    </row>
    <row r="24" spans="1:26" ht="14.25">
      <c r="A24" s="91"/>
      <c r="B24" s="92"/>
      <c r="C24" s="92"/>
      <c r="D24" s="92"/>
      <c r="E24" s="92"/>
      <c r="F24" s="92"/>
      <c r="G24" s="92"/>
      <c r="H24" s="92"/>
      <c r="I24" s="92"/>
      <c r="J24" s="92" t="s">
        <v>697</v>
      </c>
      <c r="K24" s="8"/>
      <c r="L24" s="11"/>
      <c r="M24" s="9"/>
      <c r="N24" s="9"/>
      <c r="O24" s="9"/>
      <c r="P24" s="9" t="s">
        <v>268</v>
      </c>
      <c r="Q24" s="9"/>
      <c r="R24" s="13"/>
      <c r="S24" s="64"/>
      <c r="T24" s="12" t="s">
        <v>698</v>
      </c>
      <c r="U24" s="9"/>
      <c r="V24" s="12" t="s">
        <v>699</v>
      </c>
      <c r="W24" s="2"/>
      <c r="X24" s="2"/>
      <c r="Y24" s="2"/>
      <c r="Z24" s="2"/>
    </row>
    <row r="25" spans="1:26" ht="14.25">
      <c r="A25" s="93"/>
      <c r="B25" s="94"/>
      <c r="C25" s="94"/>
      <c r="D25" s="94"/>
      <c r="E25" s="94"/>
      <c r="F25" s="94"/>
      <c r="G25" s="94"/>
      <c r="H25" s="94"/>
      <c r="I25" s="94"/>
      <c r="J25" s="94" t="s">
        <v>700</v>
      </c>
      <c r="K25" s="8"/>
      <c r="L25" s="11"/>
      <c r="M25" s="9"/>
      <c r="N25" s="9"/>
      <c r="O25" s="9"/>
      <c r="P25" s="9" t="s">
        <v>311</v>
      </c>
      <c r="Q25" s="9"/>
      <c r="R25" s="13"/>
      <c r="S25" s="13"/>
      <c r="T25" s="12" t="s">
        <v>701</v>
      </c>
      <c r="U25" s="9"/>
      <c r="V25" s="12" t="s">
        <v>702</v>
      </c>
      <c r="W25" s="2"/>
      <c r="X25" s="2"/>
      <c r="Y25" s="2"/>
      <c r="Z25" s="2"/>
    </row>
    <row r="26" spans="1:26" ht="14.25">
      <c r="A26" s="91"/>
      <c r="B26" s="92"/>
      <c r="C26" s="92"/>
      <c r="D26" s="92"/>
      <c r="E26" s="92"/>
      <c r="F26" s="92"/>
      <c r="G26" s="92"/>
      <c r="H26" s="92"/>
      <c r="I26" s="92"/>
      <c r="J26" s="92" t="s">
        <v>703</v>
      </c>
      <c r="K26" s="8"/>
      <c r="L26" s="11"/>
      <c r="M26" s="9"/>
      <c r="N26" s="9"/>
      <c r="O26" s="9"/>
      <c r="P26" s="9" t="s">
        <v>644</v>
      </c>
      <c r="Q26" s="9"/>
      <c r="R26" s="9"/>
      <c r="S26" s="9"/>
      <c r="T26" s="12" t="s">
        <v>673</v>
      </c>
      <c r="U26" s="9"/>
      <c r="V26" s="12" t="s">
        <v>704</v>
      </c>
      <c r="W26" s="2"/>
      <c r="X26" s="2"/>
      <c r="Y26" s="2"/>
      <c r="Z26" s="2"/>
    </row>
    <row r="27" spans="1:26" ht="14.25">
      <c r="A27" s="93"/>
      <c r="B27" s="94"/>
      <c r="C27" s="94"/>
      <c r="D27" s="94"/>
      <c r="E27" s="94"/>
      <c r="F27" s="94"/>
      <c r="G27" s="94"/>
      <c r="H27" s="94"/>
      <c r="I27" s="94"/>
      <c r="J27" s="94" t="s">
        <v>705</v>
      </c>
      <c r="K27" s="8"/>
      <c r="L27" s="11"/>
      <c r="M27" s="9"/>
      <c r="N27" s="9"/>
      <c r="O27" s="9"/>
      <c r="P27" s="9"/>
      <c r="Q27" s="9"/>
      <c r="R27" s="9"/>
      <c r="S27" s="9"/>
      <c r="T27" s="9"/>
      <c r="U27" s="9"/>
      <c r="V27" s="12" t="s">
        <v>706</v>
      </c>
      <c r="W27" s="2"/>
      <c r="X27" s="2"/>
      <c r="Y27" s="2"/>
      <c r="Z27" s="2"/>
    </row>
    <row r="28" spans="1:26" ht="14.25">
      <c r="A28" s="91"/>
      <c r="B28" s="92"/>
      <c r="C28" s="92"/>
      <c r="D28" s="92"/>
      <c r="E28" s="92"/>
      <c r="F28" s="92"/>
      <c r="G28" s="92"/>
      <c r="H28" s="92"/>
      <c r="I28" s="92"/>
      <c r="J28" s="92" t="s">
        <v>628</v>
      </c>
      <c r="K28" s="8"/>
      <c r="L28" s="11"/>
      <c r="M28" s="9"/>
      <c r="N28" s="9"/>
      <c r="O28" s="9"/>
      <c r="P28" s="9"/>
      <c r="Q28" s="9"/>
      <c r="R28" s="9"/>
      <c r="S28" s="9"/>
      <c r="T28" s="9"/>
      <c r="U28" s="9"/>
      <c r="V28" s="12" t="s">
        <v>707</v>
      </c>
      <c r="W28" s="2"/>
      <c r="X28" s="2"/>
      <c r="Y28" s="2"/>
      <c r="Z28" s="2"/>
    </row>
    <row r="29" spans="1:26" ht="14.25">
      <c r="A29" s="93"/>
      <c r="B29" s="94"/>
      <c r="C29" s="94"/>
      <c r="D29" s="94"/>
      <c r="E29" s="94"/>
      <c r="F29" s="94"/>
      <c r="G29" s="94"/>
      <c r="H29" s="94"/>
      <c r="I29" s="94"/>
      <c r="J29" s="94" t="s">
        <v>708</v>
      </c>
      <c r="K29" s="8"/>
      <c r="L29" s="11"/>
      <c r="M29" s="9"/>
      <c r="N29" s="9"/>
      <c r="O29" s="9"/>
      <c r="P29" s="9"/>
      <c r="Q29" s="9"/>
      <c r="R29" s="9"/>
      <c r="S29" s="9"/>
      <c r="T29" s="9"/>
      <c r="U29" s="9"/>
      <c r="V29" s="12" t="s">
        <v>709</v>
      </c>
      <c r="W29" s="2"/>
      <c r="X29" s="2"/>
      <c r="Y29" s="2"/>
      <c r="Z29" s="2"/>
    </row>
    <row r="30" spans="1:26" ht="14.25">
      <c r="A30" s="91"/>
      <c r="B30" s="92"/>
      <c r="C30" s="92"/>
      <c r="D30" s="92"/>
      <c r="E30" s="92"/>
      <c r="F30" s="92"/>
      <c r="G30" s="92"/>
      <c r="H30" s="92"/>
      <c r="I30" s="92"/>
      <c r="J30" s="92" t="s">
        <v>710</v>
      </c>
      <c r="K30" s="8"/>
      <c r="L30" s="11"/>
      <c r="M30" s="9"/>
      <c r="N30" s="9"/>
      <c r="O30" s="9"/>
      <c r="P30" s="9"/>
      <c r="Q30" s="9"/>
      <c r="R30" s="9"/>
      <c r="S30" s="9"/>
      <c r="T30" s="9"/>
      <c r="U30" s="9"/>
      <c r="V30" s="12" t="s">
        <v>703</v>
      </c>
      <c r="W30" s="2"/>
      <c r="X30" s="2"/>
      <c r="Y30" s="2"/>
      <c r="Z30" s="2"/>
    </row>
    <row r="31" spans="1:26" ht="14.25">
      <c r="A31" s="93"/>
      <c r="B31" s="94"/>
      <c r="C31" s="94"/>
      <c r="D31" s="94"/>
      <c r="E31" s="94"/>
      <c r="F31" s="94"/>
      <c r="G31" s="94"/>
      <c r="H31" s="94"/>
      <c r="I31" s="94"/>
      <c r="J31" s="94" t="s">
        <v>711</v>
      </c>
      <c r="K31" s="8"/>
      <c r="L31" s="11"/>
      <c r="M31" s="9"/>
      <c r="N31" s="9"/>
      <c r="O31" s="9"/>
      <c r="P31" s="9"/>
      <c r="Q31" s="9"/>
      <c r="R31" s="9"/>
      <c r="S31" s="9"/>
      <c r="T31" s="9"/>
      <c r="U31" s="9"/>
      <c r="V31" s="12" t="s">
        <v>712</v>
      </c>
      <c r="W31" s="2"/>
      <c r="X31" s="2"/>
      <c r="Y31" s="2"/>
      <c r="Z31" s="2"/>
    </row>
    <row r="32" spans="1:26" ht="14.25">
      <c r="A32" s="91"/>
      <c r="B32" s="92"/>
      <c r="C32" s="92"/>
      <c r="D32" s="92"/>
      <c r="E32" s="92"/>
      <c r="F32" s="92"/>
      <c r="G32" s="92"/>
      <c r="H32" s="92"/>
      <c r="I32" s="92"/>
      <c r="J32" s="92" t="s">
        <v>713</v>
      </c>
      <c r="K32" s="8"/>
      <c r="L32" s="11"/>
      <c r="M32" s="9"/>
      <c r="N32" s="9"/>
      <c r="O32" s="9"/>
      <c r="P32" s="9"/>
      <c r="Q32" s="9"/>
      <c r="R32" s="9"/>
      <c r="S32" s="9"/>
      <c r="T32" s="9"/>
      <c r="U32" s="9"/>
      <c r="V32" s="12" t="s">
        <v>714</v>
      </c>
      <c r="W32" s="2"/>
      <c r="X32" s="2"/>
      <c r="Y32" s="2"/>
      <c r="Z32" s="2"/>
    </row>
    <row r="33" spans="1:26" ht="14.25">
      <c r="A33" s="93"/>
      <c r="B33" s="94"/>
      <c r="C33" s="94"/>
      <c r="D33" s="94"/>
      <c r="E33" s="94"/>
      <c r="F33" s="94"/>
      <c r="G33" s="94"/>
      <c r="H33" s="94"/>
      <c r="I33" s="94"/>
      <c r="J33" s="94" t="s">
        <v>670</v>
      </c>
      <c r="K33" s="8"/>
      <c r="L33" s="11"/>
      <c r="M33" s="9"/>
      <c r="N33" s="9"/>
      <c r="O33" s="9"/>
      <c r="P33" s="9"/>
      <c r="Q33" s="9"/>
      <c r="R33" s="9"/>
      <c r="S33" s="9"/>
      <c r="T33" s="9"/>
      <c r="U33" s="9"/>
      <c r="V33" s="12" t="s">
        <v>715</v>
      </c>
      <c r="W33" s="2"/>
      <c r="X33" s="2"/>
      <c r="Y33" s="2"/>
      <c r="Z33" s="2"/>
    </row>
    <row r="34" spans="1:26" ht="14.25">
      <c r="A34" s="91"/>
      <c r="B34" s="92"/>
      <c r="C34" s="92"/>
      <c r="D34" s="92"/>
      <c r="E34" s="92"/>
      <c r="F34" s="92"/>
      <c r="G34" s="92"/>
      <c r="H34" s="92"/>
      <c r="I34" s="92"/>
      <c r="J34" s="92" t="s">
        <v>150</v>
      </c>
      <c r="K34" s="8"/>
      <c r="L34" s="11"/>
      <c r="M34" s="9"/>
      <c r="N34" s="9"/>
      <c r="O34" s="9"/>
      <c r="P34" s="9"/>
      <c r="Q34" s="9"/>
      <c r="R34" s="9"/>
      <c r="S34" s="9"/>
      <c r="T34" s="9"/>
      <c r="U34" s="9"/>
      <c r="V34" s="9" t="s">
        <v>705</v>
      </c>
      <c r="W34" s="2"/>
      <c r="X34" s="2"/>
      <c r="Y34" s="2"/>
      <c r="Z34" s="2"/>
    </row>
    <row r="35" spans="1:26" ht="14.25">
      <c r="A35" s="93"/>
      <c r="B35" s="94"/>
      <c r="C35" s="94"/>
      <c r="D35" s="94"/>
      <c r="E35" s="94"/>
      <c r="F35" s="94"/>
      <c r="G35" s="94"/>
      <c r="H35" s="94"/>
      <c r="I35" s="94"/>
      <c r="J35" s="94" t="s">
        <v>716</v>
      </c>
      <c r="K35" s="8"/>
      <c r="L35" s="11"/>
      <c r="M35" s="9"/>
      <c r="N35" s="9"/>
      <c r="O35" s="9"/>
      <c r="P35" s="9"/>
      <c r="Q35" s="9"/>
      <c r="R35" s="9"/>
      <c r="S35" s="9"/>
      <c r="T35" s="9"/>
      <c r="U35" s="9"/>
      <c r="V35" s="9" t="s">
        <v>628</v>
      </c>
      <c r="W35" s="2"/>
      <c r="X35" s="2"/>
      <c r="Y35" s="2"/>
      <c r="Z35" s="2"/>
    </row>
    <row r="36" spans="1:26" ht="14.25">
      <c r="A36" s="91"/>
      <c r="B36" s="92"/>
      <c r="C36" s="92"/>
      <c r="D36" s="92"/>
      <c r="E36" s="92"/>
      <c r="F36" s="92"/>
      <c r="G36" s="92"/>
      <c r="H36" s="92"/>
      <c r="I36" s="92"/>
      <c r="J36" s="92" t="s">
        <v>717</v>
      </c>
      <c r="K36" s="8"/>
      <c r="L36" s="11"/>
      <c r="M36" s="9"/>
      <c r="N36" s="9"/>
      <c r="O36" s="9"/>
      <c r="P36" s="9"/>
      <c r="Q36" s="9"/>
      <c r="R36" s="9"/>
      <c r="S36" s="9"/>
      <c r="T36" s="9"/>
      <c r="U36" s="9"/>
      <c r="V36" s="9" t="s">
        <v>710</v>
      </c>
      <c r="W36" s="2"/>
      <c r="X36" s="2"/>
      <c r="Y36" s="2"/>
      <c r="Z36" s="2"/>
    </row>
    <row r="37" spans="1:26" ht="14.25">
      <c r="A37" s="93"/>
      <c r="B37" s="94"/>
      <c r="C37" s="94"/>
      <c r="D37" s="94"/>
      <c r="E37" s="94"/>
      <c r="F37" s="94"/>
      <c r="G37" s="94"/>
      <c r="H37" s="94"/>
      <c r="I37" s="94"/>
      <c r="J37" s="94" t="s">
        <v>718</v>
      </c>
      <c r="K37" s="8"/>
      <c r="L37" s="11"/>
      <c r="M37" s="9"/>
      <c r="N37" s="9"/>
      <c r="O37" s="9"/>
      <c r="P37" s="9"/>
      <c r="Q37" s="9"/>
      <c r="R37" s="9"/>
      <c r="S37" s="9"/>
      <c r="T37" s="9"/>
      <c r="U37" s="9"/>
      <c r="V37" s="9" t="s">
        <v>719</v>
      </c>
      <c r="W37" s="2"/>
      <c r="X37" s="2"/>
      <c r="Y37" s="2"/>
      <c r="Z37" s="2"/>
    </row>
    <row r="38" spans="1:26" ht="14.25">
      <c r="A38" s="91"/>
      <c r="B38" s="92"/>
      <c r="C38" s="92"/>
      <c r="D38" s="92"/>
      <c r="E38" s="92"/>
      <c r="F38" s="92"/>
      <c r="G38" s="92"/>
      <c r="H38" s="92"/>
      <c r="I38" s="92"/>
      <c r="J38" s="92" t="s">
        <v>720</v>
      </c>
      <c r="K38" s="8"/>
      <c r="L38" s="11"/>
      <c r="M38" s="9"/>
      <c r="N38" s="9"/>
      <c r="O38" s="9"/>
      <c r="P38" s="9"/>
      <c r="Q38" s="9"/>
      <c r="R38" s="9"/>
      <c r="S38" s="9"/>
      <c r="T38" s="9"/>
      <c r="U38" s="9"/>
      <c r="V38" s="9" t="s">
        <v>721</v>
      </c>
      <c r="W38" s="2"/>
      <c r="X38" s="2"/>
      <c r="Y38" s="2"/>
      <c r="Z38" s="2"/>
    </row>
    <row r="39" spans="1:26" ht="14.25">
      <c r="A39" s="93"/>
      <c r="B39" s="94"/>
      <c r="C39" s="94"/>
      <c r="D39" s="94"/>
      <c r="E39" s="94"/>
      <c r="F39" s="94"/>
      <c r="G39" s="94"/>
      <c r="H39" s="94"/>
      <c r="I39" s="94"/>
      <c r="J39" s="94" t="s">
        <v>722</v>
      </c>
      <c r="K39" s="8"/>
      <c r="L39" s="11"/>
      <c r="M39" s="9"/>
      <c r="N39" s="9"/>
      <c r="O39" s="9"/>
      <c r="P39" s="9"/>
      <c r="Q39" s="9"/>
      <c r="R39" s="9"/>
      <c r="S39" s="9"/>
      <c r="T39" s="9"/>
      <c r="U39" s="9"/>
      <c r="V39" s="9" t="s">
        <v>717</v>
      </c>
      <c r="W39" s="2"/>
      <c r="X39" s="2"/>
      <c r="Y39" s="2"/>
      <c r="Z39" s="2"/>
    </row>
    <row r="40" spans="1:26" ht="14.25">
      <c r="A40" s="91"/>
      <c r="B40" s="92"/>
      <c r="C40" s="92"/>
      <c r="D40" s="92"/>
      <c r="E40" s="92"/>
      <c r="F40" s="92"/>
      <c r="G40" s="92"/>
      <c r="H40" s="92"/>
      <c r="I40" s="92"/>
      <c r="J40" s="92" t="s">
        <v>346</v>
      </c>
      <c r="K40" s="8"/>
      <c r="L40" s="11"/>
      <c r="M40" s="9"/>
      <c r="N40" s="9"/>
      <c r="O40" s="9"/>
      <c r="P40" s="9"/>
      <c r="Q40" s="9"/>
      <c r="R40" s="9"/>
      <c r="S40" s="9"/>
      <c r="T40" s="9"/>
      <c r="U40" s="9"/>
      <c r="V40" s="9" t="s">
        <v>718</v>
      </c>
      <c r="W40" s="2"/>
      <c r="X40" s="2"/>
      <c r="Y40" s="2"/>
      <c r="Z40" s="2"/>
    </row>
    <row r="41" spans="1:26" ht="14.25">
      <c r="A41" s="93"/>
      <c r="B41" s="94"/>
      <c r="C41" s="94"/>
      <c r="D41" s="94"/>
      <c r="E41" s="94"/>
      <c r="F41" s="94"/>
      <c r="G41" s="94"/>
      <c r="H41" s="94"/>
      <c r="I41" s="94"/>
      <c r="J41" s="94" t="s">
        <v>723</v>
      </c>
      <c r="K41" s="8"/>
      <c r="L41" s="11"/>
      <c r="M41" s="9"/>
      <c r="N41" s="9"/>
      <c r="O41" s="9"/>
      <c r="P41" s="9"/>
      <c r="Q41" s="9"/>
      <c r="R41" s="9"/>
      <c r="S41" s="9"/>
      <c r="T41" s="9"/>
      <c r="U41" s="9"/>
      <c r="V41" s="9" t="s">
        <v>720</v>
      </c>
      <c r="W41" s="2"/>
      <c r="X41" s="2"/>
      <c r="Y41" s="2"/>
      <c r="Z41" s="2"/>
    </row>
    <row r="42" spans="1:26" ht="14.25">
      <c r="A42" s="91"/>
      <c r="B42" s="92"/>
      <c r="C42" s="92"/>
      <c r="D42" s="92"/>
      <c r="E42" s="92"/>
      <c r="F42" s="92"/>
      <c r="G42" s="92"/>
      <c r="H42" s="92"/>
      <c r="I42" s="92"/>
      <c r="J42" s="92" t="s">
        <v>724</v>
      </c>
      <c r="K42" s="8"/>
      <c r="L42" s="11"/>
      <c r="M42" s="9"/>
      <c r="N42" s="9"/>
      <c r="O42" s="9"/>
      <c r="P42" s="9"/>
      <c r="Q42" s="9"/>
      <c r="R42" s="9"/>
      <c r="S42" s="9"/>
      <c r="T42" s="9"/>
      <c r="U42" s="9"/>
      <c r="V42" s="9" t="s">
        <v>725</v>
      </c>
      <c r="W42" s="2"/>
      <c r="X42" s="2"/>
      <c r="Y42" s="2"/>
      <c r="Z42" s="2"/>
    </row>
    <row r="43" spans="1:26" ht="14.25">
      <c r="A43" s="93"/>
      <c r="B43" s="94"/>
      <c r="C43" s="94"/>
      <c r="D43" s="94"/>
      <c r="E43" s="94"/>
      <c r="F43" s="94"/>
      <c r="G43" s="94"/>
      <c r="H43" s="94"/>
      <c r="I43" s="94"/>
      <c r="J43" s="94"/>
      <c r="K43" s="8"/>
      <c r="L43" s="11"/>
      <c r="M43" s="9"/>
      <c r="N43" s="9"/>
      <c r="O43" s="9"/>
      <c r="P43" s="9"/>
      <c r="Q43" s="9"/>
      <c r="R43" s="9"/>
      <c r="S43" s="9"/>
      <c r="T43" s="9"/>
      <c r="U43" s="9"/>
      <c r="V43" s="9" t="s">
        <v>726</v>
      </c>
      <c r="W43" s="2"/>
      <c r="X43" s="2"/>
      <c r="Y43" s="2"/>
      <c r="Z43" s="2"/>
    </row>
    <row r="44" spans="1:26" ht="14.25">
      <c r="A44" s="95"/>
      <c r="B44" s="95"/>
      <c r="C44" s="95"/>
      <c r="D44" s="95"/>
      <c r="E44" s="95"/>
      <c r="F44" s="95"/>
      <c r="G44" s="95"/>
      <c r="H44" s="95"/>
      <c r="I44" s="95"/>
      <c r="J44" s="95"/>
      <c r="K44" s="8"/>
      <c r="L44" s="11"/>
      <c r="M44" s="9"/>
      <c r="N44" s="9"/>
      <c r="O44" s="9"/>
      <c r="P44" s="9"/>
      <c r="Q44" s="9"/>
      <c r="R44" s="9"/>
      <c r="S44" s="9"/>
      <c r="T44" s="9"/>
      <c r="U44" s="9"/>
      <c r="V44" s="9" t="s">
        <v>727</v>
      </c>
      <c r="W44" s="2"/>
      <c r="X44" s="2"/>
      <c r="Y44" s="2"/>
      <c r="Z44" s="2"/>
    </row>
    <row r="45" spans="1:26" ht="14.25">
      <c r="A45" s="96"/>
      <c r="B45" s="96"/>
      <c r="C45" s="96"/>
      <c r="D45" s="96"/>
      <c r="E45" s="96"/>
      <c r="F45" s="96"/>
      <c r="G45" s="96"/>
      <c r="H45" s="96"/>
      <c r="I45" s="96"/>
      <c r="J45" s="96"/>
      <c r="K45" s="8"/>
      <c r="L45" s="11"/>
      <c r="M45" s="9"/>
      <c r="N45" s="9"/>
      <c r="O45" s="9"/>
      <c r="P45" s="9"/>
      <c r="Q45" s="9"/>
      <c r="R45" s="9"/>
      <c r="S45" s="9"/>
      <c r="T45" s="9"/>
      <c r="U45" s="9"/>
      <c r="V45" s="9" t="s">
        <v>723</v>
      </c>
      <c r="W45" s="2"/>
      <c r="X45" s="2"/>
      <c r="Y45" s="2"/>
      <c r="Z45" s="2"/>
    </row>
    <row r="46" spans="1:26" ht="14.25">
      <c r="A46" s="95"/>
      <c r="B46" s="95"/>
      <c r="C46" s="95"/>
      <c r="D46" s="95"/>
      <c r="E46" s="95"/>
      <c r="F46" s="95"/>
      <c r="G46" s="95"/>
      <c r="H46" s="95"/>
      <c r="I46" s="95"/>
      <c r="J46" s="95"/>
      <c r="K46" s="8"/>
      <c r="L46" s="11"/>
      <c r="M46" s="9"/>
      <c r="N46" s="9"/>
      <c r="O46" s="9"/>
      <c r="P46" s="9"/>
      <c r="Q46" s="9"/>
      <c r="R46" s="9"/>
      <c r="S46" s="9"/>
      <c r="T46" s="9"/>
      <c r="U46" s="9"/>
      <c r="V46" s="9" t="s">
        <v>728</v>
      </c>
      <c r="W46" s="2"/>
      <c r="X46" s="2"/>
      <c r="Y46" s="2"/>
      <c r="Z46" s="2"/>
    </row>
    <row r="47" spans="1:26" ht="12.75">
      <c r="A47" s="57"/>
      <c r="B47" s="57"/>
      <c r="C47" s="57"/>
      <c r="D47" s="57"/>
      <c r="E47" s="57"/>
      <c r="F47" s="57"/>
      <c r="G47" s="57"/>
      <c r="H47" s="57"/>
      <c r="I47" s="57"/>
      <c r="J47" s="57"/>
      <c r="K47" s="2"/>
      <c r="L47" s="2"/>
      <c r="M47" s="2"/>
      <c r="N47" s="2"/>
      <c r="O47" s="2"/>
      <c r="P47" s="2"/>
      <c r="Q47" s="2"/>
      <c r="R47" s="2"/>
      <c r="S47" s="2"/>
      <c r="T47" s="2"/>
      <c r="U47" s="2"/>
      <c r="V47" s="2"/>
      <c r="W47" s="2"/>
      <c r="X47" s="2"/>
      <c r="Y47" s="2"/>
      <c r="Z47" s="2"/>
    </row>
    <row r="48" spans="1:26" ht="12.75">
      <c r="A48" s="55"/>
      <c r="B48" s="55"/>
      <c r="C48" s="55"/>
      <c r="D48" s="55"/>
      <c r="E48" s="55"/>
      <c r="F48" s="55"/>
      <c r="G48" s="55"/>
      <c r="H48" s="55"/>
      <c r="I48" s="55"/>
      <c r="J48" s="55"/>
      <c r="K48" s="2"/>
      <c r="L48" s="2"/>
      <c r="M48" s="2"/>
      <c r="N48" s="2"/>
      <c r="O48" s="2"/>
      <c r="P48" s="2"/>
      <c r="Q48" s="2"/>
      <c r="R48" s="2"/>
      <c r="S48" s="2"/>
      <c r="T48" s="2"/>
      <c r="U48" s="2"/>
      <c r="V48" s="2"/>
      <c r="W48" s="2"/>
      <c r="X48" s="2"/>
      <c r="Y48" s="2"/>
      <c r="Z48" s="2"/>
    </row>
    <row r="49" spans="1:26" ht="12.75">
      <c r="A49" s="57"/>
      <c r="B49" s="57"/>
      <c r="C49" s="57"/>
      <c r="D49" s="57"/>
      <c r="E49" s="57"/>
      <c r="F49" s="57"/>
      <c r="G49" s="57"/>
      <c r="H49" s="57"/>
      <c r="I49" s="57"/>
      <c r="J49" s="57"/>
      <c r="K49" s="2"/>
      <c r="L49" s="2"/>
      <c r="M49" s="2"/>
      <c r="N49" s="2"/>
      <c r="O49" s="2"/>
      <c r="P49" s="2"/>
      <c r="Q49" s="2"/>
      <c r="R49" s="2"/>
      <c r="S49" s="2"/>
      <c r="T49" s="2"/>
      <c r="U49" s="2"/>
      <c r="V49" s="2"/>
      <c r="W49" s="2"/>
      <c r="X49" s="2"/>
      <c r="Y49" s="2"/>
      <c r="Z49" s="2"/>
    </row>
    <row r="50" spans="1:26" ht="12.75">
      <c r="A50" s="55"/>
      <c r="B50" s="55"/>
      <c r="C50" s="55"/>
      <c r="D50" s="55"/>
      <c r="E50" s="55"/>
      <c r="F50" s="55"/>
      <c r="G50" s="55"/>
      <c r="H50" s="55"/>
      <c r="I50" s="55"/>
      <c r="J50" s="55"/>
      <c r="K50" s="2"/>
      <c r="L50" s="2"/>
      <c r="M50" s="2"/>
      <c r="N50" s="2"/>
      <c r="O50" s="2"/>
      <c r="P50" s="2"/>
      <c r="Q50" s="2"/>
      <c r="R50" s="2"/>
      <c r="S50" s="2"/>
      <c r="T50" s="2"/>
      <c r="U50" s="2"/>
      <c r="V50" s="2"/>
      <c r="W50" s="2"/>
      <c r="X50" s="2"/>
      <c r="Y50" s="2"/>
      <c r="Z50" s="2"/>
    </row>
    <row r="51" spans="1:26" ht="12.7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phoneticPr fontId="10" type="noConversion"/>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8844-640B-4167-A3A1-6D4A5D91CF67}">
  <dimension ref="A1:G36"/>
  <sheetViews>
    <sheetView workbookViewId="0">
      <selection activeCell="I52" sqref="I52"/>
    </sheetView>
  </sheetViews>
  <sheetFormatPr defaultRowHeight="12.75"/>
  <sheetData>
    <row r="1" spans="1:7" ht="175.5">
      <c r="A1" s="65" t="s">
        <v>984</v>
      </c>
      <c r="B1" s="65"/>
      <c r="C1" s="65"/>
      <c r="D1" s="65"/>
      <c r="E1" s="65"/>
      <c r="F1" s="65"/>
      <c r="G1" s="65"/>
    </row>
    <row r="2" spans="1:7" ht="153">
      <c r="A2" s="72" t="s">
        <v>985</v>
      </c>
      <c r="B2" s="72"/>
      <c r="C2" s="72"/>
      <c r="D2" s="72"/>
      <c r="E2" s="72"/>
      <c r="F2" s="72"/>
      <c r="G2" s="72"/>
    </row>
    <row r="3" spans="1:7">
      <c r="A3" s="55"/>
      <c r="B3" s="55"/>
      <c r="C3" s="55"/>
      <c r="D3" s="55"/>
      <c r="E3" s="55"/>
      <c r="F3" s="55"/>
      <c r="G3" s="55"/>
    </row>
    <row r="4" spans="1:7" ht="25.5">
      <c r="A4" s="42" t="s">
        <v>736</v>
      </c>
      <c r="B4" s="42" t="s">
        <v>986</v>
      </c>
      <c r="C4" s="42" t="s">
        <v>987</v>
      </c>
      <c r="D4" s="42" t="s">
        <v>988</v>
      </c>
      <c r="E4" s="42" t="s">
        <v>989</v>
      </c>
      <c r="F4" s="42" t="s">
        <v>156</v>
      </c>
      <c r="G4" s="42" t="s">
        <v>255</v>
      </c>
    </row>
    <row r="5" spans="1:7" ht="76.5">
      <c r="A5" s="55">
        <v>1</v>
      </c>
      <c r="B5" s="55" t="s">
        <v>990</v>
      </c>
      <c r="C5" s="55" t="s">
        <v>991</v>
      </c>
      <c r="D5" s="55" t="s">
        <v>992</v>
      </c>
      <c r="E5" s="55"/>
      <c r="F5" s="55" t="s">
        <v>993</v>
      </c>
      <c r="G5" s="55" t="s">
        <v>994</v>
      </c>
    </row>
    <row r="6" spans="1:7" ht="76.5">
      <c r="A6" s="57">
        <v>2</v>
      </c>
      <c r="B6" s="57" t="s">
        <v>990</v>
      </c>
      <c r="C6" s="57" t="s">
        <v>995</v>
      </c>
      <c r="D6" s="57" t="s">
        <v>996</v>
      </c>
      <c r="E6" s="57"/>
      <c r="F6" s="57" t="s">
        <v>993</v>
      </c>
      <c r="G6" s="57" t="s">
        <v>997</v>
      </c>
    </row>
    <row r="7" spans="1:7" ht="89.25">
      <c r="A7" s="55">
        <v>3</v>
      </c>
      <c r="B7" s="55" t="s">
        <v>990</v>
      </c>
      <c r="C7" s="55" t="s">
        <v>998</v>
      </c>
      <c r="D7" s="55" t="s">
        <v>999</v>
      </c>
      <c r="E7" s="55"/>
      <c r="F7" s="55" t="s">
        <v>993</v>
      </c>
      <c r="G7" s="55" t="s">
        <v>1000</v>
      </c>
    </row>
    <row r="8" spans="1:7" ht="76.5">
      <c r="A8" s="57">
        <v>4</v>
      </c>
      <c r="B8" s="57" t="s">
        <v>990</v>
      </c>
      <c r="C8" s="57" t="s">
        <v>1001</v>
      </c>
      <c r="D8" s="57" t="s">
        <v>1002</v>
      </c>
      <c r="E8" s="57"/>
      <c r="F8" s="57" t="s">
        <v>993</v>
      </c>
      <c r="G8" s="57" t="s">
        <v>1003</v>
      </c>
    </row>
    <row r="9" spans="1:7" ht="63.75">
      <c r="A9" s="55">
        <v>5</v>
      </c>
      <c r="B9" s="55" t="s">
        <v>990</v>
      </c>
      <c r="C9" s="55" t="s">
        <v>1004</v>
      </c>
      <c r="D9" s="55" t="s">
        <v>1005</v>
      </c>
      <c r="E9" s="55"/>
      <c r="F9" s="55" t="s">
        <v>993</v>
      </c>
      <c r="G9" s="55" t="s">
        <v>1003</v>
      </c>
    </row>
    <row r="10" spans="1:7" ht="63.75">
      <c r="A10" s="57">
        <v>6</v>
      </c>
      <c r="B10" s="57" t="s">
        <v>990</v>
      </c>
      <c r="C10" s="57" t="s">
        <v>1006</v>
      </c>
      <c r="D10" s="57" t="s">
        <v>1007</v>
      </c>
      <c r="E10" s="57"/>
      <c r="F10" s="57" t="s">
        <v>993</v>
      </c>
      <c r="G10" s="57" t="s">
        <v>1003</v>
      </c>
    </row>
    <row r="11" spans="1:7" ht="63.75">
      <c r="A11" s="55">
        <v>7</v>
      </c>
      <c r="B11" s="55" t="s">
        <v>990</v>
      </c>
      <c r="C11" s="55" t="s">
        <v>1008</v>
      </c>
      <c r="D11" s="55" t="s">
        <v>1009</v>
      </c>
      <c r="E11" s="55"/>
      <c r="F11" s="55" t="s">
        <v>993</v>
      </c>
      <c r="G11" s="55" t="s">
        <v>1010</v>
      </c>
    </row>
    <row r="12" spans="1:7" ht="76.5">
      <c r="A12" s="57">
        <v>8</v>
      </c>
      <c r="B12" s="57" t="s">
        <v>990</v>
      </c>
      <c r="C12" s="57" t="s">
        <v>1011</v>
      </c>
      <c r="D12" s="57" t="s">
        <v>1012</v>
      </c>
      <c r="E12" s="57"/>
      <c r="F12" s="57" t="s">
        <v>993</v>
      </c>
      <c r="G12" s="57" t="s">
        <v>1013</v>
      </c>
    </row>
    <row r="13" spans="1:7" ht="76.5">
      <c r="A13" s="55">
        <v>9</v>
      </c>
      <c r="B13" s="55" t="s">
        <v>990</v>
      </c>
      <c r="C13" s="55" t="s">
        <v>1014</v>
      </c>
      <c r="D13" s="55" t="s">
        <v>1015</v>
      </c>
      <c r="E13" s="55"/>
      <c r="F13" s="55" t="s">
        <v>993</v>
      </c>
      <c r="G13" s="55" t="s">
        <v>1016</v>
      </c>
    </row>
    <row r="14" spans="1:7" ht="89.25">
      <c r="A14" s="57">
        <v>10</v>
      </c>
      <c r="B14" s="57" t="s">
        <v>990</v>
      </c>
      <c r="C14" s="57" t="s">
        <v>842</v>
      </c>
      <c r="D14" s="57" t="s">
        <v>1017</v>
      </c>
      <c r="E14" s="57"/>
      <c r="F14" s="57" t="s">
        <v>993</v>
      </c>
      <c r="G14" s="57" t="s">
        <v>1018</v>
      </c>
    </row>
    <row r="15" spans="1:7" ht="89.25">
      <c r="A15" s="55">
        <v>11</v>
      </c>
      <c r="B15" s="55" t="s">
        <v>990</v>
      </c>
      <c r="C15" s="55" t="s">
        <v>1019</v>
      </c>
      <c r="D15" s="55" t="s">
        <v>1020</v>
      </c>
      <c r="E15" s="55"/>
      <c r="F15" s="55" t="s">
        <v>993</v>
      </c>
      <c r="G15" s="55" t="s">
        <v>1021</v>
      </c>
    </row>
    <row r="16" spans="1:7" ht="89.25">
      <c r="A16" s="57">
        <v>12</v>
      </c>
      <c r="B16" s="57" t="s">
        <v>990</v>
      </c>
      <c r="C16" s="57" t="s">
        <v>1022</v>
      </c>
      <c r="D16" s="57" t="s">
        <v>1023</v>
      </c>
      <c r="E16" s="57"/>
      <c r="F16" s="57" t="s">
        <v>993</v>
      </c>
      <c r="G16" s="57" t="s">
        <v>1024</v>
      </c>
    </row>
    <row r="17" spans="1:7" ht="51">
      <c r="A17" s="55">
        <v>13</v>
      </c>
      <c r="B17" s="55" t="s">
        <v>990</v>
      </c>
      <c r="C17" s="55" t="s">
        <v>1025</v>
      </c>
      <c r="D17" s="55" t="s">
        <v>1026</v>
      </c>
      <c r="E17" s="55"/>
      <c r="F17" s="55" t="s">
        <v>993</v>
      </c>
      <c r="G17" s="55" t="s">
        <v>1027</v>
      </c>
    </row>
    <row r="18" spans="1:7" ht="63.75">
      <c r="A18" s="57">
        <v>14</v>
      </c>
      <c r="B18" s="57" t="s">
        <v>990</v>
      </c>
      <c r="C18" s="57" t="s">
        <v>1028</v>
      </c>
      <c r="D18" s="57" t="s">
        <v>1029</v>
      </c>
      <c r="E18" s="57"/>
      <c r="F18" s="57" t="s">
        <v>993</v>
      </c>
      <c r="G18" s="57" t="s">
        <v>1030</v>
      </c>
    </row>
    <row r="19" spans="1:7" ht="63.75">
      <c r="A19" s="55">
        <v>15</v>
      </c>
      <c r="B19" s="55" t="s">
        <v>990</v>
      </c>
      <c r="C19" s="55" t="s">
        <v>1031</v>
      </c>
      <c r="D19" s="55" t="s">
        <v>1032</v>
      </c>
      <c r="E19" s="55"/>
      <c r="F19" s="55" t="s">
        <v>993</v>
      </c>
      <c r="G19" s="55" t="s">
        <v>1033</v>
      </c>
    </row>
    <row r="20" spans="1:7" ht="102">
      <c r="A20" s="57">
        <v>16</v>
      </c>
      <c r="B20" s="57" t="s">
        <v>990</v>
      </c>
      <c r="C20" s="57" t="s">
        <v>1034</v>
      </c>
      <c r="D20" s="57" t="s">
        <v>1035</v>
      </c>
      <c r="E20" s="57"/>
      <c r="F20" s="57" t="s">
        <v>993</v>
      </c>
      <c r="G20" s="57" t="s">
        <v>1036</v>
      </c>
    </row>
    <row r="21" spans="1:7" ht="76.5">
      <c r="A21" s="55">
        <v>17</v>
      </c>
      <c r="B21" s="55" t="s">
        <v>990</v>
      </c>
      <c r="C21" s="55" t="s">
        <v>1037</v>
      </c>
      <c r="D21" s="55" t="s">
        <v>628</v>
      </c>
      <c r="E21" s="55"/>
      <c r="F21" s="55" t="s">
        <v>993</v>
      </c>
      <c r="G21" s="55" t="s">
        <v>1038</v>
      </c>
    </row>
    <row r="22" spans="1:7" ht="63.75">
      <c r="A22" s="57">
        <v>18</v>
      </c>
      <c r="B22" s="57" t="s">
        <v>1039</v>
      </c>
      <c r="C22" s="57" t="s">
        <v>1040</v>
      </c>
      <c r="D22" s="57" t="s">
        <v>1041</v>
      </c>
      <c r="E22" s="57"/>
      <c r="F22" s="57" t="s">
        <v>993</v>
      </c>
      <c r="G22" s="57" t="s">
        <v>1042</v>
      </c>
    </row>
    <row r="23" spans="1:7" ht="38.25">
      <c r="A23" s="55">
        <v>19</v>
      </c>
      <c r="B23" s="55" t="s">
        <v>1039</v>
      </c>
      <c r="C23" s="55" t="s">
        <v>1043</v>
      </c>
      <c r="D23" s="55" t="s">
        <v>1044</v>
      </c>
      <c r="E23" s="55"/>
      <c r="F23" s="55" t="s">
        <v>993</v>
      </c>
      <c r="G23" s="55" t="s">
        <v>1045</v>
      </c>
    </row>
    <row r="24" spans="1:7" ht="38.25">
      <c r="A24" s="57">
        <v>20</v>
      </c>
      <c r="B24" s="57" t="s">
        <v>1039</v>
      </c>
      <c r="C24" s="57" t="s">
        <v>1046</v>
      </c>
      <c r="D24" s="57" t="s">
        <v>1047</v>
      </c>
      <c r="E24" s="57"/>
      <c r="F24" s="57" t="s">
        <v>993</v>
      </c>
      <c r="G24" s="57" t="s">
        <v>1045</v>
      </c>
    </row>
    <row r="25" spans="1:7" ht="89.25">
      <c r="A25" s="55">
        <v>21</v>
      </c>
      <c r="B25" s="55" t="s">
        <v>1039</v>
      </c>
      <c r="C25" s="55" t="s">
        <v>1048</v>
      </c>
      <c r="D25" s="55" t="s">
        <v>1049</v>
      </c>
      <c r="E25" s="55"/>
      <c r="F25" s="55" t="s">
        <v>993</v>
      </c>
      <c r="G25" s="55" t="s">
        <v>1050</v>
      </c>
    </row>
    <row r="26" spans="1:7" ht="63.75">
      <c r="A26" s="57">
        <v>22</v>
      </c>
      <c r="B26" s="57" t="s">
        <v>1039</v>
      </c>
      <c r="C26" s="57" t="s">
        <v>1051</v>
      </c>
      <c r="D26" s="57" t="s">
        <v>390</v>
      </c>
      <c r="E26" s="57"/>
      <c r="F26" s="57" t="s">
        <v>993</v>
      </c>
      <c r="G26" s="57" t="s">
        <v>1052</v>
      </c>
    </row>
    <row r="27" spans="1:7" ht="63.75">
      <c r="A27" s="55">
        <v>23</v>
      </c>
      <c r="B27" s="55" t="s">
        <v>1039</v>
      </c>
      <c r="C27" s="55" t="s">
        <v>1053</v>
      </c>
      <c r="D27" s="55" t="s">
        <v>1054</v>
      </c>
      <c r="E27" s="55"/>
      <c r="F27" s="55" t="s">
        <v>993</v>
      </c>
      <c r="G27" s="55" t="s">
        <v>1055</v>
      </c>
    </row>
    <row r="28" spans="1:7" ht="89.25">
      <c r="A28" s="57">
        <v>24</v>
      </c>
      <c r="B28" s="57" t="s">
        <v>510</v>
      </c>
      <c r="C28" s="57" t="s">
        <v>1056</v>
      </c>
      <c r="D28" s="57" t="s">
        <v>512</v>
      </c>
      <c r="E28" s="57"/>
      <c r="F28" s="57" t="s">
        <v>993</v>
      </c>
      <c r="G28" s="57" t="s">
        <v>1057</v>
      </c>
    </row>
    <row r="29" spans="1:7" ht="63.75">
      <c r="A29" s="55">
        <v>25</v>
      </c>
      <c r="B29" s="55" t="s">
        <v>510</v>
      </c>
      <c r="C29" s="55" t="s">
        <v>1058</v>
      </c>
      <c r="D29" s="55" t="s">
        <v>1059</v>
      </c>
      <c r="E29" s="55"/>
      <c r="F29" s="55" t="s">
        <v>993</v>
      </c>
      <c r="G29" s="55" t="s">
        <v>1060</v>
      </c>
    </row>
    <row r="30" spans="1:7" ht="76.5">
      <c r="A30" s="57">
        <v>26</v>
      </c>
      <c r="B30" s="57" t="s">
        <v>510</v>
      </c>
      <c r="C30" s="57" t="s">
        <v>1061</v>
      </c>
      <c r="D30" s="57" t="s">
        <v>522</v>
      </c>
      <c r="E30" s="57"/>
      <c r="F30" s="57" t="s">
        <v>993</v>
      </c>
      <c r="G30" s="57" t="s">
        <v>1062</v>
      </c>
    </row>
    <row r="31" spans="1:7" ht="102">
      <c r="A31" s="55">
        <v>27</v>
      </c>
      <c r="B31" s="55" t="s">
        <v>510</v>
      </c>
      <c r="C31" s="55" t="s">
        <v>1063</v>
      </c>
      <c r="D31" s="55" t="s">
        <v>522</v>
      </c>
      <c r="E31" s="55"/>
      <c r="F31" s="55" t="s">
        <v>993</v>
      </c>
      <c r="G31" s="55" t="s">
        <v>1064</v>
      </c>
    </row>
    <row r="32" spans="1:7" ht="76.5">
      <c r="A32" s="57">
        <v>28</v>
      </c>
      <c r="B32" s="57" t="s">
        <v>510</v>
      </c>
      <c r="C32" s="57" t="s">
        <v>1065</v>
      </c>
      <c r="D32" s="57" t="s">
        <v>336</v>
      </c>
      <c r="E32" s="57"/>
      <c r="F32" s="57" t="s">
        <v>993</v>
      </c>
      <c r="G32" s="57" t="s">
        <v>1066</v>
      </c>
    </row>
    <row r="33" spans="1:7" ht="63.75">
      <c r="A33" s="55">
        <v>29</v>
      </c>
      <c r="B33" s="55" t="s">
        <v>510</v>
      </c>
      <c r="C33" s="55" t="s">
        <v>1067</v>
      </c>
      <c r="D33" s="55" t="s">
        <v>515</v>
      </c>
      <c r="E33" s="55"/>
      <c r="F33" s="55" t="s">
        <v>993</v>
      </c>
      <c r="G33" s="55" t="s">
        <v>1068</v>
      </c>
    </row>
    <row r="34" spans="1:7" ht="76.5">
      <c r="A34" s="57">
        <v>30</v>
      </c>
      <c r="B34" s="57" t="s">
        <v>1069</v>
      </c>
      <c r="C34" s="57" t="s">
        <v>1070</v>
      </c>
      <c r="D34" s="57" t="s">
        <v>1071</v>
      </c>
      <c r="E34" s="57"/>
      <c r="F34" s="57" t="s">
        <v>993</v>
      </c>
      <c r="G34" s="57" t="s">
        <v>1072</v>
      </c>
    </row>
    <row r="35" spans="1:7" ht="51">
      <c r="A35" s="55">
        <v>31</v>
      </c>
      <c r="B35" s="55" t="s">
        <v>1069</v>
      </c>
      <c r="C35" s="55" t="s">
        <v>1073</v>
      </c>
      <c r="D35" s="55" t="s">
        <v>1074</v>
      </c>
      <c r="E35" s="55"/>
      <c r="F35" s="55" t="s">
        <v>993</v>
      </c>
      <c r="G35" s="55" t="s">
        <v>1075</v>
      </c>
    </row>
    <row r="36" spans="1:7" ht="89.25">
      <c r="A36" s="57">
        <v>32</v>
      </c>
      <c r="B36" s="57" t="s">
        <v>1069</v>
      </c>
      <c r="C36" s="57" t="s">
        <v>1076</v>
      </c>
      <c r="D36" s="57" t="s">
        <v>1077</v>
      </c>
      <c r="E36" s="57"/>
      <c r="F36" s="57" t="s">
        <v>993</v>
      </c>
      <c r="G36" s="57" t="s">
        <v>1078</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60FD-AC26-4A64-B5FD-AD782AAE7F6D}">
  <dimension ref="A1:E50"/>
  <sheetViews>
    <sheetView topLeftCell="D10" workbookViewId="0">
      <selection activeCell="T27" sqref="T27"/>
    </sheetView>
  </sheetViews>
  <sheetFormatPr defaultRowHeight="12.75"/>
  <cols>
    <col min="1" max="1" width="39.5703125" customWidth="1"/>
    <col min="2" max="2" width="42.5703125" customWidth="1"/>
    <col min="3" max="3" width="27.5703125" customWidth="1"/>
    <col min="5" max="5" width="32.5703125" customWidth="1"/>
  </cols>
  <sheetData>
    <row r="1" spans="1:5" ht="58.5">
      <c r="A1" s="65" t="s">
        <v>1079</v>
      </c>
      <c r="B1" s="65"/>
      <c r="C1" s="65"/>
      <c r="D1" s="65"/>
      <c r="E1" s="65"/>
    </row>
    <row r="2" spans="1:5">
      <c r="A2" s="72"/>
      <c r="B2" s="72"/>
      <c r="C2" s="72"/>
      <c r="D2" s="72"/>
      <c r="E2" s="72"/>
    </row>
    <row r="3" spans="1:5" ht="15">
      <c r="A3" s="48" t="s">
        <v>1080</v>
      </c>
      <c r="B3" s="48"/>
      <c r="C3" s="48"/>
      <c r="D3" s="48"/>
      <c r="E3" s="48"/>
    </row>
    <row r="4" spans="1:5">
      <c r="A4" s="55" t="s">
        <v>250</v>
      </c>
      <c r="B4" s="55" t="s">
        <v>1081</v>
      </c>
      <c r="C4" s="55" t="s">
        <v>1082</v>
      </c>
      <c r="D4" s="55" t="s">
        <v>255</v>
      </c>
      <c r="E4" s="55"/>
    </row>
    <row r="5" spans="1:5" ht="38.25">
      <c r="A5" s="57" t="s">
        <v>1083</v>
      </c>
      <c r="B5" s="57" t="s">
        <v>1084</v>
      </c>
      <c r="C5" s="57" t="s">
        <v>1085</v>
      </c>
      <c r="D5" s="57" t="s">
        <v>1086</v>
      </c>
      <c r="E5" s="57"/>
    </row>
    <row r="6" spans="1:5">
      <c r="A6" s="55" t="s">
        <v>1087</v>
      </c>
      <c r="B6" s="55" t="s">
        <v>1088</v>
      </c>
      <c r="C6" s="55" t="s">
        <v>1089</v>
      </c>
      <c r="D6" s="55"/>
      <c r="E6" s="55"/>
    </row>
    <row r="7" spans="1:5">
      <c r="A7" s="57" t="s">
        <v>1090</v>
      </c>
      <c r="B7" s="57" t="s">
        <v>1091</v>
      </c>
      <c r="C7" s="57" t="s">
        <v>1092</v>
      </c>
      <c r="D7" s="57"/>
      <c r="E7" s="57"/>
    </row>
    <row r="8" spans="1:5">
      <c r="A8" s="55" t="s">
        <v>1093</v>
      </c>
      <c r="B8" s="55" t="s">
        <v>1094</v>
      </c>
      <c r="C8" s="55" t="s">
        <v>1095</v>
      </c>
      <c r="D8" s="55"/>
      <c r="E8" s="55"/>
    </row>
    <row r="9" spans="1:5" ht="38.25">
      <c r="A9" s="57" t="s">
        <v>183</v>
      </c>
      <c r="B9" s="57" t="s">
        <v>1096</v>
      </c>
      <c r="C9" s="57" t="s">
        <v>1097</v>
      </c>
      <c r="D9" s="57" t="s">
        <v>1098</v>
      </c>
      <c r="E9" s="57"/>
    </row>
    <row r="10" spans="1:5" ht="38.25">
      <c r="A10" s="55" t="s">
        <v>203</v>
      </c>
      <c r="B10" s="55" t="s">
        <v>1099</v>
      </c>
      <c r="C10" s="55" t="s">
        <v>1100</v>
      </c>
      <c r="D10" s="55" t="s">
        <v>1101</v>
      </c>
      <c r="E10" s="55"/>
    </row>
    <row r="11" spans="1:5" ht="38.25">
      <c r="A11" s="57" t="s">
        <v>1102</v>
      </c>
      <c r="B11" s="57" t="s">
        <v>1103</v>
      </c>
      <c r="C11" s="57" t="s">
        <v>1104</v>
      </c>
      <c r="D11" s="57" t="s">
        <v>1105</v>
      </c>
      <c r="E11" s="57"/>
    </row>
    <row r="12" spans="1:5" ht="25.5">
      <c r="A12" s="55" t="s">
        <v>1106</v>
      </c>
      <c r="B12" s="55" t="s">
        <v>1107</v>
      </c>
      <c r="C12" s="55" t="s">
        <v>1108</v>
      </c>
      <c r="D12" s="55"/>
      <c r="E12" s="55"/>
    </row>
    <row r="13" spans="1:5">
      <c r="A13" s="57"/>
      <c r="B13" s="57"/>
      <c r="C13" s="57"/>
      <c r="D13" s="57"/>
      <c r="E13" s="57"/>
    </row>
    <row r="14" spans="1:5">
      <c r="A14" s="55"/>
      <c r="B14" s="55"/>
      <c r="C14" s="55"/>
      <c r="D14" s="55"/>
      <c r="E14" s="55"/>
    </row>
    <row r="15" spans="1:5">
      <c r="A15" s="57" t="s">
        <v>1109</v>
      </c>
      <c r="B15" s="57"/>
      <c r="C15" s="57"/>
      <c r="D15" s="57"/>
      <c r="E15" s="57"/>
    </row>
    <row r="16" spans="1:5">
      <c r="A16" s="42" t="s">
        <v>1110</v>
      </c>
      <c r="B16" s="42" t="s">
        <v>1111</v>
      </c>
      <c r="C16" s="42" t="s">
        <v>1112</v>
      </c>
      <c r="D16" s="42" t="s">
        <v>1113</v>
      </c>
      <c r="E16" s="42" t="s">
        <v>255</v>
      </c>
    </row>
    <row r="17" spans="1:5" ht="38.25">
      <c r="A17" s="55" t="s">
        <v>187</v>
      </c>
      <c r="B17" s="55" t="s">
        <v>1114</v>
      </c>
      <c r="C17" s="55" t="s">
        <v>1115</v>
      </c>
      <c r="D17" s="55" t="s">
        <v>973</v>
      </c>
      <c r="E17" s="55" t="s">
        <v>1116</v>
      </c>
    </row>
    <row r="18" spans="1:5" ht="38.25">
      <c r="A18" s="57" t="s">
        <v>189</v>
      </c>
      <c r="B18" s="57" t="s">
        <v>1114</v>
      </c>
      <c r="C18" s="57" t="s">
        <v>1115</v>
      </c>
      <c r="D18" s="57" t="s">
        <v>973</v>
      </c>
      <c r="E18" s="57"/>
    </row>
    <row r="19" spans="1:5" ht="38.25">
      <c r="A19" s="55" t="s">
        <v>188</v>
      </c>
      <c r="B19" s="55" t="s">
        <v>74</v>
      </c>
      <c r="C19" s="55" t="s">
        <v>1115</v>
      </c>
      <c r="D19" s="55" t="s">
        <v>973</v>
      </c>
      <c r="E19" s="55"/>
    </row>
    <row r="20" spans="1:5" ht="38.25">
      <c r="A20" s="57" t="s">
        <v>190</v>
      </c>
      <c r="B20" s="57" t="s">
        <v>1114</v>
      </c>
      <c r="C20" s="57" t="s">
        <v>1117</v>
      </c>
      <c r="D20" s="57" t="s">
        <v>973</v>
      </c>
      <c r="E20" s="57"/>
    </row>
    <row r="21" spans="1:5" ht="38.25">
      <c r="A21" s="55" t="s">
        <v>191</v>
      </c>
      <c r="B21" s="55" t="s">
        <v>94</v>
      </c>
      <c r="C21" s="55" t="s">
        <v>1118</v>
      </c>
      <c r="D21" s="55" t="s">
        <v>973</v>
      </c>
      <c r="E21" s="55"/>
    </row>
    <row r="22" spans="1:5" ht="38.25">
      <c r="A22" s="57" t="s">
        <v>192</v>
      </c>
      <c r="B22" s="57" t="s">
        <v>1114</v>
      </c>
      <c r="C22" s="57" t="s">
        <v>1119</v>
      </c>
      <c r="D22" s="57" t="s">
        <v>973</v>
      </c>
      <c r="E22" s="57"/>
    </row>
    <row r="23" spans="1:5">
      <c r="A23" s="55" t="s">
        <v>193</v>
      </c>
      <c r="B23" s="55" t="s">
        <v>733</v>
      </c>
      <c r="C23" s="55" t="s">
        <v>1120</v>
      </c>
      <c r="D23" s="55" t="s">
        <v>194</v>
      </c>
      <c r="E23" s="55" t="s">
        <v>1121</v>
      </c>
    </row>
    <row r="24" spans="1:5">
      <c r="A24" s="57"/>
      <c r="B24" s="57"/>
      <c r="C24" s="57"/>
      <c r="D24" s="57"/>
      <c r="E24" s="57"/>
    </row>
    <row r="25" spans="1:5">
      <c r="A25" s="55"/>
      <c r="B25" s="55"/>
      <c r="C25" s="55"/>
      <c r="D25" s="55"/>
      <c r="E25" s="55"/>
    </row>
    <row r="26" spans="1:5" ht="30">
      <c r="A26" s="45" t="s">
        <v>1122</v>
      </c>
      <c r="B26" s="45"/>
      <c r="C26" s="45"/>
      <c r="D26" s="45"/>
      <c r="E26" s="45"/>
    </row>
    <row r="27" spans="1:5" ht="25.5">
      <c r="A27" s="42" t="s">
        <v>1123</v>
      </c>
      <c r="B27" s="42" t="s">
        <v>1124</v>
      </c>
      <c r="C27" s="42" t="s">
        <v>1125</v>
      </c>
      <c r="D27" s="42" t="s">
        <v>1126</v>
      </c>
      <c r="E27" s="42" t="s">
        <v>1127</v>
      </c>
    </row>
    <row r="28" spans="1:5" ht="25.5">
      <c r="A28" s="55" t="s">
        <v>737</v>
      </c>
      <c r="B28" s="55" t="s">
        <v>752</v>
      </c>
      <c r="C28" s="55" t="s">
        <v>764</v>
      </c>
      <c r="D28" s="55" t="s">
        <v>776</v>
      </c>
      <c r="E28" s="55"/>
    </row>
    <row r="29" spans="1:5">
      <c r="A29" s="57" t="s">
        <v>738</v>
      </c>
      <c r="B29" s="57" t="s">
        <v>753</v>
      </c>
      <c r="C29" s="57" t="s">
        <v>765</v>
      </c>
      <c r="D29" s="57" t="s">
        <v>777</v>
      </c>
      <c r="E29" s="57" t="s">
        <v>784</v>
      </c>
    </row>
    <row r="30" spans="1:5">
      <c r="A30" s="55" t="s">
        <v>739</v>
      </c>
      <c r="B30" s="55" t="s">
        <v>1128</v>
      </c>
      <c r="C30" s="55" t="s">
        <v>1129</v>
      </c>
      <c r="D30" s="55" t="s">
        <v>1130</v>
      </c>
      <c r="E30" s="55" t="s">
        <v>1131</v>
      </c>
    </row>
    <row r="31" spans="1:5" ht="25.5">
      <c r="A31" s="57" t="s">
        <v>1132</v>
      </c>
      <c r="B31" s="57" t="s">
        <v>754</v>
      </c>
      <c r="C31" s="57" t="s">
        <v>766</v>
      </c>
      <c r="D31" s="57" t="s">
        <v>778</v>
      </c>
      <c r="E31" s="57" t="s">
        <v>787</v>
      </c>
    </row>
    <row r="32" spans="1:5" ht="25.5">
      <c r="A32" s="55" t="s">
        <v>740</v>
      </c>
      <c r="B32" s="55" t="s">
        <v>755</v>
      </c>
      <c r="C32" s="55" t="s">
        <v>767</v>
      </c>
      <c r="D32" s="55" t="s">
        <v>773</v>
      </c>
      <c r="E32" s="55" t="s">
        <v>785</v>
      </c>
    </row>
    <row r="33" spans="1:5" ht="25.5">
      <c r="A33" s="57" t="s">
        <v>741</v>
      </c>
      <c r="B33" s="57" t="s">
        <v>756</v>
      </c>
      <c r="C33" s="57" t="s">
        <v>768</v>
      </c>
      <c r="D33" s="57" t="s">
        <v>779</v>
      </c>
      <c r="E33" s="57" t="s">
        <v>786</v>
      </c>
    </row>
    <row r="34" spans="1:5">
      <c r="A34" s="55" t="s">
        <v>742</v>
      </c>
      <c r="B34" s="55" t="s">
        <v>757</v>
      </c>
      <c r="C34" s="55" t="s">
        <v>769</v>
      </c>
      <c r="D34" s="55" t="s">
        <v>780</v>
      </c>
      <c r="E34" s="55" t="s">
        <v>1133</v>
      </c>
    </row>
    <row r="35" spans="1:5">
      <c r="A35" s="57" t="s">
        <v>743</v>
      </c>
      <c r="B35" s="57" t="s">
        <v>758</v>
      </c>
      <c r="C35" s="57" t="s">
        <v>770</v>
      </c>
      <c r="D35" s="57" t="s">
        <v>781</v>
      </c>
      <c r="E35" s="57"/>
    </row>
    <row r="36" spans="1:5" ht="25.5">
      <c r="A36" s="55" t="s">
        <v>744</v>
      </c>
      <c r="B36" s="55" t="s">
        <v>759</v>
      </c>
      <c r="C36" s="55" t="s">
        <v>771</v>
      </c>
      <c r="D36" s="55" t="s">
        <v>782</v>
      </c>
      <c r="E36" s="55"/>
    </row>
    <row r="37" spans="1:5">
      <c r="A37" s="57" t="s">
        <v>745</v>
      </c>
      <c r="B37" s="57" t="s">
        <v>760</v>
      </c>
      <c r="C37" s="57" t="s">
        <v>772</v>
      </c>
      <c r="D37" s="57" t="s">
        <v>1134</v>
      </c>
      <c r="E37" s="57"/>
    </row>
    <row r="38" spans="1:5">
      <c r="A38" s="55" t="s">
        <v>746</v>
      </c>
      <c r="B38" s="55" t="s">
        <v>1135</v>
      </c>
      <c r="C38" s="55" t="s">
        <v>773</v>
      </c>
      <c r="D38" s="55"/>
      <c r="E38" s="55"/>
    </row>
    <row r="39" spans="1:5">
      <c r="A39" s="57" t="s">
        <v>747</v>
      </c>
      <c r="B39" s="57" t="s">
        <v>761</v>
      </c>
      <c r="C39" s="57" t="s">
        <v>1136</v>
      </c>
      <c r="D39" s="57"/>
      <c r="E39" s="57"/>
    </row>
    <row r="40" spans="1:5">
      <c r="A40" s="55" t="s">
        <v>748</v>
      </c>
      <c r="B40" s="55" t="s">
        <v>762</v>
      </c>
      <c r="C40" s="55" t="s">
        <v>774</v>
      </c>
      <c r="D40" s="55"/>
      <c r="E40" s="55"/>
    </row>
    <row r="41" spans="1:5" ht="25.5">
      <c r="A41" s="57" t="s">
        <v>749</v>
      </c>
      <c r="B41" s="57" t="s">
        <v>763</v>
      </c>
      <c r="C41" s="57" t="s">
        <v>775</v>
      </c>
      <c r="D41" s="57" t="s">
        <v>783</v>
      </c>
      <c r="E41" s="57"/>
    </row>
    <row r="42" spans="1:5">
      <c r="A42" s="55" t="s">
        <v>750</v>
      </c>
      <c r="B42" s="55" t="s">
        <v>1137</v>
      </c>
      <c r="C42" s="55" t="s">
        <v>1138</v>
      </c>
      <c r="D42" s="55"/>
      <c r="E42" s="55"/>
    </row>
    <row r="43" spans="1:5" ht="51">
      <c r="A43" s="57" t="s">
        <v>751</v>
      </c>
      <c r="B43" s="57" t="s">
        <v>1139</v>
      </c>
      <c r="C43" s="57" t="s">
        <v>1140</v>
      </c>
      <c r="D43" s="57" t="s">
        <v>1141</v>
      </c>
      <c r="E43" s="57"/>
    </row>
    <row r="44" spans="1:5">
      <c r="A44" s="55"/>
      <c r="B44" s="55"/>
      <c r="C44" s="55"/>
      <c r="D44" s="55"/>
      <c r="E44" s="55"/>
    </row>
    <row r="45" spans="1:5">
      <c r="A45" s="57"/>
      <c r="B45" s="57"/>
      <c r="C45" s="57"/>
      <c r="D45" s="57"/>
      <c r="E45" s="57"/>
    </row>
    <row r="46" spans="1:5">
      <c r="A46" s="55" t="s">
        <v>1142</v>
      </c>
      <c r="B46" s="55"/>
      <c r="C46" s="55"/>
      <c r="D46" s="55"/>
      <c r="E46" s="55"/>
    </row>
    <row r="47" spans="1:5">
      <c r="A47" s="57"/>
      <c r="B47" s="57"/>
      <c r="C47" s="57"/>
      <c r="D47" s="57"/>
      <c r="E47" s="57"/>
    </row>
    <row r="48" spans="1:5" ht="25.5">
      <c r="A48" s="55" t="s">
        <v>1143</v>
      </c>
      <c r="B48" s="55" t="s">
        <v>1144</v>
      </c>
      <c r="C48" s="55" t="s">
        <v>1145</v>
      </c>
      <c r="D48" s="55"/>
      <c r="E48" s="55"/>
    </row>
    <row r="49" spans="1:5">
      <c r="A49" s="57"/>
      <c r="B49" s="57"/>
      <c r="C49" s="57"/>
      <c r="D49" s="57"/>
      <c r="E49" s="57"/>
    </row>
    <row r="50" spans="1:5">
      <c r="A50" s="55"/>
      <c r="B50" s="55"/>
      <c r="C50" s="55"/>
      <c r="D50" s="55"/>
      <c r="E50" s="55"/>
    </row>
  </sheetData>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5E40-73D7-4D4D-BB7D-0CB7A40469F9}">
  <dimension ref="A1:F106"/>
  <sheetViews>
    <sheetView workbookViewId="0">
      <selection activeCell="H41" sqref="H41"/>
    </sheetView>
  </sheetViews>
  <sheetFormatPr defaultRowHeight="12.75"/>
  <cols>
    <col min="1" max="1" width="22.140625" customWidth="1"/>
    <col min="2" max="2" width="41.42578125" customWidth="1"/>
    <col min="3" max="3" width="35.85546875" customWidth="1"/>
    <col min="4" max="4" width="22.140625" customWidth="1"/>
    <col min="6" max="6" width="18.5703125" customWidth="1"/>
  </cols>
  <sheetData>
    <row r="1" spans="1:6" ht="19.5">
      <c r="A1" s="105" t="s">
        <v>1540</v>
      </c>
    </row>
    <row r="2" spans="1:6">
      <c r="A2" s="106" t="s">
        <v>1541</v>
      </c>
    </row>
    <row r="4" spans="1:6" ht="15">
      <c r="A4" s="32" t="s">
        <v>1542</v>
      </c>
      <c r="B4" s="32"/>
      <c r="C4" s="32"/>
      <c r="D4" s="32"/>
      <c r="E4" s="32"/>
      <c r="F4" s="32"/>
    </row>
    <row r="5" spans="1:6">
      <c r="A5" s="14" t="s">
        <v>250</v>
      </c>
      <c r="B5" s="14" t="s">
        <v>1543</v>
      </c>
      <c r="C5" s="14" t="s">
        <v>1544</v>
      </c>
      <c r="D5" s="14" t="s">
        <v>255</v>
      </c>
      <c r="E5" s="14"/>
      <c r="F5" s="14"/>
    </row>
    <row r="6" spans="1:6">
      <c r="A6" s="38" t="s">
        <v>1545</v>
      </c>
      <c r="B6" s="38">
        <v>131</v>
      </c>
      <c r="C6" s="109">
        <v>0.81</v>
      </c>
      <c r="D6" s="38" t="s">
        <v>1546</v>
      </c>
      <c r="E6" s="38"/>
      <c r="F6" s="38"/>
    </row>
    <row r="7" spans="1:6">
      <c r="A7" s="28" t="s">
        <v>1547</v>
      </c>
      <c r="B7" s="28">
        <v>30</v>
      </c>
      <c r="C7" s="110">
        <v>0.19</v>
      </c>
      <c r="D7" s="28" t="s">
        <v>1548</v>
      </c>
      <c r="E7" s="28"/>
      <c r="F7" s="28"/>
    </row>
    <row r="8" spans="1:6">
      <c r="A8" s="107" t="s">
        <v>1549</v>
      </c>
      <c r="B8" s="107">
        <v>161</v>
      </c>
      <c r="C8" s="108">
        <v>1</v>
      </c>
      <c r="D8" s="107"/>
      <c r="E8" s="107"/>
      <c r="F8" s="107"/>
    </row>
    <row r="10" spans="1:6" ht="15">
      <c r="A10" s="29" t="s">
        <v>1550</v>
      </c>
      <c r="B10" s="29"/>
      <c r="C10" s="29"/>
      <c r="D10" s="29"/>
      <c r="E10" s="29"/>
      <c r="F10" s="29"/>
    </row>
    <row r="11" spans="1:6">
      <c r="A11" s="14" t="s">
        <v>1516</v>
      </c>
      <c r="B11" s="14" t="s">
        <v>1543</v>
      </c>
      <c r="C11" s="14" t="s">
        <v>1551</v>
      </c>
      <c r="D11" s="14"/>
      <c r="E11" s="14"/>
      <c r="F11" s="14"/>
    </row>
    <row r="12" spans="1:6">
      <c r="A12" s="69" t="s">
        <v>1590</v>
      </c>
      <c r="B12" s="69">
        <v>45</v>
      </c>
      <c r="C12" s="69" t="s">
        <v>1591</v>
      </c>
      <c r="D12" s="69" t="s">
        <v>1592</v>
      </c>
      <c r="E12" s="69"/>
      <c r="F12" s="69"/>
    </row>
    <row r="13" spans="1:6">
      <c r="A13" s="70" t="s">
        <v>1593</v>
      </c>
      <c r="B13" s="70">
        <v>52</v>
      </c>
      <c r="C13" s="70" t="s">
        <v>1594</v>
      </c>
      <c r="D13" s="70" t="s">
        <v>1592</v>
      </c>
      <c r="E13" s="70"/>
      <c r="F13" s="70"/>
    </row>
    <row r="14" spans="1:6">
      <c r="A14" s="69" t="s">
        <v>1595</v>
      </c>
      <c r="B14" s="69">
        <v>5</v>
      </c>
      <c r="C14" s="69" t="s">
        <v>1596</v>
      </c>
      <c r="D14" s="69" t="s">
        <v>1592</v>
      </c>
      <c r="E14" s="69"/>
      <c r="F14" s="69"/>
    </row>
    <row r="15" spans="1:6">
      <c r="A15" s="70" t="s">
        <v>1597</v>
      </c>
      <c r="B15" s="70">
        <v>14</v>
      </c>
      <c r="C15" s="70" t="s">
        <v>1598</v>
      </c>
      <c r="D15" s="70" t="s">
        <v>1592</v>
      </c>
      <c r="E15" s="70"/>
      <c r="F15" s="70"/>
    </row>
    <row r="16" spans="1:6">
      <c r="A16" s="69" t="s">
        <v>1599</v>
      </c>
      <c r="B16" s="69">
        <v>155</v>
      </c>
      <c r="C16" s="69" t="s">
        <v>1600</v>
      </c>
      <c r="D16" s="69" t="s">
        <v>1592</v>
      </c>
      <c r="E16" s="69"/>
      <c r="F16" s="69"/>
    </row>
    <row r="17" spans="1:6">
      <c r="A17" s="112" t="s">
        <v>1601</v>
      </c>
      <c r="B17" s="112">
        <v>51</v>
      </c>
      <c r="C17" s="112" t="s">
        <v>1602</v>
      </c>
      <c r="D17" s="112" t="s">
        <v>1603</v>
      </c>
      <c r="E17" s="107"/>
      <c r="F17" s="107"/>
    </row>
    <row r="18" spans="1:6">
      <c r="A18" s="107" t="s">
        <v>1549</v>
      </c>
      <c r="B18" s="107">
        <v>322</v>
      </c>
      <c r="C18" s="107" t="s">
        <v>1604</v>
      </c>
      <c r="D18" s="107"/>
    </row>
    <row r="19" spans="1:6" ht="15">
      <c r="A19" s="31" t="s">
        <v>1558</v>
      </c>
      <c r="B19" s="31"/>
      <c r="C19" s="31"/>
      <c r="D19" s="31"/>
      <c r="E19" s="31"/>
      <c r="F19" s="31"/>
    </row>
    <row r="20" spans="1:6">
      <c r="A20" s="14" t="s">
        <v>736</v>
      </c>
      <c r="B20" s="14" t="s">
        <v>870</v>
      </c>
      <c r="C20" s="14" t="s">
        <v>1559</v>
      </c>
      <c r="D20" s="14" t="s">
        <v>1560</v>
      </c>
      <c r="E20" s="14" t="s">
        <v>250</v>
      </c>
      <c r="F20" s="14"/>
    </row>
    <row r="21" spans="1:6">
      <c r="A21" s="57">
        <v>1</v>
      </c>
      <c r="B21" s="57" t="s">
        <v>990</v>
      </c>
      <c r="C21" s="57" t="s">
        <v>1561</v>
      </c>
      <c r="D21" s="57" t="s">
        <v>1562</v>
      </c>
      <c r="E21" s="57" t="s">
        <v>1563</v>
      </c>
      <c r="F21" s="57"/>
    </row>
    <row r="22" spans="1:6" ht="25.5">
      <c r="A22" s="55">
        <v>2</v>
      </c>
      <c r="B22" s="55" t="s">
        <v>257</v>
      </c>
      <c r="C22" s="55" t="s">
        <v>1564</v>
      </c>
      <c r="D22" s="55" t="s">
        <v>1565</v>
      </c>
      <c r="E22" s="55" t="s">
        <v>1563</v>
      </c>
      <c r="F22" s="55"/>
    </row>
    <row r="23" spans="1:6" ht="25.5">
      <c r="A23" s="57">
        <v>3</v>
      </c>
      <c r="B23" s="57" t="s">
        <v>1553</v>
      </c>
      <c r="C23" s="57" t="s">
        <v>1566</v>
      </c>
      <c r="D23" s="57" t="s">
        <v>1567</v>
      </c>
      <c r="E23" s="57" t="s">
        <v>1563</v>
      </c>
      <c r="F23" s="57"/>
    </row>
    <row r="24" spans="1:6">
      <c r="A24" s="55">
        <v>4</v>
      </c>
      <c r="B24" s="55" t="s">
        <v>1554</v>
      </c>
      <c r="C24" s="55" t="s">
        <v>1555</v>
      </c>
      <c r="D24" s="55" t="s">
        <v>1568</v>
      </c>
      <c r="E24" s="55" t="s">
        <v>1563</v>
      </c>
      <c r="F24" s="55"/>
    </row>
    <row r="25" spans="1:6">
      <c r="A25" s="57">
        <v>5</v>
      </c>
      <c r="B25" s="57" t="s">
        <v>1556</v>
      </c>
      <c r="C25" s="57" t="s">
        <v>1569</v>
      </c>
      <c r="D25" s="57" t="s">
        <v>1570</v>
      </c>
      <c r="E25" s="57" t="s">
        <v>1563</v>
      </c>
      <c r="F25" s="57"/>
    </row>
    <row r="26" spans="1:6" ht="25.5">
      <c r="A26" s="55">
        <v>6</v>
      </c>
      <c r="B26" s="55" t="s">
        <v>184</v>
      </c>
      <c r="C26" s="55" t="s">
        <v>1557</v>
      </c>
      <c r="D26" s="55" t="s">
        <v>1571</v>
      </c>
      <c r="E26" s="55" t="s">
        <v>1563</v>
      </c>
      <c r="F26" s="55"/>
    </row>
    <row r="27" spans="1:6">
      <c r="A27" s="111">
        <v>7</v>
      </c>
      <c r="B27" s="111" t="s">
        <v>1572</v>
      </c>
      <c r="C27" s="111" t="s">
        <v>1573</v>
      </c>
      <c r="D27" s="111" t="s">
        <v>1574</v>
      </c>
      <c r="E27" s="111" t="s">
        <v>1575</v>
      </c>
      <c r="F27" s="111"/>
    </row>
    <row r="28" spans="1:6" ht="25.5">
      <c r="A28" s="111">
        <v>8</v>
      </c>
      <c r="B28" s="111" t="s">
        <v>1572</v>
      </c>
      <c r="C28" s="111" t="s">
        <v>1576</v>
      </c>
      <c r="D28" s="111" t="s">
        <v>1574</v>
      </c>
      <c r="E28" s="111" t="s">
        <v>1575</v>
      </c>
      <c r="F28" s="111"/>
    </row>
    <row r="30" spans="1:6" ht="15">
      <c r="A30" s="33" t="s">
        <v>1577</v>
      </c>
      <c r="B30" s="33"/>
      <c r="C30" s="33"/>
      <c r="D30" s="33"/>
      <c r="E30" s="33"/>
      <c r="F30" s="33"/>
    </row>
    <row r="31" spans="1:6">
      <c r="A31" s="14" t="s">
        <v>250</v>
      </c>
      <c r="B31" s="14" t="s">
        <v>165</v>
      </c>
      <c r="C31" s="14" t="s">
        <v>1180</v>
      </c>
      <c r="D31" s="14"/>
      <c r="E31" s="14"/>
      <c r="F31" s="14"/>
    </row>
    <row r="32" spans="1:6" ht="25.5">
      <c r="A32" s="55" t="s">
        <v>1578</v>
      </c>
      <c r="B32" s="55" t="s">
        <v>1579</v>
      </c>
      <c r="C32" s="55" t="s">
        <v>1148</v>
      </c>
      <c r="D32" s="55"/>
      <c r="E32" s="55"/>
      <c r="F32" s="55"/>
    </row>
    <row r="33" spans="1:6" ht="25.5">
      <c r="A33" s="57" t="s">
        <v>1580</v>
      </c>
      <c r="B33" s="57" t="s">
        <v>1581</v>
      </c>
      <c r="C33" s="57" t="s">
        <v>1151</v>
      </c>
      <c r="D33" s="57"/>
      <c r="E33" s="57"/>
      <c r="F33" s="57"/>
    </row>
    <row r="34" spans="1:6" ht="25.5">
      <c r="A34" s="55" t="s">
        <v>1582</v>
      </c>
      <c r="B34" s="55" t="s">
        <v>1583</v>
      </c>
      <c r="C34" s="55" t="s">
        <v>1149</v>
      </c>
      <c r="D34" s="55"/>
      <c r="E34" s="55"/>
      <c r="F34" s="55"/>
    </row>
    <row r="35" spans="1:6" ht="25.5">
      <c r="A35" s="57" t="s">
        <v>1584</v>
      </c>
      <c r="B35" s="57" t="s">
        <v>1585</v>
      </c>
      <c r="C35" s="57" t="s">
        <v>1152</v>
      </c>
      <c r="D35" s="57"/>
      <c r="E35" s="57"/>
      <c r="F35" s="57"/>
    </row>
    <row r="36" spans="1:6" ht="25.5">
      <c r="A36" s="55" t="s">
        <v>1586</v>
      </c>
      <c r="B36" s="55" t="s">
        <v>1587</v>
      </c>
      <c r="C36" s="55" t="s">
        <v>1148</v>
      </c>
      <c r="D36" s="55"/>
      <c r="E36" s="55"/>
      <c r="F36" s="55"/>
    </row>
    <row r="37" spans="1:6" ht="25.5">
      <c r="A37" s="57" t="s">
        <v>1588</v>
      </c>
      <c r="B37" s="57" t="s">
        <v>1589</v>
      </c>
      <c r="C37" s="57" t="s">
        <v>1152</v>
      </c>
      <c r="D37" s="57"/>
      <c r="E37" s="57"/>
      <c r="F37" s="57"/>
    </row>
    <row r="39" spans="1:6" ht="15">
      <c r="A39" s="113" t="s">
        <v>1605</v>
      </c>
      <c r="B39" s="113"/>
      <c r="C39" s="113"/>
      <c r="D39" s="113"/>
      <c r="E39" s="113"/>
    </row>
    <row r="40" spans="1:6">
      <c r="A40" s="14" t="s">
        <v>1516</v>
      </c>
      <c r="B40" s="14" t="s">
        <v>1606</v>
      </c>
      <c r="C40" s="14" t="s">
        <v>1607</v>
      </c>
      <c r="D40" s="14" t="s">
        <v>1608</v>
      </c>
      <c r="E40" s="14" t="s">
        <v>250</v>
      </c>
    </row>
    <row r="41" spans="1:6">
      <c r="A41" s="69" t="s">
        <v>1552</v>
      </c>
      <c r="B41" s="69" t="s">
        <v>1609</v>
      </c>
      <c r="C41" s="69" t="s">
        <v>154</v>
      </c>
      <c r="D41" s="69">
        <v>4</v>
      </c>
      <c r="E41" s="69" t="s">
        <v>1563</v>
      </c>
    </row>
    <row r="42" spans="1:6">
      <c r="A42" s="70" t="s">
        <v>1552</v>
      </c>
      <c r="B42" s="70" t="s">
        <v>1610</v>
      </c>
      <c r="C42" s="70" t="s">
        <v>1611</v>
      </c>
      <c r="D42" s="70">
        <v>2</v>
      </c>
      <c r="E42" s="70" t="s">
        <v>1563</v>
      </c>
    </row>
    <row r="43" spans="1:6">
      <c r="A43" s="69" t="s">
        <v>1552</v>
      </c>
      <c r="B43" s="69" t="s">
        <v>582</v>
      </c>
      <c r="C43" s="69" t="s">
        <v>1612</v>
      </c>
      <c r="D43" s="69">
        <v>1</v>
      </c>
      <c r="E43" s="69" t="s">
        <v>1563</v>
      </c>
    </row>
    <row r="44" spans="1:6">
      <c r="A44" s="70" t="s">
        <v>1552</v>
      </c>
      <c r="B44" s="70" t="s">
        <v>1613</v>
      </c>
      <c r="C44" s="70" t="s">
        <v>1614</v>
      </c>
      <c r="D44" s="70">
        <v>1</v>
      </c>
      <c r="E44" s="70" t="s">
        <v>1563</v>
      </c>
    </row>
    <row r="45" spans="1:6">
      <c r="A45" s="69" t="s">
        <v>1552</v>
      </c>
      <c r="B45" s="69" t="s">
        <v>1615</v>
      </c>
      <c r="C45" s="69" t="s">
        <v>1616</v>
      </c>
      <c r="D45" s="69">
        <v>30</v>
      </c>
      <c r="E45" s="69" t="s">
        <v>1563</v>
      </c>
    </row>
    <row r="46" spans="1:6">
      <c r="A46" s="70" t="s">
        <v>1552</v>
      </c>
      <c r="B46" s="70" t="s">
        <v>1617</v>
      </c>
      <c r="C46" s="70" t="s">
        <v>1618</v>
      </c>
      <c r="D46" s="70">
        <v>1</v>
      </c>
      <c r="E46" s="70" t="s">
        <v>1563</v>
      </c>
    </row>
    <row r="47" spans="1:6">
      <c r="A47" s="69" t="s">
        <v>1552</v>
      </c>
      <c r="B47" s="69" t="s">
        <v>1619</v>
      </c>
      <c r="C47" s="69" t="s">
        <v>804</v>
      </c>
      <c r="D47" s="69">
        <v>1</v>
      </c>
      <c r="E47" s="69" t="s">
        <v>1563</v>
      </c>
    </row>
    <row r="48" spans="1:6">
      <c r="A48" s="70" t="s">
        <v>1552</v>
      </c>
      <c r="B48" s="70" t="s">
        <v>1620</v>
      </c>
      <c r="C48" s="70" t="s">
        <v>804</v>
      </c>
      <c r="D48" s="70">
        <v>1</v>
      </c>
      <c r="E48" s="70" t="s">
        <v>1563</v>
      </c>
    </row>
    <row r="49" spans="1:5">
      <c r="A49" s="69" t="s">
        <v>1552</v>
      </c>
      <c r="B49" s="69" t="s">
        <v>311</v>
      </c>
      <c r="C49" s="69" t="s">
        <v>804</v>
      </c>
      <c r="D49" s="69">
        <v>1</v>
      </c>
      <c r="E49" s="69" t="s">
        <v>1563</v>
      </c>
    </row>
    <row r="50" spans="1:5">
      <c r="A50" s="70" t="s">
        <v>1553</v>
      </c>
      <c r="B50" s="70" t="s">
        <v>1621</v>
      </c>
      <c r="C50" s="70" t="s">
        <v>1622</v>
      </c>
      <c r="D50" s="70">
        <v>1</v>
      </c>
      <c r="E50" s="70" t="s">
        <v>1563</v>
      </c>
    </row>
    <row r="51" spans="1:5">
      <c r="A51" s="69" t="s">
        <v>1553</v>
      </c>
      <c r="B51" s="69" t="s">
        <v>589</v>
      </c>
      <c r="C51" s="69" t="s">
        <v>1623</v>
      </c>
      <c r="D51" s="69">
        <v>1</v>
      </c>
      <c r="E51" s="69" t="s">
        <v>1563</v>
      </c>
    </row>
    <row r="52" spans="1:5">
      <c r="A52" s="70" t="s">
        <v>1553</v>
      </c>
      <c r="B52" s="70" t="s">
        <v>589</v>
      </c>
      <c r="C52" s="70" t="s">
        <v>1624</v>
      </c>
      <c r="D52" s="70">
        <v>1</v>
      </c>
      <c r="E52" s="70" t="s">
        <v>1563</v>
      </c>
    </row>
    <row r="53" spans="1:5">
      <c r="A53" s="69" t="s">
        <v>1553</v>
      </c>
      <c r="B53" s="69" t="s">
        <v>589</v>
      </c>
      <c r="C53" s="69" t="s">
        <v>1625</v>
      </c>
      <c r="D53" s="69">
        <v>1</v>
      </c>
      <c r="E53" s="69" t="s">
        <v>1563</v>
      </c>
    </row>
    <row r="54" spans="1:5">
      <c r="A54" s="70" t="s">
        <v>1553</v>
      </c>
      <c r="B54" s="70" t="s">
        <v>559</v>
      </c>
      <c r="C54" s="70" t="s">
        <v>804</v>
      </c>
      <c r="D54" s="70">
        <v>1</v>
      </c>
      <c r="E54" s="70" t="s">
        <v>1563</v>
      </c>
    </row>
    <row r="55" spans="1:5">
      <c r="A55" s="69" t="s">
        <v>1553</v>
      </c>
      <c r="B55" s="69" t="s">
        <v>1626</v>
      </c>
      <c r="C55" s="69" t="s">
        <v>1627</v>
      </c>
      <c r="D55" s="69">
        <v>1</v>
      </c>
      <c r="E55" s="69" t="s">
        <v>1563</v>
      </c>
    </row>
    <row r="56" spans="1:5">
      <c r="A56" s="70" t="s">
        <v>1553</v>
      </c>
      <c r="B56" s="70" t="s">
        <v>1628</v>
      </c>
      <c r="C56" s="70" t="s">
        <v>1629</v>
      </c>
      <c r="D56" s="70">
        <v>1</v>
      </c>
      <c r="E56" s="70" t="s">
        <v>1563</v>
      </c>
    </row>
    <row r="57" spans="1:5">
      <c r="A57" s="69" t="s">
        <v>1553</v>
      </c>
      <c r="B57" s="69" t="s">
        <v>1630</v>
      </c>
      <c r="C57" s="69" t="s">
        <v>1631</v>
      </c>
      <c r="D57" s="69">
        <v>1</v>
      </c>
      <c r="E57" s="69" t="s">
        <v>1563</v>
      </c>
    </row>
    <row r="58" spans="1:5">
      <c r="A58" s="70" t="s">
        <v>1553</v>
      </c>
      <c r="B58" s="70" t="s">
        <v>1632</v>
      </c>
      <c r="C58" s="70" t="s">
        <v>804</v>
      </c>
      <c r="D58" s="70">
        <v>1</v>
      </c>
      <c r="E58" s="70" t="s">
        <v>1563</v>
      </c>
    </row>
    <row r="59" spans="1:5">
      <c r="A59" s="69" t="s">
        <v>1553</v>
      </c>
      <c r="B59" s="69" t="s">
        <v>1633</v>
      </c>
      <c r="C59" s="69" t="s">
        <v>1634</v>
      </c>
      <c r="D59" s="69">
        <v>1</v>
      </c>
      <c r="E59" s="69" t="s">
        <v>1563</v>
      </c>
    </row>
    <row r="60" spans="1:5">
      <c r="A60" s="70" t="s">
        <v>1553</v>
      </c>
      <c r="B60" s="70" t="s">
        <v>1633</v>
      </c>
      <c r="C60" s="70" t="s">
        <v>804</v>
      </c>
      <c r="D60" s="70">
        <v>1</v>
      </c>
      <c r="E60" s="70" t="s">
        <v>1563</v>
      </c>
    </row>
    <row r="61" spans="1:5">
      <c r="A61" s="69" t="s">
        <v>1553</v>
      </c>
      <c r="B61" s="69" t="s">
        <v>1635</v>
      </c>
      <c r="C61" s="69" t="s">
        <v>1636</v>
      </c>
      <c r="D61" s="69">
        <v>1</v>
      </c>
      <c r="E61" s="69" t="s">
        <v>1563</v>
      </c>
    </row>
    <row r="62" spans="1:5">
      <c r="A62" s="70" t="s">
        <v>1553</v>
      </c>
      <c r="B62" s="70" t="s">
        <v>1635</v>
      </c>
      <c r="C62" s="70" t="s">
        <v>1637</v>
      </c>
      <c r="D62" s="70">
        <v>1</v>
      </c>
      <c r="E62" s="70" t="s">
        <v>1563</v>
      </c>
    </row>
    <row r="63" spans="1:5">
      <c r="A63" s="69" t="s">
        <v>1553</v>
      </c>
      <c r="B63" s="69" t="s">
        <v>1635</v>
      </c>
      <c r="C63" s="69" t="s">
        <v>1638</v>
      </c>
      <c r="D63" s="69">
        <v>1</v>
      </c>
      <c r="E63" s="69" t="s">
        <v>1563</v>
      </c>
    </row>
    <row r="64" spans="1:5">
      <c r="A64" s="70" t="s">
        <v>1553</v>
      </c>
      <c r="B64" s="70" t="s">
        <v>1635</v>
      </c>
      <c r="C64" s="70" t="s">
        <v>1639</v>
      </c>
      <c r="D64" s="70">
        <v>2</v>
      </c>
      <c r="E64" s="70" t="s">
        <v>1563</v>
      </c>
    </row>
    <row r="65" spans="1:5">
      <c r="A65" s="69" t="s">
        <v>1553</v>
      </c>
      <c r="B65" s="69" t="s">
        <v>1635</v>
      </c>
      <c r="C65" s="69" t="s">
        <v>1640</v>
      </c>
      <c r="D65" s="69">
        <v>3</v>
      </c>
      <c r="E65" s="69" t="s">
        <v>1563</v>
      </c>
    </row>
    <row r="66" spans="1:5">
      <c r="A66" s="70" t="s">
        <v>1553</v>
      </c>
      <c r="B66" s="70" t="s">
        <v>1641</v>
      </c>
      <c r="C66" s="70" t="s">
        <v>1642</v>
      </c>
      <c r="D66" s="70">
        <v>3</v>
      </c>
      <c r="E66" s="70" t="s">
        <v>1563</v>
      </c>
    </row>
    <row r="67" spans="1:5">
      <c r="A67" s="69" t="s">
        <v>1553</v>
      </c>
      <c r="B67" s="69" t="s">
        <v>1643</v>
      </c>
      <c r="C67" s="69" t="s">
        <v>804</v>
      </c>
      <c r="D67" s="69">
        <v>1</v>
      </c>
      <c r="E67" s="69" t="s">
        <v>1563</v>
      </c>
    </row>
    <row r="68" spans="1:5">
      <c r="A68" s="70" t="s">
        <v>1553</v>
      </c>
      <c r="B68" s="70" t="s">
        <v>1644</v>
      </c>
      <c r="C68" s="70" t="s">
        <v>804</v>
      </c>
      <c r="D68" s="70">
        <v>1</v>
      </c>
      <c r="E68" s="70" t="s">
        <v>1563</v>
      </c>
    </row>
    <row r="69" spans="1:5">
      <c r="A69" s="69" t="s">
        <v>1553</v>
      </c>
      <c r="B69" s="69" t="s">
        <v>1645</v>
      </c>
      <c r="C69" s="69" t="s">
        <v>1646</v>
      </c>
      <c r="D69" s="69">
        <v>1</v>
      </c>
      <c r="E69" s="69" t="s">
        <v>1563</v>
      </c>
    </row>
    <row r="70" spans="1:5">
      <c r="A70" s="70" t="s">
        <v>1553</v>
      </c>
      <c r="B70" s="70" t="s">
        <v>1645</v>
      </c>
      <c r="C70" s="70" t="s">
        <v>1647</v>
      </c>
      <c r="D70" s="70">
        <v>1</v>
      </c>
      <c r="E70" s="70" t="s">
        <v>1563</v>
      </c>
    </row>
    <row r="71" spans="1:5">
      <c r="A71" s="69" t="s">
        <v>1553</v>
      </c>
      <c r="B71" s="69" t="s">
        <v>1645</v>
      </c>
      <c r="C71" s="69" t="s">
        <v>91</v>
      </c>
      <c r="D71" s="69">
        <v>1</v>
      </c>
      <c r="E71" s="69" t="s">
        <v>1563</v>
      </c>
    </row>
    <row r="72" spans="1:5">
      <c r="A72" s="70" t="s">
        <v>1553</v>
      </c>
      <c r="B72" s="70" t="s">
        <v>289</v>
      </c>
      <c r="C72" s="70" t="s">
        <v>1648</v>
      </c>
      <c r="D72" s="70">
        <v>1</v>
      </c>
      <c r="E72" s="70" t="s">
        <v>1563</v>
      </c>
    </row>
    <row r="73" spans="1:5">
      <c r="A73" s="69" t="s">
        <v>1553</v>
      </c>
      <c r="B73" s="69" t="s">
        <v>289</v>
      </c>
      <c r="C73" s="69" t="s">
        <v>1649</v>
      </c>
      <c r="D73" s="69">
        <v>1</v>
      </c>
      <c r="E73" s="69" t="s">
        <v>1563</v>
      </c>
    </row>
    <row r="74" spans="1:5">
      <c r="A74" s="70" t="s">
        <v>1553</v>
      </c>
      <c r="B74" s="70" t="s">
        <v>289</v>
      </c>
      <c r="C74" s="70" t="s">
        <v>1650</v>
      </c>
      <c r="D74" s="70">
        <v>1</v>
      </c>
      <c r="E74" s="70" t="s">
        <v>1563</v>
      </c>
    </row>
    <row r="75" spans="1:5">
      <c r="A75" s="69" t="s">
        <v>1553</v>
      </c>
      <c r="B75" s="69" t="s">
        <v>289</v>
      </c>
      <c r="C75" s="69" t="s">
        <v>628</v>
      </c>
      <c r="D75" s="69">
        <v>1</v>
      </c>
      <c r="E75" s="69" t="s">
        <v>1563</v>
      </c>
    </row>
    <row r="76" spans="1:5">
      <c r="A76" s="70" t="s">
        <v>1553</v>
      </c>
      <c r="B76" s="70" t="s">
        <v>289</v>
      </c>
      <c r="C76" s="70" t="s">
        <v>1651</v>
      </c>
      <c r="D76" s="70">
        <v>1</v>
      </c>
      <c r="E76" s="70" t="s">
        <v>1563</v>
      </c>
    </row>
    <row r="77" spans="1:5">
      <c r="A77" s="69" t="s">
        <v>1553</v>
      </c>
      <c r="B77" s="69" t="s">
        <v>289</v>
      </c>
      <c r="C77" s="69" t="s">
        <v>1652</v>
      </c>
      <c r="D77" s="69">
        <v>1</v>
      </c>
      <c r="E77" s="69" t="s">
        <v>1563</v>
      </c>
    </row>
    <row r="78" spans="1:5">
      <c r="A78" s="70" t="s">
        <v>1553</v>
      </c>
      <c r="B78" s="70" t="s">
        <v>289</v>
      </c>
      <c r="C78" s="70" t="s">
        <v>1653</v>
      </c>
      <c r="D78" s="70">
        <v>1</v>
      </c>
      <c r="E78" s="70" t="s">
        <v>1563</v>
      </c>
    </row>
    <row r="79" spans="1:5">
      <c r="A79" s="69" t="s">
        <v>1553</v>
      </c>
      <c r="B79" s="69" t="s">
        <v>289</v>
      </c>
      <c r="C79" s="69" t="s">
        <v>1654</v>
      </c>
      <c r="D79" s="69">
        <v>1</v>
      </c>
      <c r="E79" s="69" t="s">
        <v>1563</v>
      </c>
    </row>
    <row r="80" spans="1:5">
      <c r="A80" s="70" t="s">
        <v>1553</v>
      </c>
      <c r="B80" s="70" t="s">
        <v>289</v>
      </c>
      <c r="C80" s="70" t="s">
        <v>1655</v>
      </c>
      <c r="D80" s="70">
        <v>1</v>
      </c>
      <c r="E80" s="70" t="s">
        <v>1563</v>
      </c>
    </row>
    <row r="81" spans="1:5">
      <c r="A81" s="69" t="s">
        <v>1553</v>
      </c>
      <c r="B81" s="69" t="s">
        <v>289</v>
      </c>
      <c r="C81" s="69" t="s">
        <v>1656</v>
      </c>
      <c r="D81" s="69">
        <v>1</v>
      </c>
      <c r="E81" s="69" t="s">
        <v>1563</v>
      </c>
    </row>
    <row r="82" spans="1:5">
      <c r="A82" s="70" t="s">
        <v>1554</v>
      </c>
      <c r="B82" s="70" t="s">
        <v>1657</v>
      </c>
      <c r="C82" s="70" t="s">
        <v>804</v>
      </c>
      <c r="D82" s="70">
        <v>1</v>
      </c>
      <c r="E82" s="70" t="s">
        <v>1563</v>
      </c>
    </row>
    <row r="83" spans="1:5">
      <c r="A83" s="69" t="s">
        <v>1554</v>
      </c>
      <c r="B83" s="69" t="s">
        <v>1658</v>
      </c>
      <c r="C83" s="69" t="s">
        <v>804</v>
      </c>
      <c r="D83" s="69">
        <v>1</v>
      </c>
      <c r="E83" s="69" t="s">
        <v>1563</v>
      </c>
    </row>
    <row r="84" spans="1:5">
      <c r="A84" s="70" t="s">
        <v>1554</v>
      </c>
      <c r="B84" s="70" t="s">
        <v>1659</v>
      </c>
      <c r="C84" s="70" t="s">
        <v>1660</v>
      </c>
      <c r="D84" s="70">
        <v>2</v>
      </c>
      <c r="E84" s="70" t="s">
        <v>1563</v>
      </c>
    </row>
    <row r="85" spans="1:5">
      <c r="A85" s="69" t="s">
        <v>1556</v>
      </c>
      <c r="B85" s="69" t="s">
        <v>1661</v>
      </c>
      <c r="C85" s="69" t="s">
        <v>1662</v>
      </c>
      <c r="D85" s="69">
        <v>1</v>
      </c>
      <c r="E85" s="69" t="s">
        <v>1563</v>
      </c>
    </row>
    <row r="86" spans="1:5">
      <c r="A86" s="70" t="s">
        <v>1556</v>
      </c>
      <c r="B86" s="70" t="s">
        <v>1663</v>
      </c>
      <c r="C86" s="70" t="s">
        <v>1664</v>
      </c>
      <c r="D86" s="70">
        <v>1</v>
      </c>
      <c r="E86" s="70" t="s">
        <v>1563</v>
      </c>
    </row>
    <row r="87" spans="1:5" ht="38.25">
      <c r="A87" s="69" t="s">
        <v>1556</v>
      </c>
      <c r="B87" s="69" t="s">
        <v>1665</v>
      </c>
      <c r="C87" s="55" t="s">
        <v>1666</v>
      </c>
      <c r="D87" s="69">
        <v>6</v>
      </c>
      <c r="E87" s="69" t="s">
        <v>1563</v>
      </c>
    </row>
    <row r="88" spans="1:5">
      <c r="A88" s="70" t="s">
        <v>1556</v>
      </c>
      <c r="B88" s="70" t="s">
        <v>576</v>
      </c>
      <c r="C88" s="70" t="s">
        <v>804</v>
      </c>
      <c r="D88" s="70">
        <v>1</v>
      </c>
      <c r="E88" s="70" t="s">
        <v>1563</v>
      </c>
    </row>
    <row r="89" spans="1:5">
      <c r="A89" s="69" t="s">
        <v>1556</v>
      </c>
      <c r="B89" s="69" t="s">
        <v>1667</v>
      </c>
      <c r="C89" s="69" t="s">
        <v>257</v>
      </c>
      <c r="D89" s="69">
        <v>4</v>
      </c>
      <c r="E89" s="69" t="s">
        <v>1563</v>
      </c>
    </row>
    <row r="90" spans="1:5">
      <c r="A90" s="70" t="s">
        <v>184</v>
      </c>
      <c r="B90" s="70" t="s">
        <v>1668</v>
      </c>
      <c r="C90" s="70" t="s">
        <v>804</v>
      </c>
      <c r="D90" s="70">
        <v>1</v>
      </c>
      <c r="E90" s="70" t="s">
        <v>1563</v>
      </c>
    </row>
    <row r="91" spans="1:5">
      <c r="A91" s="69" t="s">
        <v>184</v>
      </c>
      <c r="B91" s="69" t="s">
        <v>1669</v>
      </c>
      <c r="C91" s="69" t="s">
        <v>804</v>
      </c>
      <c r="D91" s="69">
        <v>1</v>
      </c>
      <c r="E91" s="69" t="s">
        <v>1563</v>
      </c>
    </row>
    <row r="92" spans="1:5">
      <c r="A92" s="70" t="s">
        <v>184</v>
      </c>
      <c r="B92" s="70" t="s">
        <v>1670</v>
      </c>
      <c r="C92" s="70" t="s">
        <v>804</v>
      </c>
      <c r="D92" s="70">
        <v>1</v>
      </c>
      <c r="E92" s="70" t="s">
        <v>1563</v>
      </c>
    </row>
    <row r="93" spans="1:5">
      <c r="A93" s="69" t="s">
        <v>184</v>
      </c>
      <c r="B93" s="69" t="s">
        <v>571</v>
      </c>
      <c r="C93" s="69" t="s">
        <v>1553</v>
      </c>
      <c r="D93" s="69">
        <v>1</v>
      </c>
      <c r="E93" s="69" t="s">
        <v>1563</v>
      </c>
    </row>
    <row r="94" spans="1:5">
      <c r="A94" s="70" t="s">
        <v>184</v>
      </c>
      <c r="B94" s="70" t="s">
        <v>571</v>
      </c>
      <c r="C94" s="70" t="s">
        <v>1671</v>
      </c>
      <c r="D94" s="70">
        <v>1</v>
      </c>
      <c r="E94" s="70" t="s">
        <v>1563</v>
      </c>
    </row>
    <row r="95" spans="1:5">
      <c r="A95" s="69" t="s">
        <v>184</v>
      </c>
      <c r="B95" s="69" t="s">
        <v>571</v>
      </c>
      <c r="C95" s="69" t="s">
        <v>1672</v>
      </c>
      <c r="D95" s="69">
        <v>1</v>
      </c>
      <c r="E95" s="69" t="s">
        <v>1563</v>
      </c>
    </row>
    <row r="96" spans="1:5">
      <c r="A96" s="70" t="s">
        <v>184</v>
      </c>
      <c r="B96" s="70" t="s">
        <v>571</v>
      </c>
      <c r="C96" s="70" t="s">
        <v>666</v>
      </c>
      <c r="D96" s="70">
        <v>1</v>
      </c>
      <c r="E96" s="70" t="s">
        <v>1563</v>
      </c>
    </row>
    <row r="97" spans="1:5">
      <c r="A97" s="69" t="s">
        <v>184</v>
      </c>
      <c r="B97" s="69" t="s">
        <v>571</v>
      </c>
      <c r="C97" s="69" t="s">
        <v>600</v>
      </c>
      <c r="D97" s="69">
        <v>1</v>
      </c>
      <c r="E97" s="69" t="s">
        <v>1563</v>
      </c>
    </row>
    <row r="98" spans="1:5">
      <c r="A98" s="70" t="s">
        <v>184</v>
      </c>
      <c r="B98" s="70" t="s">
        <v>571</v>
      </c>
      <c r="C98" s="70" t="s">
        <v>1673</v>
      </c>
      <c r="D98" s="70">
        <v>1</v>
      </c>
      <c r="E98" s="70" t="s">
        <v>1563</v>
      </c>
    </row>
    <row r="99" spans="1:5">
      <c r="A99" s="69" t="s">
        <v>184</v>
      </c>
      <c r="B99" s="69" t="s">
        <v>571</v>
      </c>
      <c r="C99" s="69" t="s">
        <v>1674</v>
      </c>
      <c r="D99" s="69">
        <v>4</v>
      </c>
      <c r="E99" s="69" t="s">
        <v>1563</v>
      </c>
    </row>
    <row r="100" spans="1:5">
      <c r="A100" s="70" t="s">
        <v>184</v>
      </c>
      <c r="B100" s="70" t="s">
        <v>1675</v>
      </c>
      <c r="C100" s="70" t="s">
        <v>1676</v>
      </c>
      <c r="D100" s="70">
        <v>2</v>
      </c>
      <c r="E100" s="70" t="s">
        <v>1563</v>
      </c>
    </row>
    <row r="101" spans="1:5">
      <c r="A101" s="69" t="s">
        <v>184</v>
      </c>
      <c r="B101" s="69" t="s">
        <v>1675</v>
      </c>
      <c r="C101" s="69" t="s">
        <v>1677</v>
      </c>
      <c r="D101" s="69">
        <v>3</v>
      </c>
      <c r="E101" s="69" t="s">
        <v>1563</v>
      </c>
    </row>
    <row r="102" spans="1:5">
      <c r="A102" s="114" t="s">
        <v>1572</v>
      </c>
      <c r="B102" s="114" t="s">
        <v>1678</v>
      </c>
      <c r="C102" s="114" t="s">
        <v>1679</v>
      </c>
      <c r="D102" s="114">
        <v>3</v>
      </c>
      <c r="E102" s="114" t="s">
        <v>1575</v>
      </c>
    </row>
    <row r="103" spans="1:5">
      <c r="A103" s="114" t="s">
        <v>1572</v>
      </c>
      <c r="B103" s="114" t="s">
        <v>1680</v>
      </c>
      <c r="C103" s="114" t="s">
        <v>1681</v>
      </c>
      <c r="D103" s="114">
        <v>4</v>
      </c>
      <c r="E103" s="114" t="s">
        <v>1575</v>
      </c>
    </row>
    <row r="104" spans="1:5">
      <c r="A104" s="114" t="s">
        <v>1572</v>
      </c>
      <c r="B104" s="114" t="s">
        <v>1682</v>
      </c>
      <c r="C104" s="114" t="s">
        <v>804</v>
      </c>
      <c r="D104" s="114">
        <v>5</v>
      </c>
      <c r="E104" s="114" t="s">
        <v>1575</v>
      </c>
    </row>
    <row r="105" spans="1:5">
      <c r="A105" s="114" t="s">
        <v>1572</v>
      </c>
      <c r="B105" s="114" t="s">
        <v>1683</v>
      </c>
      <c r="C105" s="114" t="s">
        <v>1684</v>
      </c>
      <c r="D105" s="114">
        <v>4</v>
      </c>
      <c r="E105" s="114" t="s">
        <v>1575</v>
      </c>
    </row>
    <row r="106" spans="1:5">
      <c r="A106" s="114" t="s">
        <v>1572</v>
      </c>
      <c r="B106" s="114" t="s">
        <v>1685</v>
      </c>
      <c r="C106" s="114" t="s">
        <v>1686</v>
      </c>
      <c r="D106" s="114">
        <v>5</v>
      </c>
      <c r="E106" s="114" t="s">
        <v>1575</v>
      </c>
    </row>
  </sheetData>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A079-3F30-4662-B88D-A682B53C6971}">
  <sheetPr>
    <pageSetUpPr fitToPage="1"/>
  </sheetPr>
  <dimension ref="A1:F1002"/>
  <sheetViews>
    <sheetView topLeftCell="C51" workbookViewId="0">
      <selection activeCell="I56" sqref="I56"/>
    </sheetView>
  </sheetViews>
  <sheetFormatPr defaultColWidth="14.42578125" defaultRowHeight="15" customHeight="1"/>
  <cols>
    <col min="1" max="1" width="7.7109375" style="118" customWidth="1"/>
    <col min="2" max="2" width="23.5703125" style="118" customWidth="1"/>
    <col min="3" max="3" width="43.5703125" style="118" customWidth="1"/>
    <col min="4" max="4" width="52.7109375" style="118" customWidth="1"/>
    <col min="5" max="5" width="14.42578125" style="118" customWidth="1"/>
    <col min="6" max="26" width="8.7109375" style="118" customWidth="1"/>
    <col min="27" max="16384" width="14.42578125" style="118"/>
  </cols>
  <sheetData>
    <row r="1" spans="1:6" ht="16.5" customHeight="1">
      <c r="A1" s="115"/>
      <c r="B1" s="116"/>
      <c r="C1" s="117" t="s">
        <v>1687</v>
      </c>
      <c r="E1" s="119"/>
      <c r="F1" s="118" t="s">
        <v>1688</v>
      </c>
    </row>
    <row r="2" spans="1:6" ht="16.5" customHeight="1">
      <c r="A2" s="115"/>
      <c r="B2" s="116"/>
      <c r="C2" s="117" t="s">
        <v>1689</v>
      </c>
      <c r="D2" s="115" t="s">
        <v>1690</v>
      </c>
      <c r="E2" s="115"/>
    </row>
    <row r="3" spans="1:6" ht="16.5" customHeight="1">
      <c r="A3" s="115"/>
      <c r="B3" s="116"/>
      <c r="C3" s="120" t="s">
        <v>1691</v>
      </c>
      <c r="D3" s="115"/>
      <c r="E3" s="115"/>
    </row>
    <row r="4" spans="1:6" ht="16.5" customHeight="1">
      <c r="A4" s="115"/>
      <c r="B4" s="116" t="s">
        <v>1692</v>
      </c>
      <c r="C4" s="121" t="s">
        <v>1693</v>
      </c>
      <c r="D4" s="115"/>
      <c r="E4" s="115"/>
    </row>
    <row r="5" spans="1:6" ht="16.5" customHeight="1">
      <c r="A5" s="115"/>
      <c r="B5" s="116"/>
      <c r="C5" s="120"/>
      <c r="D5" s="115"/>
      <c r="E5" s="115"/>
    </row>
    <row r="6" spans="1:6" ht="16.5" customHeight="1">
      <c r="A6" s="122"/>
      <c r="B6" s="122" t="s">
        <v>1694</v>
      </c>
      <c r="C6" s="122" t="s">
        <v>1695</v>
      </c>
      <c r="D6" s="122" t="s">
        <v>96</v>
      </c>
      <c r="E6" s="122" t="s">
        <v>1696</v>
      </c>
    </row>
    <row r="7" spans="1:6" ht="16.5" customHeight="1">
      <c r="A7" s="122"/>
      <c r="B7" s="122"/>
      <c r="C7" s="122"/>
      <c r="D7" s="122"/>
      <c r="E7" s="122"/>
    </row>
    <row r="8" spans="1:6" ht="24" customHeight="1">
      <c r="A8" s="180" t="s">
        <v>1697</v>
      </c>
      <c r="B8" s="178"/>
      <c r="C8" s="178"/>
      <c r="D8" s="178"/>
      <c r="E8" s="179"/>
    </row>
    <row r="9" spans="1:6" ht="24" customHeight="1">
      <c r="A9" s="123"/>
      <c r="B9" s="124"/>
      <c r="C9" s="124"/>
      <c r="D9" s="124"/>
      <c r="E9" s="124"/>
    </row>
    <row r="10" spans="1:6" ht="16.5" customHeight="1">
      <c r="A10" s="125" t="s">
        <v>1698</v>
      </c>
      <c r="B10" s="126" t="s">
        <v>1699</v>
      </c>
      <c r="C10" s="126"/>
      <c r="D10" s="126" t="s">
        <v>1700</v>
      </c>
      <c r="E10" s="126"/>
    </row>
    <row r="11" spans="1:6" ht="16.5" customHeight="1">
      <c r="A11" s="125" t="s">
        <v>1698</v>
      </c>
      <c r="B11" s="126" t="s">
        <v>1699</v>
      </c>
      <c r="C11" s="126"/>
      <c r="D11" s="126" t="s">
        <v>1701</v>
      </c>
      <c r="E11" s="126"/>
    </row>
    <row r="12" spans="1:6" ht="16.5" customHeight="1">
      <c r="A12" s="125" t="s">
        <v>1698</v>
      </c>
      <c r="B12" s="126" t="s">
        <v>1699</v>
      </c>
      <c r="C12" s="126"/>
      <c r="D12" s="126" t="s">
        <v>1702</v>
      </c>
      <c r="E12" s="126"/>
    </row>
    <row r="13" spans="1:6" ht="16.5" customHeight="1">
      <c r="A13" s="181" t="s">
        <v>257</v>
      </c>
      <c r="B13" s="127" t="s">
        <v>1609</v>
      </c>
      <c r="C13" s="127" t="s">
        <v>154</v>
      </c>
      <c r="D13" s="127" t="s">
        <v>1703</v>
      </c>
      <c r="E13" s="128">
        <v>4</v>
      </c>
    </row>
    <row r="14" spans="1:6" ht="16.5" customHeight="1">
      <c r="A14" s="182"/>
      <c r="B14" s="127" t="s">
        <v>1610</v>
      </c>
      <c r="C14" s="127" t="s">
        <v>1611</v>
      </c>
      <c r="D14" s="127" t="s">
        <v>1704</v>
      </c>
      <c r="E14" s="128">
        <v>2</v>
      </c>
    </row>
    <row r="15" spans="1:6" ht="16.5" customHeight="1">
      <c r="A15" s="182"/>
      <c r="B15" s="127" t="s">
        <v>582</v>
      </c>
      <c r="C15" s="127" t="s">
        <v>1705</v>
      </c>
      <c r="D15" s="127" t="s">
        <v>1706</v>
      </c>
      <c r="E15" s="128">
        <v>1</v>
      </c>
    </row>
    <row r="16" spans="1:6" ht="16.5" customHeight="1">
      <c r="A16" s="182"/>
      <c r="B16" s="127" t="s">
        <v>1613</v>
      </c>
      <c r="C16" s="127" t="s">
        <v>1707</v>
      </c>
      <c r="D16" s="127"/>
      <c r="E16" s="128">
        <v>1</v>
      </c>
    </row>
    <row r="17" spans="1:5" ht="16.5" customHeight="1">
      <c r="A17" s="182"/>
      <c r="B17" s="127"/>
      <c r="C17" s="127"/>
      <c r="D17" s="127"/>
      <c r="E17" s="128"/>
    </row>
    <row r="18" spans="1:5" ht="16.5" customHeight="1">
      <c r="A18" s="182"/>
      <c r="B18" s="127"/>
      <c r="C18" s="127"/>
      <c r="D18" s="127"/>
      <c r="E18" s="128"/>
    </row>
    <row r="19" spans="1:5" ht="16.5" customHeight="1">
      <c r="A19" s="183"/>
      <c r="B19" s="129" t="s">
        <v>1615</v>
      </c>
      <c r="C19" s="129"/>
      <c r="D19" s="129" t="s">
        <v>1616</v>
      </c>
      <c r="E19" s="130">
        <v>30</v>
      </c>
    </row>
    <row r="20" spans="1:5" ht="16.5" customHeight="1">
      <c r="A20" s="131"/>
      <c r="B20" s="132" t="s">
        <v>1621</v>
      </c>
      <c r="C20" s="132"/>
      <c r="D20" s="132" t="s">
        <v>1622</v>
      </c>
      <c r="E20" s="131">
        <v>1</v>
      </c>
    </row>
    <row r="21" spans="1:5" ht="16.5" customHeight="1">
      <c r="A21" s="131"/>
      <c r="B21" s="132"/>
      <c r="C21" s="132"/>
      <c r="D21" s="133" t="s">
        <v>1708</v>
      </c>
      <c r="E21" s="131">
        <v>1</v>
      </c>
    </row>
    <row r="22" spans="1:5" ht="16.5" customHeight="1">
      <c r="A22" s="131"/>
      <c r="B22" s="132"/>
      <c r="C22" s="132"/>
      <c r="D22" s="132" t="s">
        <v>1709</v>
      </c>
      <c r="E22" s="131">
        <v>1</v>
      </c>
    </row>
    <row r="23" spans="1:5" ht="16.5" customHeight="1">
      <c r="A23" s="131"/>
      <c r="B23" s="132"/>
      <c r="C23" s="132"/>
      <c r="D23" s="132" t="s">
        <v>1710</v>
      </c>
      <c r="E23" s="131">
        <v>1</v>
      </c>
    </row>
    <row r="24" spans="1:5" ht="16.5" customHeight="1">
      <c r="A24" s="131"/>
      <c r="B24" s="132"/>
      <c r="C24" s="132"/>
      <c r="D24" s="132" t="s">
        <v>1711</v>
      </c>
      <c r="E24" s="131">
        <v>1</v>
      </c>
    </row>
    <row r="25" spans="1:5" ht="16.5" customHeight="1">
      <c r="A25" s="184" t="s">
        <v>1553</v>
      </c>
      <c r="B25" s="132" t="s">
        <v>589</v>
      </c>
      <c r="C25" s="132" t="s">
        <v>1623</v>
      </c>
      <c r="D25" s="132"/>
      <c r="E25" s="131">
        <v>1</v>
      </c>
    </row>
    <row r="26" spans="1:5" ht="16.5" customHeight="1">
      <c r="A26" s="182"/>
      <c r="B26" s="132"/>
      <c r="C26" s="132" t="s">
        <v>1624</v>
      </c>
      <c r="D26" s="132" t="s">
        <v>1627</v>
      </c>
      <c r="E26" s="131">
        <v>1</v>
      </c>
    </row>
    <row r="27" spans="1:5" ht="16.5" customHeight="1">
      <c r="A27" s="182"/>
      <c r="B27" s="132"/>
      <c r="C27" s="132"/>
      <c r="D27" s="132" t="s">
        <v>1625</v>
      </c>
      <c r="E27" s="131">
        <v>1</v>
      </c>
    </row>
    <row r="28" spans="1:5" ht="16.5" customHeight="1">
      <c r="A28" s="182"/>
      <c r="B28" s="132"/>
      <c r="C28" s="132"/>
      <c r="D28" s="132" t="s">
        <v>1712</v>
      </c>
      <c r="E28" s="131">
        <v>1</v>
      </c>
    </row>
    <row r="29" spans="1:5" ht="16.5" customHeight="1">
      <c r="A29" s="182"/>
      <c r="B29" s="132"/>
      <c r="C29" s="132"/>
      <c r="D29" s="132" t="s">
        <v>1713</v>
      </c>
      <c r="E29" s="131">
        <v>1</v>
      </c>
    </row>
    <row r="30" spans="1:5" ht="16.5" customHeight="1">
      <c r="A30" s="182"/>
      <c r="B30" s="132" t="s">
        <v>559</v>
      </c>
      <c r="C30" s="132"/>
      <c r="D30" s="132"/>
      <c r="E30" s="131">
        <v>1</v>
      </c>
    </row>
    <row r="31" spans="1:5" ht="16.5" customHeight="1">
      <c r="A31" s="182"/>
      <c r="B31" s="132" t="s">
        <v>1617</v>
      </c>
      <c r="C31" s="132" t="s">
        <v>1618</v>
      </c>
      <c r="D31" s="132" t="s">
        <v>1714</v>
      </c>
      <c r="E31" s="131">
        <v>1</v>
      </c>
    </row>
    <row r="32" spans="1:5" ht="16.5" customHeight="1">
      <c r="A32" s="182"/>
      <c r="B32" s="132" t="s">
        <v>1626</v>
      </c>
      <c r="C32" s="132"/>
      <c r="D32" s="132" t="s">
        <v>1627</v>
      </c>
      <c r="E32" s="131">
        <v>1</v>
      </c>
    </row>
    <row r="33" spans="1:5" ht="16.5" customHeight="1">
      <c r="A33" s="182"/>
      <c r="B33" s="132" t="s">
        <v>1628</v>
      </c>
      <c r="C33" s="132"/>
      <c r="D33" s="132" t="s">
        <v>1629</v>
      </c>
      <c r="E33" s="131">
        <v>1</v>
      </c>
    </row>
    <row r="34" spans="1:5" ht="16.5" customHeight="1">
      <c r="A34" s="182"/>
      <c r="B34" s="132" t="s">
        <v>1630</v>
      </c>
      <c r="C34" s="132"/>
      <c r="D34" s="132" t="s">
        <v>1631</v>
      </c>
      <c r="E34" s="131">
        <v>1</v>
      </c>
    </row>
    <row r="35" spans="1:5" ht="16.5" customHeight="1">
      <c r="A35" s="182"/>
      <c r="B35" s="132" t="s">
        <v>1632</v>
      </c>
      <c r="C35" s="132"/>
      <c r="D35" s="132"/>
      <c r="E35" s="131">
        <v>1</v>
      </c>
    </row>
    <row r="36" spans="1:5" ht="16.5" customHeight="1">
      <c r="A36" s="182"/>
      <c r="B36" s="132" t="s">
        <v>1633</v>
      </c>
      <c r="C36" s="132" t="s">
        <v>1634</v>
      </c>
      <c r="D36" s="132" t="s">
        <v>1715</v>
      </c>
      <c r="E36" s="131">
        <v>1</v>
      </c>
    </row>
    <row r="37" spans="1:5" ht="16.5" customHeight="1">
      <c r="A37" s="182"/>
      <c r="B37" s="132" t="s">
        <v>1716</v>
      </c>
      <c r="C37" s="132"/>
      <c r="D37" s="132"/>
      <c r="E37" s="131">
        <v>1</v>
      </c>
    </row>
    <row r="38" spans="1:5" ht="16.5" customHeight="1">
      <c r="A38" s="182"/>
      <c r="B38" s="132" t="s">
        <v>1619</v>
      </c>
      <c r="C38" s="132"/>
      <c r="D38" s="132"/>
      <c r="E38" s="131">
        <v>1</v>
      </c>
    </row>
    <row r="39" spans="1:5" ht="16.5" customHeight="1">
      <c r="A39" s="182"/>
      <c r="B39" s="132" t="s">
        <v>1717</v>
      </c>
      <c r="C39" s="132"/>
      <c r="D39" s="132"/>
      <c r="E39" s="131">
        <v>1</v>
      </c>
    </row>
    <row r="40" spans="1:5" ht="16.5" customHeight="1">
      <c r="A40" s="182"/>
      <c r="B40" s="132" t="s">
        <v>1635</v>
      </c>
      <c r="C40" s="132" t="s">
        <v>1636</v>
      </c>
      <c r="D40" s="132" t="s">
        <v>1718</v>
      </c>
      <c r="E40" s="131">
        <v>1</v>
      </c>
    </row>
    <row r="41" spans="1:5" ht="16.5" customHeight="1">
      <c r="A41" s="182"/>
      <c r="B41" s="132"/>
      <c r="C41" s="132" t="s">
        <v>1637</v>
      </c>
      <c r="D41" s="132" t="s">
        <v>1719</v>
      </c>
      <c r="E41" s="131">
        <v>1</v>
      </c>
    </row>
    <row r="42" spans="1:5" ht="16.5" customHeight="1">
      <c r="A42" s="182"/>
      <c r="B42" s="132"/>
      <c r="C42" s="132" t="s">
        <v>1638</v>
      </c>
      <c r="D42" s="132" t="s">
        <v>1720</v>
      </c>
      <c r="E42" s="131">
        <v>1</v>
      </c>
    </row>
    <row r="43" spans="1:5" ht="16.5" customHeight="1">
      <c r="A43" s="182"/>
      <c r="B43" s="132"/>
      <c r="C43" s="132"/>
      <c r="D43" s="132" t="s">
        <v>1639</v>
      </c>
      <c r="E43" s="131">
        <v>2</v>
      </c>
    </row>
    <row r="44" spans="1:5" ht="16.5" customHeight="1">
      <c r="A44" s="182"/>
      <c r="B44" s="132"/>
      <c r="C44" s="132"/>
      <c r="D44" s="132" t="s">
        <v>1721</v>
      </c>
      <c r="E44" s="131">
        <v>2</v>
      </c>
    </row>
    <row r="45" spans="1:5" ht="16.5" customHeight="1">
      <c r="A45" s="182"/>
      <c r="B45" s="134"/>
      <c r="C45" s="129" t="s">
        <v>1640</v>
      </c>
      <c r="D45" s="129" t="s">
        <v>1722</v>
      </c>
      <c r="E45" s="130">
        <v>3</v>
      </c>
    </row>
    <row r="46" spans="1:5" ht="16.5" customHeight="1">
      <c r="A46" s="182"/>
      <c r="B46" s="134" t="s">
        <v>1723</v>
      </c>
      <c r="C46" s="129" t="s">
        <v>1642</v>
      </c>
      <c r="D46" s="129" t="s">
        <v>1724</v>
      </c>
      <c r="E46" s="130">
        <v>3</v>
      </c>
    </row>
    <row r="47" spans="1:5" ht="16.5" customHeight="1">
      <c r="A47" s="182"/>
      <c r="B47" s="132"/>
      <c r="C47" s="132"/>
      <c r="D47" s="132" t="s">
        <v>1725</v>
      </c>
      <c r="E47" s="131"/>
    </row>
    <row r="48" spans="1:5" ht="16.5" customHeight="1">
      <c r="A48" s="182"/>
      <c r="B48" s="132"/>
      <c r="C48" s="132"/>
      <c r="D48" s="132"/>
      <c r="E48" s="131"/>
    </row>
    <row r="49" spans="1:5" ht="16.5" customHeight="1">
      <c r="A49" s="182"/>
      <c r="B49" s="132"/>
      <c r="C49" s="132"/>
      <c r="D49" s="132"/>
      <c r="E49" s="131"/>
    </row>
    <row r="50" spans="1:5" ht="16.5" customHeight="1">
      <c r="A50" s="182"/>
      <c r="B50" s="135" t="s">
        <v>1643</v>
      </c>
      <c r="C50" s="132"/>
      <c r="D50" s="132"/>
      <c r="E50" s="131">
        <v>1</v>
      </c>
    </row>
    <row r="51" spans="1:5" ht="16.5" customHeight="1">
      <c r="A51" s="182"/>
      <c r="B51" s="135" t="s">
        <v>1644</v>
      </c>
      <c r="C51" s="132"/>
      <c r="D51" s="132"/>
      <c r="E51" s="131">
        <v>1</v>
      </c>
    </row>
    <row r="52" spans="1:5" ht="16.5" customHeight="1">
      <c r="A52" s="182"/>
      <c r="B52" s="132" t="s">
        <v>1726</v>
      </c>
      <c r="C52" s="132" t="s">
        <v>1646</v>
      </c>
      <c r="D52" s="132"/>
      <c r="E52" s="131">
        <v>1</v>
      </c>
    </row>
    <row r="53" spans="1:5" ht="16.5" customHeight="1">
      <c r="A53" s="182"/>
      <c r="B53" s="132"/>
      <c r="C53" s="132" t="s">
        <v>1647</v>
      </c>
      <c r="D53" s="132"/>
      <c r="E53" s="131">
        <v>1</v>
      </c>
    </row>
    <row r="54" spans="1:5" ht="16.5" customHeight="1">
      <c r="A54" s="182"/>
      <c r="B54" s="132"/>
      <c r="C54" s="132" t="s">
        <v>91</v>
      </c>
      <c r="D54" s="132"/>
      <c r="E54" s="131">
        <v>1</v>
      </c>
    </row>
    <row r="55" spans="1:5" ht="16.5" customHeight="1">
      <c r="A55" s="182"/>
      <c r="B55" s="135" t="s">
        <v>1668</v>
      </c>
      <c r="C55" s="132"/>
      <c r="D55" s="132"/>
      <c r="E55" s="131">
        <v>1</v>
      </c>
    </row>
    <row r="56" spans="1:5" ht="16.5" customHeight="1">
      <c r="A56" s="182"/>
      <c r="B56" s="135" t="s">
        <v>1669</v>
      </c>
      <c r="C56" s="132"/>
      <c r="D56" s="132"/>
      <c r="E56" s="131">
        <v>1</v>
      </c>
    </row>
    <row r="57" spans="1:5" ht="16.5" customHeight="1">
      <c r="A57" s="183"/>
      <c r="B57" s="135" t="s">
        <v>1670</v>
      </c>
      <c r="C57" s="132"/>
      <c r="D57" s="132"/>
      <c r="E57" s="131">
        <v>1</v>
      </c>
    </row>
    <row r="58" spans="1:5" ht="16.5" customHeight="1">
      <c r="A58" s="184" t="s">
        <v>1554</v>
      </c>
      <c r="B58" s="136" t="s">
        <v>289</v>
      </c>
      <c r="C58" s="137"/>
      <c r="D58" s="137" t="s">
        <v>1648</v>
      </c>
      <c r="E58" s="138">
        <v>1</v>
      </c>
    </row>
    <row r="59" spans="1:5" ht="16.5" customHeight="1">
      <c r="A59" s="182"/>
      <c r="B59" s="139" t="s">
        <v>1657</v>
      </c>
      <c r="C59" s="132"/>
      <c r="D59" s="132"/>
      <c r="E59" s="131">
        <v>1</v>
      </c>
    </row>
    <row r="60" spans="1:5" ht="16.5" customHeight="1">
      <c r="A60" s="182"/>
      <c r="B60" s="140" t="s">
        <v>1727</v>
      </c>
      <c r="C60" s="137"/>
      <c r="D60" s="137"/>
      <c r="E60" s="138">
        <v>1</v>
      </c>
    </row>
    <row r="61" spans="1:5" ht="16.5" customHeight="1">
      <c r="A61" s="182"/>
      <c r="B61" s="140" t="s">
        <v>1728</v>
      </c>
      <c r="C61" s="137"/>
      <c r="D61" s="137" t="s">
        <v>1660</v>
      </c>
      <c r="E61" s="138">
        <v>2</v>
      </c>
    </row>
    <row r="62" spans="1:5" ht="16.5" customHeight="1">
      <c r="A62" s="182"/>
      <c r="B62" s="141" t="s">
        <v>1729</v>
      </c>
      <c r="C62" s="132"/>
      <c r="D62" s="132"/>
      <c r="E62" s="131">
        <v>1</v>
      </c>
    </row>
    <row r="63" spans="1:5" ht="16.5" customHeight="1">
      <c r="A63" s="182"/>
      <c r="B63" s="135" t="s">
        <v>1620</v>
      </c>
      <c r="C63" s="132"/>
      <c r="D63" s="132"/>
      <c r="E63" s="131">
        <v>1</v>
      </c>
    </row>
    <row r="64" spans="1:5" ht="16.5" customHeight="1">
      <c r="A64" s="183"/>
      <c r="B64" s="135" t="s">
        <v>311</v>
      </c>
      <c r="C64" s="132"/>
      <c r="D64" s="142"/>
      <c r="E64" s="131">
        <v>1</v>
      </c>
    </row>
    <row r="65" spans="1:6" ht="16.5" customHeight="1">
      <c r="A65" s="185" t="s">
        <v>1556</v>
      </c>
      <c r="B65" s="136" t="s">
        <v>289</v>
      </c>
      <c r="C65" s="137"/>
      <c r="D65" s="137" t="s">
        <v>1730</v>
      </c>
      <c r="E65" s="138">
        <v>1</v>
      </c>
    </row>
    <row r="66" spans="1:6" ht="16.5" customHeight="1">
      <c r="A66" s="182"/>
      <c r="B66" s="141" t="s">
        <v>1661</v>
      </c>
      <c r="C66" s="132"/>
      <c r="D66" s="132" t="s">
        <v>1662</v>
      </c>
      <c r="E66" s="131">
        <v>1</v>
      </c>
    </row>
    <row r="67" spans="1:6" ht="16.5" customHeight="1">
      <c r="A67" s="182"/>
      <c r="B67" s="135" t="s">
        <v>1663</v>
      </c>
      <c r="C67" s="132" t="s">
        <v>1664</v>
      </c>
      <c r="D67" s="132" t="s">
        <v>1731</v>
      </c>
      <c r="E67" s="131">
        <v>1</v>
      </c>
    </row>
    <row r="68" spans="1:6" ht="16.5" customHeight="1">
      <c r="A68" s="182"/>
      <c r="B68" s="135" t="s">
        <v>1665</v>
      </c>
      <c r="C68" s="132"/>
      <c r="D68" s="142" t="s">
        <v>1666</v>
      </c>
      <c r="E68" s="131">
        <v>6</v>
      </c>
    </row>
    <row r="69" spans="1:6" ht="16.5" customHeight="1">
      <c r="A69" s="182"/>
      <c r="B69" s="136" t="s">
        <v>576</v>
      </c>
      <c r="C69" s="137"/>
      <c r="D69" s="137"/>
      <c r="E69" s="138">
        <v>1</v>
      </c>
    </row>
    <row r="70" spans="1:6" ht="16.5" customHeight="1">
      <c r="A70" s="182"/>
      <c r="B70" s="135" t="s">
        <v>1716</v>
      </c>
      <c r="C70" s="132"/>
      <c r="D70" s="132"/>
      <c r="E70" s="131">
        <v>1</v>
      </c>
    </row>
    <row r="71" spans="1:6" ht="16.5" customHeight="1">
      <c r="A71" s="182"/>
      <c r="B71" s="135" t="s">
        <v>1620</v>
      </c>
      <c r="C71" s="132"/>
      <c r="D71" s="132"/>
      <c r="E71" s="131">
        <v>1</v>
      </c>
    </row>
    <row r="72" spans="1:6" ht="16.5" customHeight="1">
      <c r="A72" s="183"/>
      <c r="B72" s="135" t="s">
        <v>311</v>
      </c>
      <c r="C72" s="132"/>
      <c r="D72" s="142"/>
      <c r="E72" s="131">
        <v>1</v>
      </c>
    </row>
    <row r="73" spans="1:6" ht="16.5" customHeight="1">
      <c r="A73" s="186" t="s">
        <v>184</v>
      </c>
      <c r="B73" s="143" t="s">
        <v>289</v>
      </c>
      <c r="C73" s="144" t="s">
        <v>1732</v>
      </c>
      <c r="D73" s="144" t="s">
        <v>1733</v>
      </c>
      <c r="E73" s="145">
        <v>1</v>
      </c>
      <c r="F73" s="146"/>
    </row>
    <row r="74" spans="1:6" ht="16.5" customHeight="1">
      <c r="A74" s="182"/>
      <c r="B74" s="143"/>
      <c r="C74" s="144"/>
      <c r="D74" s="144" t="s">
        <v>1734</v>
      </c>
      <c r="E74" s="145">
        <v>1</v>
      </c>
      <c r="F74" s="146"/>
    </row>
    <row r="75" spans="1:6" ht="16.5" customHeight="1">
      <c r="A75" s="182"/>
      <c r="B75" s="143"/>
      <c r="C75" s="144"/>
      <c r="D75" s="144" t="s">
        <v>1735</v>
      </c>
      <c r="E75" s="145">
        <v>1</v>
      </c>
      <c r="F75" s="146"/>
    </row>
    <row r="76" spans="1:6" ht="16.5" customHeight="1">
      <c r="A76" s="182"/>
      <c r="B76" s="143"/>
      <c r="C76" s="144" t="s">
        <v>1650</v>
      </c>
      <c r="D76" s="144" t="s">
        <v>1733</v>
      </c>
      <c r="E76" s="145">
        <v>1</v>
      </c>
      <c r="F76" s="146"/>
    </row>
    <row r="77" spans="1:6" ht="16.5" customHeight="1">
      <c r="A77" s="182"/>
      <c r="B77" s="143"/>
      <c r="C77" s="144" t="s">
        <v>1736</v>
      </c>
      <c r="D77" s="144" t="s">
        <v>1734</v>
      </c>
      <c r="E77" s="145">
        <v>1</v>
      </c>
      <c r="F77" s="146"/>
    </row>
    <row r="78" spans="1:6" ht="16.5" customHeight="1">
      <c r="A78" s="182"/>
      <c r="B78" s="143"/>
      <c r="C78" s="144" t="s">
        <v>1651</v>
      </c>
      <c r="D78" s="144" t="s">
        <v>1737</v>
      </c>
      <c r="E78" s="145">
        <v>1</v>
      </c>
      <c r="F78" s="146"/>
    </row>
    <row r="79" spans="1:6" ht="16.5" customHeight="1">
      <c r="A79" s="182"/>
      <c r="B79" s="143"/>
      <c r="C79" s="144" t="s">
        <v>1735</v>
      </c>
      <c r="D79" s="144"/>
      <c r="E79" s="145">
        <v>1</v>
      </c>
      <c r="F79" s="146"/>
    </row>
    <row r="80" spans="1:6" ht="16.5" customHeight="1">
      <c r="A80" s="182"/>
      <c r="B80" s="143"/>
      <c r="C80" s="144" t="s">
        <v>1653</v>
      </c>
      <c r="D80" s="144" t="s">
        <v>1738</v>
      </c>
      <c r="E80" s="145">
        <v>1</v>
      </c>
      <c r="F80" s="146"/>
    </row>
    <row r="81" spans="1:6" ht="16.5" customHeight="1">
      <c r="A81" s="182"/>
      <c r="B81" s="143"/>
      <c r="C81" s="144"/>
      <c r="D81" s="144"/>
      <c r="E81" s="145">
        <v>1</v>
      </c>
      <c r="F81" s="146"/>
    </row>
    <row r="82" spans="1:6" ht="16.5" customHeight="1">
      <c r="A82" s="182"/>
      <c r="B82" s="143"/>
      <c r="C82" s="144" t="s">
        <v>1739</v>
      </c>
      <c r="D82" s="144"/>
      <c r="E82" s="145">
        <v>1</v>
      </c>
      <c r="F82" s="146"/>
    </row>
    <row r="83" spans="1:6" ht="16.5" customHeight="1">
      <c r="A83" s="182"/>
      <c r="B83" s="143"/>
      <c r="C83" s="144" t="s">
        <v>1737</v>
      </c>
      <c r="D83" s="144" t="s">
        <v>1740</v>
      </c>
      <c r="E83" s="145">
        <v>1</v>
      </c>
      <c r="F83" s="146"/>
    </row>
    <row r="84" spans="1:6" ht="16.5" customHeight="1">
      <c r="A84" s="182"/>
      <c r="B84" s="143"/>
      <c r="C84" s="144" t="s">
        <v>1656</v>
      </c>
      <c r="D84" s="144"/>
      <c r="E84" s="145">
        <v>1</v>
      </c>
      <c r="F84" s="146"/>
    </row>
    <row r="85" spans="1:6" ht="16.5" customHeight="1">
      <c r="A85" s="182"/>
      <c r="B85" s="143"/>
      <c r="C85" s="144"/>
      <c r="D85" s="144"/>
      <c r="E85" s="145">
        <v>1</v>
      </c>
      <c r="F85" s="146"/>
    </row>
    <row r="86" spans="1:6" ht="16.5" customHeight="1">
      <c r="A86" s="182"/>
      <c r="B86" s="143"/>
      <c r="C86" s="144"/>
      <c r="D86" s="144"/>
      <c r="E86" s="145">
        <v>1</v>
      </c>
      <c r="F86" s="146"/>
    </row>
    <row r="87" spans="1:6" ht="16.5" customHeight="1">
      <c r="A87" s="182"/>
      <c r="B87" s="143"/>
      <c r="C87" s="144"/>
      <c r="D87" s="144"/>
      <c r="E87" s="145">
        <v>1</v>
      </c>
      <c r="F87" s="146"/>
    </row>
    <row r="88" spans="1:6" ht="16.5" customHeight="1">
      <c r="A88" s="182"/>
      <c r="B88" s="143" t="s">
        <v>571</v>
      </c>
      <c r="C88" s="144" t="s">
        <v>1553</v>
      </c>
      <c r="D88" s="144" t="s">
        <v>1741</v>
      </c>
      <c r="E88" s="145">
        <v>1</v>
      </c>
      <c r="F88" s="146"/>
    </row>
    <row r="89" spans="1:6" ht="16.5" customHeight="1">
      <c r="A89" s="182"/>
      <c r="B89" s="143"/>
      <c r="C89" s="144"/>
      <c r="D89" s="144" t="s">
        <v>1671</v>
      </c>
      <c r="E89" s="145">
        <v>1</v>
      </c>
      <c r="F89" s="146"/>
    </row>
    <row r="90" spans="1:6" ht="16.5" customHeight="1">
      <c r="A90" s="182"/>
      <c r="B90" s="143"/>
      <c r="C90" s="144"/>
      <c r="D90" s="144" t="s">
        <v>1742</v>
      </c>
      <c r="E90" s="145">
        <v>1</v>
      </c>
      <c r="F90" s="146"/>
    </row>
    <row r="91" spans="1:6" ht="16.5" customHeight="1">
      <c r="A91" s="182"/>
      <c r="B91" s="143"/>
      <c r="C91" s="144" t="s">
        <v>1672</v>
      </c>
      <c r="D91" s="144" t="s">
        <v>1743</v>
      </c>
      <c r="E91" s="145">
        <v>1</v>
      </c>
      <c r="F91" s="146"/>
    </row>
    <row r="92" spans="1:6" ht="16.5" customHeight="1">
      <c r="A92" s="182"/>
      <c r="B92" s="143"/>
      <c r="C92" s="144"/>
      <c r="D92" s="144" t="s">
        <v>1744</v>
      </c>
      <c r="E92" s="145">
        <v>1</v>
      </c>
      <c r="F92" s="146"/>
    </row>
    <row r="93" spans="1:6" ht="16.5" customHeight="1">
      <c r="A93" s="182"/>
      <c r="B93" s="143"/>
      <c r="C93" s="144"/>
      <c r="D93" s="144" t="s">
        <v>1742</v>
      </c>
      <c r="E93" s="145">
        <v>1</v>
      </c>
      <c r="F93" s="146"/>
    </row>
    <row r="94" spans="1:6" ht="16.5" customHeight="1">
      <c r="A94" s="182"/>
      <c r="B94" s="144"/>
      <c r="C94" s="147" t="s">
        <v>1745</v>
      </c>
      <c r="D94" s="147" t="s">
        <v>1746</v>
      </c>
      <c r="E94" s="148"/>
      <c r="F94" s="146"/>
    </row>
    <row r="95" spans="1:6" ht="16.5" customHeight="1">
      <c r="A95" s="182"/>
      <c r="B95" s="144"/>
      <c r="C95" s="147" t="s">
        <v>1747</v>
      </c>
      <c r="D95" s="147" t="s">
        <v>1748</v>
      </c>
      <c r="E95" s="148"/>
      <c r="F95" s="146"/>
    </row>
    <row r="96" spans="1:6" ht="16.5" customHeight="1">
      <c r="A96" s="182"/>
      <c r="B96" s="144"/>
      <c r="C96" s="143" t="s">
        <v>666</v>
      </c>
      <c r="D96" s="144" t="s">
        <v>1749</v>
      </c>
      <c r="E96" s="145">
        <v>1</v>
      </c>
      <c r="F96" s="146"/>
    </row>
    <row r="97" spans="1:6" ht="16.5" customHeight="1">
      <c r="A97" s="182"/>
      <c r="B97" s="144"/>
      <c r="C97" s="144" t="s">
        <v>1750</v>
      </c>
      <c r="D97" s="143" t="s">
        <v>1751</v>
      </c>
      <c r="E97" s="145"/>
      <c r="F97" s="146"/>
    </row>
    <row r="98" spans="1:6" ht="16.5" customHeight="1">
      <c r="A98" s="182"/>
      <c r="B98" s="144"/>
      <c r="C98" s="143" t="s">
        <v>600</v>
      </c>
      <c r="D98" s="143"/>
      <c r="E98" s="145">
        <v>1</v>
      </c>
      <c r="F98" s="146"/>
    </row>
    <row r="99" spans="1:6" ht="16.5" customHeight="1">
      <c r="A99" s="182"/>
      <c r="B99" s="144"/>
      <c r="C99" s="143" t="s">
        <v>1673</v>
      </c>
      <c r="D99" s="143" t="s">
        <v>1752</v>
      </c>
      <c r="E99" s="145">
        <v>1</v>
      </c>
      <c r="F99" s="146"/>
    </row>
    <row r="100" spans="1:6" ht="16.5" customHeight="1">
      <c r="A100" s="182"/>
      <c r="B100" s="144"/>
      <c r="C100" s="143"/>
      <c r="D100" s="143" t="s">
        <v>1753</v>
      </c>
      <c r="E100" s="145">
        <v>1</v>
      </c>
      <c r="F100" s="146"/>
    </row>
    <row r="101" spans="1:6" ht="16.5" customHeight="1">
      <c r="A101" s="182"/>
      <c r="B101" s="144"/>
      <c r="C101" s="143"/>
      <c r="D101" s="143" t="s">
        <v>1754</v>
      </c>
      <c r="E101" s="145">
        <v>1</v>
      </c>
      <c r="F101" s="146"/>
    </row>
    <row r="102" spans="1:6" ht="16.5" customHeight="1">
      <c r="A102" s="182"/>
      <c r="B102" s="144"/>
      <c r="C102" s="143"/>
      <c r="D102" s="143" t="s">
        <v>1755</v>
      </c>
      <c r="E102" s="145">
        <v>1</v>
      </c>
      <c r="F102" s="146"/>
    </row>
    <row r="103" spans="1:6" ht="16.5" customHeight="1">
      <c r="A103" s="182"/>
      <c r="B103" s="144"/>
      <c r="C103" s="143"/>
      <c r="D103" s="143"/>
      <c r="E103" s="145"/>
      <c r="F103" s="146"/>
    </row>
    <row r="104" spans="1:6" ht="16.5" customHeight="1">
      <c r="A104" s="182"/>
      <c r="B104" s="144"/>
      <c r="C104" s="143"/>
      <c r="D104" s="143"/>
      <c r="E104" s="145"/>
      <c r="F104" s="146"/>
    </row>
    <row r="105" spans="1:6" ht="16.5" customHeight="1">
      <c r="A105" s="183"/>
      <c r="B105" s="144"/>
      <c r="C105" s="149" t="s">
        <v>1674</v>
      </c>
      <c r="D105" s="143" t="s">
        <v>1756</v>
      </c>
      <c r="E105" s="145">
        <v>4</v>
      </c>
      <c r="F105" s="146"/>
    </row>
    <row r="106" spans="1:6" ht="16.5" customHeight="1">
      <c r="A106" s="177" t="s">
        <v>1549</v>
      </c>
      <c r="B106" s="178"/>
      <c r="C106" s="178"/>
      <c r="D106" s="179"/>
      <c r="E106" s="145"/>
      <c r="F106" s="146"/>
    </row>
    <row r="107" spans="1:6" ht="16.5" customHeight="1">
      <c r="A107" s="150" t="s">
        <v>1757</v>
      </c>
      <c r="B107" s="147"/>
      <c r="C107" s="147"/>
      <c r="D107" s="147"/>
      <c r="E107" s="148">
        <f>SUM(E10:E106)</f>
        <v>131</v>
      </c>
      <c r="F107" s="146"/>
    </row>
    <row r="108" spans="1:6" ht="16.5" customHeight="1">
      <c r="A108" s="150"/>
      <c r="B108" s="151" t="s">
        <v>1758</v>
      </c>
      <c r="C108" s="151" t="s">
        <v>1759</v>
      </c>
      <c r="D108" s="151" t="s">
        <v>1760</v>
      </c>
      <c r="E108" s="151">
        <v>2</v>
      </c>
      <c r="F108" s="146"/>
    </row>
    <row r="109" spans="1:6" ht="16.5" customHeight="1">
      <c r="A109" s="150"/>
      <c r="B109" s="151"/>
      <c r="C109" s="151" t="s">
        <v>1761</v>
      </c>
      <c r="D109" s="151" t="s">
        <v>1762</v>
      </c>
      <c r="E109" s="151">
        <v>3</v>
      </c>
      <c r="F109" s="146"/>
    </row>
    <row r="110" spans="1:6" ht="16.5" customHeight="1">
      <c r="A110" s="150"/>
      <c r="B110" s="151"/>
      <c r="D110" s="151"/>
      <c r="E110" s="151"/>
      <c r="F110" s="146"/>
    </row>
    <row r="111" spans="1:6" ht="16.5" customHeight="1">
      <c r="A111" s="150"/>
      <c r="B111" s="151" t="s">
        <v>1763</v>
      </c>
      <c r="C111" s="121" t="s">
        <v>1693</v>
      </c>
      <c r="D111" s="151" t="s">
        <v>1764</v>
      </c>
      <c r="E111" s="151">
        <v>3</v>
      </c>
      <c r="F111" s="146"/>
    </row>
    <row r="112" spans="1:6" ht="16.5" customHeight="1">
      <c r="A112" s="150"/>
      <c r="B112" s="151" t="s">
        <v>1680</v>
      </c>
      <c r="C112" s="151"/>
      <c r="D112" s="151" t="s">
        <v>1765</v>
      </c>
      <c r="E112" s="151">
        <v>4</v>
      </c>
      <c r="F112" s="146"/>
    </row>
    <row r="113" spans="1:6" ht="16.5" customHeight="1">
      <c r="A113" s="150"/>
      <c r="B113" s="151" t="s">
        <v>1766</v>
      </c>
      <c r="C113" s="151"/>
      <c r="D113" s="151"/>
      <c r="E113" s="151">
        <v>5</v>
      </c>
      <c r="F113" s="146"/>
    </row>
    <row r="114" spans="1:6" ht="16.5" customHeight="1">
      <c r="A114" s="150"/>
      <c r="B114" s="151" t="s">
        <v>1667</v>
      </c>
      <c r="C114" s="151" t="s">
        <v>1767</v>
      </c>
      <c r="D114" s="151" t="s">
        <v>1768</v>
      </c>
      <c r="E114" s="151">
        <v>4</v>
      </c>
      <c r="F114" s="146"/>
    </row>
    <row r="115" spans="1:6" ht="16.5" customHeight="1">
      <c r="A115" s="150"/>
      <c r="B115" s="151" t="s">
        <v>1769</v>
      </c>
      <c r="C115" s="151"/>
      <c r="D115" s="151" t="s">
        <v>1684</v>
      </c>
      <c r="E115" s="151">
        <v>4</v>
      </c>
      <c r="F115" s="146"/>
    </row>
    <row r="116" spans="1:6" ht="16.5" customHeight="1">
      <c r="A116" s="150"/>
      <c r="B116" s="151"/>
      <c r="C116" s="151"/>
      <c r="D116" s="151"/>
      <c r="E116" s="151"/>
      <c r="F116" s="146"/>
    </row>
    <row r="117" spans="1:6" ht="16.5" customHeight="1">
      <c r="A117" s="150"/>
      <c r="B117" s="147" t="s">
        <v>1770</v>
      </c>
      <c r="C117" s="151"/>
      <c r="D117" s="147" t="s">
        <v>1686</v>
      </c>
      <c r="E117" s="151">
        <v>5</v>
      </c>
      <c r="F117" s="146"/>
    </row>
    <row r="118" spans="1:6" ht="16.5" customHeight="1">
      <c r="A118" s="150"/>
      <c r="B118" s="147"/>
      <c r="C118" s="147"/>
      <c r="D118" s="147"/>
      <c r="E118" s="148">
        <f>SUM(E108:E117)</f>
        <v>30</v>
      </c>
      <c r="F118" s="146"/>
    </row>
    <row r="119" spans="1:6" ht="16.5" customHeight="1">
      <c r="A119" s="150"/>
      <c r="B119" s="147" t="s">
        <v>1771</v>
      </c>
      <c r="C119" s="147"/>
      <c r="D119" s="147" t="s">
        <v>1772</v>
      </c>
      <c r="E119" s="148"/>
    </row>
    <row r="120" spans="1:6" ht="16.5" customHeight="1">
      <c r="A120" s="150"/>
      <c r="B120" s="147" t="s">
        <v>1773</v>
      </c>
      <c r="C120" s="147"/>
      <c r="D120" s="147" t="s">
        <v>1774</v>
      </c>
      <c r="E120" s="148"/>
    </row>
    <row r="121" spans="1:6" ht="16.5" customHeight="1">
      <c r="A121" s="150"/>
      <c r="B121" s="147" t="s">
        <v>1775</v>
      </c>
      <c r="C121" s="147"/>
      <c r="D121" s="147"/>
      <c r="E121" s="148"/>
    </row>
    <row r="122" spans="1:6" ht="16.5" customHeight="1">
      <c r="A122" s="150"/>
      <c r="B122" s="147" t="s">
        <v>1776</v>
      </c>
      <c r="C122" s="147"/>
      <c r="D122" s="147"/>
      <c r="E122" s="148"/>
    </row>
    <row r="123" spans="1:6" ht="16.5" customHeight="1">
      <c r="A123" s="152"/>
      <c r="B123" s="153" t="s">
        <v>1777</v>
      </c>
      <c r="C123" s="153"/>
      <c r="D123" s="153"/>
      <c r="E123" s="154"/>
    </row>
    <row r="124" spans="1:6" ht="16.5" customHeight="1">
      <c r="A124" s="155"/>
      <c r="B124" s="155"/>
      <c r="C124" s="155"/>
      <c r="D124" s="155"/>
      <c r="E124" s="155"/>
    </row>
    <row r="125" spans="1:6" ht="16.5" customHeight="1"/>
    <row r="126" spans="1:6" ht="16.5" customHeight="1"/>
    <row r="127" spans="1:6" ht="16.5" customHeight="1"/>
    <row r="128" spans="1:6"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sheetData>
  <mergeCells count="7">
    <mergeCell ref="A106:D106"/>
    <mergeCell ref="A8:E8"/>
    <mergeCell ref="A13:A19"/>
    <mergeCell ref="A25:A57"/>
    <mergeCell ref="A58:A64"/>
    <mergeCell ref="A65:A72"/>
    <mergeCell ref="A73:A105"/>
  </mergeCells>
  <phoneticPr fontId="10" type="noConversion"/>
  <pageMargins left="0.7" right="0.7" top="0.75" bottom="0.75" header="0" footer="0"/>
  <pageSetup paperSize="9"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5745-EE37-45B8-A841-1DFBA6E19574}">
  <dimension ref="A1:G65"/>
  <sheetViews>
    <sheetView workbookViewId="0">
      <selection activeCell="E89" sqref="E89"/>
    </sheetView>
  </sheetViews>
  <sheetFormatPr defaultRowHeight="12.75"/>
  <cols>
    <col min="1" max="1" width="30.42578125" customWidth="1"/>
    <col min="2" max="2" width="22.85546875" customWidth="1"/>
    <col min="3" max="3" width="33.42578125" customWidth="1"/>
    <col min="4" max="4" width="38.85546875" customWidth="1"/>
    <col min="5" max="5" width="48.28515625" customWidth="1"/>
    <col min="6" max="6" width="12.140625" customWidth="1"/>
    <col min="7" max="7" width="31.42578125" customWidth="1"/>
  </cols>
  <sheetData>
    <row r="1" spans="1:7" ht="19.5">
      <c r="A1" s="15" t="s">
        <v>1778</v>
      </c>
    </row>
    <row r="2" spans="1:7">
      <c r="A2" s="106" t="s">
        <v>1779</v>
      </c>
    </row>
    <row r="4" spans="1:7" ht="15">
      <c r="A4" s="32" t="s">
        <v>1780</v>
      </c>
      <c r="B4" s="32"/>
      <c r="C4" s="32"/>
      <c r="D4" s="32"/>
      <c r="E4" s="32"/>
      <c r="F4" s="32"/>
      <c r="G4" s="32"/>
    </row>
    <row r="5" spans="1:7">
      <c r="A5" s="14" t="s">
        <v>1516</v>
      </c>
      <c r="B5" s="14" t="s">
        <v>1781</v>
      </c>
      <c r="C5" s="14" t="s">
        <v>1782</v>
      </c>
      <c r="D5" s="14" t="s">
        <v>1783</v>
      </c>
      <c r="E5" s="14" t="s">
        <v>1784</v>
      </c>
      <c r="F5" s="14" t="s">
        <v>1785</v>
      </c>
      <c r="G5" s="14"/>
    </row>
    <row r="6" spans="1:7" ht="25.5">
      <c r="A6" s="55" t="s">
        <v>257</v>
      </c>
      <c r="B6" s="55">
        <v>38</v>
      </c>
      <c r="C6" s="55">
        <v>2</v>
      </c>
      <c r="D6" s="55" t="s">
        <v>1786</v>
      </c>
      <c r="E6" s="55" t="s">
        <v>1787</v>
      </c>
      <c r="F6" s="55" t="s">
        <v>804</v>
      </c>
      <c r="G6" s="55"/>
    </row>
    <row r="7" spans="1:7">
      <c r="A7" s="57" t="s">
        <v>1553</v>
      </c>
      <c r="B7" s="57">
        <v>43</v>
      </c>
      <c r="C7" s="57">
        <v>6</v>
      </c>
      <c r="D7" s="57" t="s">
        <v>1788</v>
      </c>
      <c r="E7" s="57" t="s">
        <v>1789</v>
      </c>
      <c r="F7" s="57" t="s">
        <v>1790</v>
      </c>
      <c r="G7" s="57"/>
    </row>
    <row r="8" spans="1:7">
      <c r="A8" s="55" t="s">
        <v>1554</v>
      </c>
      <c r="B8" s="55">
        <v>8</v>
      </c>
      <c r="C8" s="55">
        <v>3</v>
      </c>
      <c r="D8" s="55" t="s">
        <v>1791</v>
      </c>
      <c r="E8" s="55" t="s">
        <v>1792</v>
      </c>
      <c r="F8" s="55" t="s">
        <v>1793</v>
      </c>
      <c r="G8" s="55"/>
    </row>
    <row r="9" spans="1:7" ht="25.5">
      <c r="A9" s="57" t="s">
        <v>1556</v>
      </c>
      <c r="B9" s="57">
        <v>13</v>
      </c>
      <c r="C9" s="57">
        <v>3</v>
      </c>
      <c r="D9" s="57" t="s">
        <v>1794</v>
      </c>
      <c r="E9" s="57" t="s">
        <v>1795</v>
      </c>
      <c r="F9" s="57" t="s">
        <v>1796</v>
      </c>
      <c r="G9" s="57"/>
    </row>
    <row r="10" spans="1:7">
      <c r="A10" s="55" t="s">
        <v>184</v>
      </c>
      <c r="B10" s="55">
        <v>33</v>
      </c>
      <c r="C10" s="55">
        <v>5</v>
      </c>
      <c r="D10" s="55" t="s">
        <v>1797</v>
      </c>
      <c r="E10" s="55" t="s">
        <v>1798</v>
      </c>
      <c r="F10" s="55" t="s">
        <v>804</v>
      </c>
      <c r="G10" s="55"/>
    </row>
    <row r="11" spans="1:7" ht="25.5">
      <c r="A11" s="57" t="s">
        <v>1799</v>
      </c>
      <c r="B11" s="57">
        <v>29</v>
      </c>
      <c r="C11" s="57">
        <v>0</v>
      </c>
      <c r="D11" s="57" t="s">
        <v>1800</v>
      </c>
      <c r="E11" s="57" t="s">
        <v>1801</v>
      </c>
      <c r="F11" s="57" t="s">
        <v>1802</v>
      </c>
      <c r="G11" s="57"/>
    </row>
    <row r="12" spans="1:7" ht="25.5">
      <c r="A12" s="67" t="s">
        <v>1549</v>
      </c>
      <c r="B12" s="67">
        <v>164</v>
      </c>
      <c r="C12" s="67">
        <v>19</v>
      </c>
      <c r="D12" s="67" t="s">
        <v>1803</v>
      </c>
      <c r="E12" s="157" t="s">
        <v>1804</v>
      </c>
      <c r="F12" s="157" t="s">
        <v>1805</v>
      </c>
      <c r="G12" s="157"/>
    </row>
    <row r="13" spans="1:7">
      <c r="A13" s="157"/>
      <c r="B13" s="157"/>
      <c r="C13" s="157"/>
      <c r="D13" s="157"/>
    </row>
    <row r="14" spans="1:7" ht="15">
      <c r="A14" s="29" t="s">
        <v>1806</v>
      </c>
      <c r="B14" s="29"/>
      <c r="C14" s="29"/>
      <c r="D14" s="29"/>
      <c r="E14" s="29"/>
      <c r="F14" s="29"/>
      <c r="G14" s="29"/>
    </row>
    <row r="15" spans="1:7" ht="15">
      <c r="A15" s="29" t="s">
        <v>1807</v>
      </c>
      <c r="B15" s="29" t="s">
        <v>1516</v>
      </c>
      <c r="C15" s="29" t="s">
        <v>1808</v>
      </c>
      <c r="D15" s="29" t="s">
        <v>1809</v>
      </c>
      <c r="E15" s="14" t="s">
        <v>1810</v>
      </c>
      <c r="F15" s="14" t="s">
        <v>1811</v>
      </c>
      <c r="G15" s="14" t="s">
        <v>255</v>
      </c>
    </row>
    <row r="16" spans="1:7">
      <c r="A16" s="42">
        <v>1</v>
      </c>
      <c r="B16" s="42" t="s">
        <v>257</v>
      </c>
      <c r="C16" s="42" t="s">
        <v>1812</v>
      </c>
      <c r="D16" s="42" t="s">
        <v>1813</v>
      </c>
      <c r="E16" s="55" t="s">
        <v>1814</v>
      </c>
      <c r="F16" s="55" t="s">
        <v>89</v>
      </c>
      <c r="G16" s="55" t="s">
        <v>1815</v>
      </c>
    </row>
    <row r="17" spans="1:7" ht="25.5">
      <c r="A17" s="55">
        <v>2</v>
      </c>
      <c r="B17" s="55" t="s">
        <v>257</v>
      </c>
      <c r="C17" s="55" t="s">
        <v>1816</v>
      </c>
      <c r="D17" s="55" t="s">
        <v>1817</v>
      </c>
      <c r="E17" s="57" t="s">
        <v>1818</v>
      </c>
      <c r="F17" s="57" t="s">
        <v>89</v>
      </c>
      <c r="G17" s="57" t="s">
        <v>1819</v>
      </c>
    </row>
    <row r="18" spans="1:7">
      <c r="A18" s="57">
        <v>3</v>
      </c>
      <c r="B18" s="57" t="s">
        <v>1553</v>
      </c>
      <c r="C18" s="57" t="s">
        <v>1820</v>
      </c>
      <c r="D18" s="57" t="s">
        <v>419</v>
      </c>
      <c r="E18" s="55" t="s">
        <v>1821</v>
      </c>
      <c r="F18" s="55" t="s">
        <v>89</v>
      </c>
      <c r="G18" s="55"/>
    </row>
    <row r="19" spans="1:7" ht="25.5">
      <c r="A19" s="55">
        <v>4</v>
      </c>
      <c r="B19" s="55" t="s">
        <v>1553</v>
      </c>
      <c r="C19" s="55" t="s">
        <v>1822</v>
      </c>
      <c r="D19" s="55" t="s">
        <v>1813</v>
      </c>
      <c r="E19" s="57" t="s">
        <v>1823</v>
      </c>
      <c r="F19" s="57" t="s">
        <v>89</v>
      </c>
      <c r="G19" s="57" t="s">
        <v>1824</v>
      </c>
    </row>
    <row r="20" spans="1:7" ht="25.5">
      <c r="A20" s="161">
        <v>5</v>
      </c>
      <c r="B20" s="161" t="s">
        <v>1553</v>
      </c>
      <c r="C20" s="161" t="s">
        <v>425</v>
      </c>
      <c r="D20" s="161" t="s">
        <v>1825</v>
      </c>
      <c r="E20" s="55" t="s">
        <v>1826</v>
      </c>
      <c r="F20" s="158" t="s">
        <v>1827</v>
      </c>
      <c r="G20" s="55" t="s">
        <v>1828</v>
      </c>
    </row>
    <row r="21" spans="1:7" ht="25.5">
      <c r="A21" s="161">
        <v>6</v>
      </c>
      <c r="B21" s="161" t="s">
        <v>1553</v>
      </c>
      <c r="C21" s="161" t="s">
        <v>1829</v>
      </c>
      <c r="D21" s="161" t="s">
        <v>1830</v>
      </c>
      <c r="E21" s="57" t="s">
        <v>1831</v>
      </c>
      <c r="F21" s="57" t="s">
        <v>89</v>
      </c>
      <c r="G21" s="57" t="s">
        <v>1832</v>
      </c>
    </row>
    <row r="22" spans="1:7" ht="25.5">
      <c r="A22" s="161">
        <v>7</v>
      </c>
      <c r="B22" s="161" t="s">
        <v>1553</v>
      </c>
      <c r="C22" s="161" t="s">
        <v>1833</v>
      </c>
      <c r="D22" s="161" t="s">
        <v>1834</v>
      </c>
      <c r="E22" s="55" t="s">
        <v>1835</v>
      </c>
      <c r="F22" s="55" t="s">
        <v>89</v>
      </c>
      <c r="G22" s="55" t="s">
        <v>1836</v>
      </c>
    </row>
    <row r="23" spans="1:7">
      <c r="A23" s="55">
        <v>8</v>
      </c>
      <c r="B23" s="55" t="s">
        <v>1553</v>
      </c>
      <c r="C23" s="55" t="s">
        <v>1837</v>
      </c>
      <c r="D23" s="55" t="s">
        <v>1817</v>
      </c>
      <c r="E23" s="57" t="s">
        <v>1838</v>
      </c>
      <c r="F23" s="57" t="s">
        <v>89</v>
      </c>
      <c r="G23" s="57"/>
    </row>
    <row r="24" spans="1:7">
      <c r="A24" s="57">
        <v>9</v>
      </c>
      <c r="B24" s="57" t="s">
        <v>1554</v>
      </c>
      <c r="C24" s="57" t="s">
        <v>1839</v>
      </c>
      <c r="D24" s="57" t="s">
        <v>1840</v>
      </c>
      <c r="E24" s="55" t="s">
        <v>1841</v>
      </c>
      <c r="F24" s="55" t="s">
        <v>89</v>
      </c>
      <c r="G24" s="55" t="s">
        <v>1842</v>
      </c>
    </row>
    <row r="25" spans="1:7" ht="25.5">
      <c r="A25" s="55">
        <v>10</v>
      </c>
      <c r="B25" s="55" t="s">
        <v>1554</v>
      </c>
      <c r="C25" s="55" t="s">
        <v>1793</v>
      </c>
      <c r="D25" s="55" t="s">
        <v>1825</v>
      </c>
      <c r="E25" s="57" t="s">
        <v>1843</v>
      </c>
      <c r="F25" s="158" t="s">
        <v>1827</v>
      </c>
      <c r="G25" s="57" t="s">
        <v>1844</v>
      </c>
    </row>
    <row r="26" spans="1:7">
      <c r="A26" s="57">
        <v>11</v>
      </c>
      <c r="B26" s="57" t="s">
        <v>1554</v>
      </c>
      <c r="C26" s="57" t="s">
        <v>1837</v>
      </c>
      <c r="D26" s="57" t="s">
        <v>1817</v>
      </c>
      <c r="E26" s="55" t="s">
        <v>1845</v>
      </c>
      <c r="F26" s="55" t="s">
        <v>89</v>
      </c>
      <c r="G26" s="55"/>
    </row>
    <row r="27" spans="1:7" ht="25.5">
      <c r="A27" s="55">
        <v>12</v>
      </c>
      <c r="B27" s="55" t="s">
        <v>1556</v>
      </c>
      <c r="C27" s="55" t="s">
        <v>1846</v>
      </c>
      <c r="D27" s="55" t="s">
        <v>1840</v>
      </c>
      <c r="E27" s="57" t="s">
        <v>1847</v>
      </c>
      <c r="F27" s="57" t="s">
        <v>89</v>
      </c>
      <c r="G27" s="57" t="s">
        <v>1848</v>
      </c>
    </row>
    <row r="28" spans="1:7" ht="25.5">
      <c r="A28" s="57">
        <v>13</v>
      </c>
      <c r="B28" s="57" t="s">
        <v>1556</v>
      </c>
      <c r="C28" s="57" t="s">
        <v>1796</v>
      </c>
      <c r="D28" s="57" t="s">
        <v>1825</v>
      </c>
      <c r="E28" s="55" t="s">
        <v>1849</v>
      </c>
      <c r="F28" s="158" t="s">
        <v>1827</v>
      </c>
      <c r="G28" s="55" t="s">
        <v>1850</v>
      </c>
    </row>
    <row r="29" spans="1:7">
      <c r="A29" s="55">
        <v>14</v>
      </c>
      <c r="B29" s="55" t="s">
        <v>1556</v>
      </c>
      <c r="C29" s="55" t="s">
        <v>1837</v>
      </c>
      <c r="D29" s="55" t="s">
        <v>1817</v>
      </c>
      <c r="E29" s="57" t="s">
        <v>1845</v>
      </c>
      <c r="F29" s="57" t="s">
        <v>89</v>
      </c>
      <c r="G29" s="57"/>
    </row>
    <row r="30" spans="1:7" ht="25.5">
      <c r="A30" s="57">
        <v>15</v>
      </c>
      <c r="B30" s="57" t="s">
        <v>184</v>
      </c>
      <c r="C30" s="57" t="s">
        <v>1851</v>
      </c>
      <c r="D30" s="57" t="s">
        <v>419</v>
      </c>
      <c r="E30" s="55" t="s">
        <v>1852</v>
      </c>
      <c r="F30" s="55" t="s">
        <v>89</v>
      </c>
      <c r="G30" s="55" t="s">
        <v>1853</v>
      </c>
    </row>
    <row r="31" spans="1:7" ht="25.5">
      <c r="A31" s="55">
        <v>16</v>
      </c>
      <c r="B31" s="55" t="s">
        <v>184</v>
      </c>
      <c r="C31" s="55" t="s">
        <v>332</v>
      </c>
      <c r="D31" s="55" t="s">
        <v>1854</v>
      </c>
      <c r="E31" s="57" t="s">
        <v>1855</v>
      </c>
      <c r="F31" s="57" t="s">
        <v>89</v>
      </c>
      <c r="G31" s="57" t="s">
        <v>1856</v>
      </c>
    </row>
    <row r="32" spans="1:7" ht="25.5">
      <c r="A32" s="57">
        <v>17</v>
      </c>
      <c r="B32" s="57" t="s">
        <v>184</v>
      </c>
      <c r="C32" s="57" t="s">
        <v>512</v>
      </c>
      <c r="D32" s="57" t="s">
        <v>1830</v>
      </c>
      <c r="E32" s="55" t="s">
        <v>1857</v>
      </c>
      <c r="F32" s="55" t="s">
        <v>89</v>
      </c>
      <c r="G32" s="55" t="s">
        <v>1858</v>
      </c>
    </row>
    <row r="33" spans="1:7" ht="25.5">
      <c r="A33" s="55">
        <v>18</v>
      </c>
      <c r="B33" s="55" t="s">
        <v>184</v>
      </c>
      <c r="C33" s="55" t="s">
        <v>1859</v>
      </c>
      <c r="D33" s="55" t="s">
        <v>1817</v>
      </c>
      <c r="E33" s="57" t="s">
        <v>1860</v>
      </c>
      <c r="F33" s="57" t="s">
        <v>89</v>
      </c>
      <c r="G33" s="57" t="s">
        <v>1861</v>
      </c>
    </row>
    <row r="34" spans="1:7">
      <c r="A34" s="57">
        <v>19</v>
      </c>
      <c r="B34" s="57" t="s">
        <v>184</v>
      </c>
      <c r="C34" s="57" t="s">
        <v>1862</v>
      </c>
      <c r="D34" s="57" t="s">
        <v>1863</v>
      </c>
      <c r="E34" s="55" t="s">
        <v>1864</v>
      </c>
      <c r="F34" s="55" t="s">
        <v>89</v>
      </c>
      <c r="G34" s="55"/>
    </row>
    <row r="35" spans="1:7">
      <c r="A35" s="55"/>
      <c r="B35" s="55"/>
      <c r="C35" s="55"/>
      <c r="D35" s="55"/>
    </row>
    <row r="36" spans="1:7" ht="38.25">
      <c r="A36" s="161">
        <v>20</v>
      </c>
      <c r="B36" s="161" t="s">
        <v>1937</v>
      </c>
      <c r="C36" s="161" t="s">
        <v>1959</v>
      </c>
      <c r="D36" s="161" t="s">
        <v>1938</v>
      </c>
    </row>
    <row r="37" spans="1:7" ht="15">
      <c r="A37" s="31" t="s">
        <v>1865</v>
      </c>
      <c r="B37" s="31"/>
      <c r="C37" s="31"/>
      <c r="D37" s="31"/>
      <c r="E37" s="31"/>
      <c r="F37" s="31"/>
      <c r="G37" s="31"/>
    </row>
    <row r="38" spans="1:7" ht="15">
      <c r="A38" s="31" t="s">
        <v>1866</v>
      </c>
      <c r="B38" s="31" t="s">
        <v>1867</v>
      </c>
      <c r="C38" s="31" t="s">
        <v>1868</v>
      </c>
      <c r="D38" s="31" t="s">
        <v>1869</v>
      </c>
      <c r="E38" s="14"/>
      <c r="F38" s="14"/>
      <c r="G38" s="14"/>
    </row>
    <row r="39" spans="1:7" ht="25.5">
      <c r="A39" s="42" t="s">
        <v>1870</v>
      </c>
      <c r="B39" s="42">
        <v>3</v>
      </c>
      <c r="C39" s="42" t="s">
        <v>1871</v>
      </c>
      <c r="D39" s="42" t="s">
        <v>1872</v>
      </c>
      <c r="E39" s="111"/>
      <c r="F39" s="111"/>
      <c r="G39" s="111"/>
    </row>
    <row r="40" spans="1:7">
      <c r="A40" s="55" t="s">
        <v>1873</v>
      </c>
      <c r="B40" s="55">
        <v>4</v>
      </c>
      <c r="C40" s="55" t="s">
        <v>1871</v>
      </c>
      <c r="D40" s="55" t="s">
        <v>1874</v>
      </c>
      <c r="E40" s="159"/>
      <c r="F40" s="159"/>
      <c r="G40" s="159"/>
    </row>
    <row r="41" spans="1:7" ht="25.5">
      <c r="A41" s="57" t="s">
        <v>1682</v>
      </c>
      <c r="B41" s="57">
        <v>5</v>
      </c>
      <c r="C41" s="57" t="s">
        <v>1875</v>
      </c>
      <c r="D41" s="57" t="s">
        <v>1876</v>
      </c>
      <c r="E41" s="111"/>
      <c r="F41" s="111"/>
      <c r="G41" s="111"/>
    </row>
    <row r="42" spans="1:7" ht="25.5">
      <c r="A42" s="55" t="s">
        <v>1877</v>
      </c>
      <c r="B42" s="55">
        <v>4</v>
      </c>
      <c r="C42" s="55" t="s">
        <v>1878</v>
      </c>
      <c r="D42" s="55" t="s">
        <v>1879</v>
      </c>
      <c r="E42" s="159"/>
      <c r="F42" s="159"/>
      <c r="G42" s="159"/>
    </row>
    <row r="43" spans="1:7" ht="25.5">
      <c r="A43" s="57" t="s">
        <v>1880</v>
      </c>
      <c r="B43" s="57">
        <v>4</v>
      </c>
      <c r="C43" s="57" t="s">
        <v>1881</v>
      </c>
      <c r="D43" s="57" t="s">
        <v>1882</v>
      </c>
      <c r="E43" s="111"/>
      <c r="F43" s="111"/>
      <c r="G43" s="111"/>
    </row>
    <row r="44" spans="1:7" ht="25.5">
      <c r="A44" s="55" t="s">
        <v>1883</v>
      </c>
      <c r="B44" s="55">
        <v>5</v>
      </c>
      <c r="C44" s="55" t="s">
        <v>1884</v>
      </c>
      <c r="D44" s="55" t="s">
        <v>1885</v>
      </c>
      <c r="E44" s="159"/>
      <c r="F44" s="159"/>
      <c r="G44" s="159"/>
    </row>
    <row r="45" spans="1:7" ht="26.25">
      <c r="A45" s="68" t="s">
        <v>1904</v>
      </c>
      <c r="B45" s="68">
        <v>5</v>
      </c>
      <c r="C45" s="68" t="s">
        <v>1886</v>
      </c>
      <c r="D45" s="68" t="s">
        <v>1887</v>
      </c>
      <c r="E45" s="49"/>
      <c r="F45" s="49"/>
      <c r="G45" s="49"/>
    </row>
    <row r="46" spans="1:7" ht="15">
      <c r="A46" s="49" t="s">
        <v>1905</v>
      </c>
      <c r="B46" s="49" t="s">
        <v>1906</v>
      </c>
      <c r="C46" s="49" t="s">
        <v>1907</v>
      </c>
      <c r="D46" s="49" t="s">
        <v>1908</v>
      </c>
      <c r="E46" s="42"/>
      <c r="F46" s="42"/>
      <c r="G46" s="42"/>
    </row>
    <row r="47" spans="1:7" ht="25.5">
      <c r="A47" s="42" t="s">
        <v>1909</v>
      </c>
      <c r="B47" s="42" t="s">
        <v>1910</v>
      </c>
      <c r="C47" s="42" t="s">
        <v>1911</v>
      </c>
      <c r="D47" s="42" t="s">
        <v>1912</v>
      </c>
      <c r="E47" s="55"/>
      <c r="F47" s="55"/>
      <c r="G47" s="55"/>
    </row>
    <row r="48" spans="1:7" ht="25.5">
      <c r="A48" s="55" t="s">
        <v>1913</v>
      </c>
      <c r="B48" s="55" t="s">
        <v>1914</v>
      </c>
      <c r="C48" s="55" t="s">
        <v>1915</v>
      </c>
      <c r="D48" s="55" t="s">
        <v>1916</v>
      </c>
      <c r="E48" s="57"/>
      <c r="F48" s="57"/>
      <c r="G48" s="57"/>
    </row>
    <row r="49" spans="1:7" ht="25.5">
      <c r="A49" s="68" t="s">
        <v>1917</v>
      </c>
      <c r="B49" s="68" t="s">
        <v>1918</v>
      </c>
      <c r="C49" s="68" t="s">
        <v>1919</v>
      </c>
      <c r="D49" s="68" t="s">
        <v>1920</v>
      </c>
      <c r="E49" s="160"/>
      <c r="F49" s="160"/>
      <c r="G49" s="160"/>
    </row>
    <row r="50" spans="1:7" ht="25.5">
      <c r="A50" s="67" t="s">
        <v>1921</v>
      </c>
      <c r="B50" s="67" t="s">
        <v>1922</v>
      </c>
      <c r="C50" s="67" t="s">
        <v>1923</v>
      </c>
      <c r="D50" s="67" t="s">
        <v>1924</v>
      </c>
      <c r="E50" s="68"/>
      <c r="F50" s="68"/>
      <c r="G50" s="68"/>
    </row>
    <row r="51" spans="1:7">
      <c r="A51" s="57" t="s">
        <v>1925</v>
      </c>
      <c r="B51" s="57" t="s">
        <v>1926</v>
      </c>
      <c r="C51" s="57" t="s">
        <v>1927</v>
      </c>
      <c r="D51" s="57" t="s">
        <v>1928</v>
      </c>
      <c r="E51" s="55"/>
      <c r="F51" s="55"/>
      <c r="G51" s="55"/>
    </row>
    <row r="52" spans="1:7" ht="25.5">
      <c r="A52" s="55" t="s">
        <v>1929</v>
      </c>
      <c r="B52" s="55" t="s">
        <v>1930</v>
      </c>
      <c r="C52" s="55" t="s">
        <v>1931</v>
      </c>
      <c r="D52" s="55" t="s">
        <v>1932</v>
      </c>
      <c r="E52" s="57"/>
      <c r="F52" s="57"/>
      <c r="G52" s="57"/>
    </row>
    <row r="53" spans="1:7" ht="25.5">
      <c r="A53" s="57" t="s">
        <v>1933</v>
      </c>
      <c r="B53" s="57" t="s">
        <v>1934</v>
      </c>
      <c r="C53" s="57" t="s">
        <v>1935</v>
      </c>
      <c r="D53" s="57" t="s">
        <v>1936</v>
      </c>
      <c r="E53" s="55"/>
      <c r="F53" s="55"/>
      <c r="G53" s="55"/>
    </row>
    <row r="54" spans="1:7" ht="25.5">
      <c r="A54" s="55" t="s">
        <v>1888</v>
      </c>
      <c r="B54" s="55" t="s">
        <v>1889</v>
      </c>
      <c r="C54" s="55" t="s">
        <v>1890</v>
      </c>
      <c r="D54" s="55" t="s">
        <v>1891</v>
      </c>
      <c r="E54" s="57"/>
      <c r="F54" s="57"/>
      <c r="G54" s="57"/>
    </row>
    <row r="55" spans="1:7" ht="25.5">
      <c r="A55" s="57" t="s">
        <v>1892</v>
      </c>
      <c r="B55" s="57" t="s">
        <v>1893</v>
      </c>
      <c r="C55" s="57" t="s">
        <v>1894</v>
      </c>
      <c r="D55" s="57" t="s">
        <v>1895</v>
      </c>
      <c r="E55" s="55"/>
      <c r="F55" s="55"/>
      <c r="G55" s="55"/>
    </row>
    <row r="56" spans="1:7" ht="25.5">
      <c r="A56" s="55" t="s">
        <v>1896</v>
      </c>
      <c r="B56" s="55" t="s">
        <v>1897</v>
      </c>
      <c r="C56" s="55" t="s">
        <v>1898</v>
      </c>
      <c r="D56" s="55" t="s">
        <v>1899</v>
      </c>
      <c r="E56" s="57"/>
      <c r="F56" s="57"/>
      <c r="G56" s="57"/>
    </row>
    <row r="57" spans="1:7" ht="25.5">
      <c r="A57" s="55" t="s">
        <v>1900</v>
      </c>
      <c r="B57" s="55" t="s">
        <v>1901</v>
      </c>
      <c r="C57" s="55" t="s">
        <v>1902</v>
      </c>
      <c r="D57" s="55" t="s">
        <v>1903</v>
      </c>
      <c r="E57" s="55"/>
      <c r="F57" s="55"/>
      <c r="G57" s="55"/>
    </row>
    <row r="59" spans="1:7" ht="30">
      <c r="A59" s="46" t="s">
        <v>1939</v>
      </c>
      <c r="B59" s="30"/>
      <c r="C59" s="30"/>
      <c r="D59" s="30"/>
    </row>
    <row r="60" spans="1:7">
      <c r="A60" s="14" t="s">
        <v>814</v>
      </c>
      <c r="B60" s="14" t="s">
        <v>1940</v>
      </c>
      <c r="C60" s="14" t="s">
        <v>1941</v>
      </c>
      <c r="D60" s="14" t="s">
        <v>1942</v>
      </c>
    </row>
    <row r="61" spans="1:7" ht="25.5">
      <c r="A61" s="111" t="s">
        <v>1943</v>
      </c>
      <c r="B61" s="111" t="s">
        <v>1944</v>
      </c>
      <c r="C61" s="111" t="s">
        <v>1945</v>
      </c>
      <c r="D61" s="111" t="s">
        <v>1946</v>
      </c>
    </row>
    <row r="62" spans="1:7" ht="25.5">
      <c r="A62" s="57" t="s">
        <v>1947</v>
      </c>
      <c r="B62" s="57" t="s">
        <v>1948</v>
      </c>
      <c r="C62" s="57" t="s">
        <v>1949</v>
      </c>
      <c r="D62" s="57" t="s">
        <v>1950</v>
      </c>
    </row>
    <row r="63" spans="1:7" ht="25.5">
      <c r="A63" s="55" t="s">
        <v>1951</v>
      </c>
      <c r="B63" s="55" t="s">
        <v>1952</v>
      </c>
      <c r="C63" s="55" t="s">
        <v>1953</v>
      </c>
      <c r="D63" s="55" t="s">
        <v>1954</v>
      </c>
    </row>
    <row r="64" spans="1:7" ht="25.5">
      <c r="A64" s="57" t="s">
        <v>75</v>
      </c>
      <c r="B64" s="57" t="s">
        <v>1955</v>
      </c>
      <c r="C64" s="57" t="s">
        <v>1956</v>
      </c>
      <c r="D64" s="57" t="s">
        <v>1957</v>
      </c>
    </row>
    <row r="65" spans="1:1">
      <c r="A65" t="s">
        <v>1958</v>
      </c>
    </row>
  </sheetData>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78D1-906B-4DD5-9FC4-0D4CAA768D2C}">
  <dimension ref="A1:G48"/>
  <sheetViews>
    <sheetView workbookViewId="0">
      <selection activeCell="K45" sqref="K45"/>
    </sheetView>
  </sheetViews>
  <sheetFormatPr defaultRowHeight="12.75"/>
  <cols>
    <col min="1" max="1" width="22" customWidth="1"/>
    <col min="2" max="2" width="18.140625" customWidth="1"/>
    <col min="3" max="3" width="17.140625" customWidth="1"/>
    <col min="4" max="4" width="48.42578125" customWidth="1"/>
    <col min="7" max="7" width="22.28515625" customWidth="1"/>
  </cols>
  <sheetData>
    <row r="1" spans="1:7">
      <c r="B1" s="55"/>
      <c r="C1" s="55"/>
      <c r="D1" s="67" t="s">
        <v>1961</v>
      </c>
      <c r="E1" s="55"/>
      <c r="F1" s="55"/>
      <c r="G1" s="55"/>
    </row>
    <row r="2" spans="1:7" ht="38.25">
      <c r="B2" s="57"/>
      <c r="C2" s="57"/>
      <c r="D2" s="57" t="s">
        <v>1962</v>
      </c>
      <c r="E2" s="57"/>
      <c r="F2" s="57"/>
      <c r="G2" s="57"/>
    </row>
    <row r="3" spans="1:7" ht="25.5">
      <c r="B3" s="55"/>
      <c r="C3" s="55"/>
      <c r="D3" s="55" t="s">
        <v>1963</v>
      </c>
      <c r="E3" s="55"/>
      <c r="F3" s="55"/>
      <c r="G3" s="55"/>
    </row>
    <row r="5" spans="1:7">
      <c r="A5" s="16" t="s">
        <v>1516</v>
      </c>
      <c r="B5" s="16" t="s">
        <v>1694</v>
      </c>
      <c r="C5" s="16" t="s">
        <v>1695</v>
      </c>
      <c r="D5" s="16" t="s">
        <v>1964</v>
      </c>
      <c r="E5" s="16" t="s">
        <v>1608</v>
      </c>
      <c r="F5" s="16" t="s">
        <v>250</v>
      </c>
      <c r="G5" s="16" t="s">
        <v>1965</v>
      </c>
    </row>
    <row r="6" spans="1:7" ht="15">
      <c r="A6" s="32" t="s">
        <v>1966</v>
      </c>
      <c r="B6" s="32"/>
      <c r="C6" s="32"/>
      <c r="D6" s="32"/>
      <c r="E6" s="32"/>
      <c r="F6" s="32"/>
      <c r="G6" s="32"/>
    </row>
    <row r="7" spans="1:7">
      <c r="A7" s="55" t="s">
        <v>257</v>
      </c>
      <c r="B7" s="55" t="s">
        <v>1967</v>
      </c>
      <c r="C7" s="55" t="s">
        <v>1968</v>
      </c>
      <c r="D7" s="55" t="s">
        <v>1969</v>
      </c>
      <c r="E7" s="55">
        <v>2</v>
      </c>
      <c r="F7" s="55" t="s">
        <v>1575</v>
      </c>
      <c r="G7" s="55" t="s">
        <v>1970</v>
      </c>
    </row>
    <row r="8" spans="1:7">
      <c r="A8" s="57" t="s">
        <v>257</v>
      </c>
      <c r="B8" s="57" t="s">
        <v>1967</v>
      </c>
      <c r="C8" s="57" t="s">
        <v>1971</v>
      </c>
      <c r="D8" s="57" t="s">
        <v>1972</v>
      </c>
      <c r="E8" s="57">
        <v>1</v>
      </c>
      <c r="F8" s="57" t="s">
        <v>1575</v>
      </c>
      <c r="G8" s="57" t="s">
        <v>1970</v>
      </c>
    </row>
    <row r="9" spans="1:7">
      <c r="A9" s="55" t="s">
        <v>257</v>
      </c>
      <c r="B9" s="55" t="s">
        <v>306</v>
      </c>
      <c r="C9" s="55" t="s">
        <v>1973</v>
      </c>
      <c r="D9" s="55" t="s">
        <v>1974</v>
      </c>
      <c r="E9" s="55">
        <v>1</v>
      </c>
      <c r="F9" s="55" t="s">
        <v>1575</v>
      </c>
      <c r="G9" s="55" t="s">
        <v>1970</v>
      </c>
    </row>
    <row r="10" spans="1:7" ht="15">
      <c r="A10" s="29" t="s">
        <v>1975</v>
      </c>
      <c r="B10" s="29"/>
      <c r="C10" s="29"/>
      <c r="D10" s="29"/>
      <c r="E10" s="29"/>
      <c r="F10" s="29"/>
      <c r="G10" s="29"/>
    </row>
    <row r="11" spans="1:7">
      <c r="A11" s="162" t="s">
        <v>1553</v>
      </c>
      <c r="B11" s="162" t="s">
        <v>1976</v>
      </c>
      <c r="C11" s="162" t="s">
        <v>1977</v>
      </c>
      <c r="D11" s="162" t="s">
        <v>1978</v>
      </c>
      <c r="E11" s="162">
        <v>1</v>
      </c>
      <c r="F11" s="162" t="s">
        <v>1979</v>
      </c>
      <c r="G11" s="162" t="s">
        <v>1980</v>
      </c>
    </row>
    <row r="12" spans="1:7" ht="25.5">
      <c r="A12" s="162" t="s">
        <v>1553</v>
      </c>
      <c r="B12" s="162" t="s">
        <v>1976</v>
      </c>
      <c r="C12" s="162" t="s">
        <v>1981</v>
      </c>
      <c r="D12" s="162" t="s">
        <v>1982</v>
      </c>
      <c r="E12" s="162">
        <v>1</v>
      </c>
      <c r="F12" s="162" t="s">
        <v>1979</v>
      </c>
      <c r="G12" s="162" t="s">
        <v>1980</v>
      </c>
    </row>
    <row r="13" spans="1:7" ht="25.5">
      <c r="A13" s="162" t="s">
        <v>1553</v>
      </c>
      <c r="B13" s="162" t="s">
        <v>1976</v>
      </c>
      <c r="C13" s="162" t="s">
        <v>1983</v>
      </c>
      <c r="D13" s="162" t="s">
        <v>1960</v>
      </c>
      <c r="E13" s="162">
        <v>1</v>
      </c>
      <c r="F13" s="162" t="s">
        <v>1979</v>
      </c>
      <c r="G13" s="162" t="s">
        <v>1980</v>
      </c>
    </row>
    <row r="14" spans="1:7" ht="25.5">
      <c r="A14" s="162" t="s">
        <v>1553</v>
      </c>
      <c r="B14" s="162" t="s">
        <v>1976</v>
      </c>
      <c r="C14" s="162" t="s">
        <v>1984</v>
      </c>
      <c r="D14" s="162" t="s">
        <v>1985</v>
      </c>
      <c r="E14" s="162">
        <v>1</v>
      </c>
      <c r="F14" s="162" t="s">
        <v>1979</v>
      </c>
      <c r="G14" s="162" t="s">
        <v>1980</v>
      </c>
    </row>
    <row r="15" spans="1:7" ht="25.5">
      <c r="A15" s="162" t="s">
        <v>1553</v>
      </c>
      <c r="B15" s="162" t="s">
        <v>1976</v>
      </c>
      <c r="C15" s="162" t="s">
        <v>1986</v>
      </c>
      <c r="D15" s="162" t="s">
        <v>1987</v>
      </c>
      <c r="E15" s="162">
        <v>1</v>
      </c>
      <c r="F15" s="162" t="s">
        <v>1979</v>
      </c>
      <c r="G15" s="162" t="s">
        <v>1980</v>
      </c>
    </row>
    <row r="16" spans="1:7">
      <c r="A16" s="162" t="s">
        <v>1553</v>
      </c>
      <c r="B16" s="162" t="s">
        <v>1988</v>
      </c>
      <c r="C16" s="162" t="s">
        <v>1989</v>
      </c>
      <c r="D16" s="162" t="s">
        <v>1990</v>
      </c>
      <c r="E16" s="162">
        <v>1</v>
      </c>
      <c r="F16" s="162" t="s">
        <v>1979</v>
      </c>
      <c r="G16" s="162" t="s">
        <v>1980</v>
      </c>
    </row>
    <row r="17" spans="1:7">
      <c r="A17" s="162" t="s">
        <v>1553</v>
      </c>
      <c r="B17" s="162" t="s">
        <v>1991</v>
      </c>
      <c r="C17" s="162" t="s">
        <v>1992</v>
      </c>
      <c r="D17" s="162" t="s">
        <v>1993</v>
      </c>
      <c r="E17" s="162">
        <v>1</v>
      </c>
      <c r="F17" s="162" t="s">
        <v>1979</v>
      </c>
      <c r="G17" s="162" t="s">
        <v>1994</v>
      </c>
    </row>
    <row r="18" spans="1:7" ht="25.5">
      <c r="A18" s="162" t="s">
        <v>1553</v>
      </c>
      <c r="B18" s="162" t="s">
        <v>1991</v>
      </c>
      <c r="C18" s="162" t="s">
        <v>1995</v>
      </c>
      <c r="D18" s="162" t="s">
        <v>1996</v>
      </c>
      <c r="E18" s="162">
        <v>1</v>
      </c>
      <c r="F18" s="162" t="s">
        <v>1979</v>
      </c>
      <c r="G18" s="162" t="s">
        <v>1994</v>
      </c>
    </row>
    <row r="19" spans="1:7">
      <c r="A19" s="162" t="s">
        <v>1553</v>
      </c>
      <c r="B19" s="162" t="s">
        <v>1991</v>
      </c>
      <c r="C19" s="162" t="s">
        <v>1997</v>
      </c>
      <c r="D19" s="162" t="s">
        <v>1998</v>
      </c>
      <c r="E19" s="162">
        <v>1</v>
      </c>
      <c r="F19" s="162" t="s">
        <v>1979</v>
      </c>
      <c r="G19" s="162" t="s">
        <v>1994</v>
      </c>
    </row>
    <row r="20" spans="1:7">
      <c r="A20" s="57" t="s">
        <v>1553</v>
      </c>
      <c r="B20" s="57" t="s">
        <v>1999</v>
      </c>
      <c r="C20" s="57" t="s">
        <v>2000</v>
      </c>
      <c r="D20" s="57" t="s">
        <v>2001</v>
      </c>
      <c r="E20" s="57">
        <v>1</v>
      </c>
      <c r="F20" s="57" t="s">
        <v>1575</v>
      </c>
      <c r="G20" s="57" t="s">
        <v>2002</v>
      </c>
    </row>
    <row r="21" spans="1:7">
      <c r="A21" s="55" t="s">
        <v>1553</v>
      </c>
      <c r="B21" s="55" t="s">
        <v>2003</v>
      </c>
      <c r="C21" s="55" t="s">
        <v>2004</v>
      </c>
      <c r="D21" s="55" t="s">
        <v>2005</v>
      </c>
      <c r="E21" s="55">
        <v>1</v>
      </c>
      <c r="F21" s="55" t="s">
        <v>1575</v>
      </c>
      <c r="G21" s="55" t="s">
        <v>2002</v>
      </c>
    </row>
    <row r="22" spans="1:7">
      <c r="A22" s="57" t="s">
        <v>1553</v>
      </c>
      <c r="B22" s="57" t="s">
        <v>2006</v>
      </c>
      <c r="C22" s="57" t="s">
        <v>2007</v>
      </c>
      <c r="D22" s="57" t="s">
        <v>2008</v>
      </c>
      <c r="E22" s="57">
        <v>1</v>
      </c>
      <c r="F22" s="57" t="s">
        <v>1575</v>
      </c>
      <c r="G22" s="57" t="s">
        <v>2002</v>
      </c>
    </row>
    <row r="23" spans="1:7">
      <c r="A23" s="55" t="s">
        <v>1553</v>
      </c>
      <c r="B23" s="55" t="s">
        <v>2006</v>
      </c>
      <c r="C23" s="55" t="s">
        <v>2009</v>
      </c>
      <c r="D23" s="55" t="s">
        <v>2010</v>
      </c>
      <c r="E23" s="55">
        <v>1</v>
      </c>
      <c r="F23" s="55" t="s">
        <v>1575</v>
      </c>
      <c r="G23" s="55" t="s">
        <v>2002</v>
      </c>
    </row>
    <row r="24" spans="1:7">
      <c r="A24" s="57" t="s">
        <v>1553</v>
      </c>
      <c r="B24" s="57" t="s">
        <v>2011</v>
      </c>
      <c r="C24" s="57" t="s">
        <v>2012</v>
      </c>
      <c r="D24" s="57" t="s">
        <v>2013</v>
      </c>
      <c r="E24" s="57">
        <v>2</v>
      </c>
      <c r="F24" s="57" t="s">
        <v>1575</v>
      </c>
      <c r="G24" s="57" t="s">
        <v>2002</v>
      </c>
    </row>
    <row r="25" spans="1:7">
      <c r="A25" s="55" t="s">
        <v>1553</v>
      </c>
      <c r="B25" s="55" t="s">
        <v>2014</v>
      </c>
      <c r="C25" s="55" t="s">
        <v>2015</v>
      </c>
      <c r="D25" s="55" t="s">
        <v>2016</v>
      </c>
      <c r="E25" s="55">
        <v>1</v>
      </c>
      <c r="F25" s="55" t="s">
        <v>1575</v>
      </c>
      <c r="G25" s="55" t="s">
        <v>2017</v>
      </c>
    </row>
    <row r="26" spans="1:7" ht="25.5">
      <c r="A26" s="57" t="s">
        <v>1553</v>
      </c>
      <c r="B26" s="57" t="s">
        <v>2014</v>
      </c>
      <c r="C26" s="57" t="s">
        <v>2018</v>
      </c>
      <c r="D26" s="57" t="s">
        <v>2019</v>
      </c>
      <c r="E26" s="57">
        <v>1</v>
      </c>
      <c r="F26" s="57" t="s">
        <v>1575</v>
      </c>
      <c r="G26" s="57" t="s">
        <v>2017</v>
      </c>
    </row>
    <row r="27" spans="1:7" ht="15">
      <c r="A27" s="31" t="s">
        <v>2020</v>
      </c>
      <c r="B27" s="31"/>
      <c r="C27" s="31"/>
      <c r="D27" s="31"/>
      <c r="E27" s="31"/>
      <c r="F27" s="31"/>
      <c r="G27" s="31"/>
    </row>
    <row r="28" spans="1:7">
      <c r="A28" s="57" t="s">
        <v>1554</v>
      </c>
      <c r="B28" s="57" t="s">
        <v>2021</v>
      </c>
      <c r="C28" s="57" t="s">
        <v>2022</v>
      </c>
      <c r="D28" s="57" t="s">
        <v>2023</v>
      </c>
      <c r="E28" s="57">
        <v>1</v>
      </c>
      <c r="F28" s="57" t="s">
        <v>1575</v>
      </c>
      <c r="G28" s="57" t="s">
        <v>1980</v>
      </c>
    </row>
    <row r="29" spans="1:7" ht="25.5">
      <c r="A29" s="55" t="s">
        <v>1554</v>
      </c>
      <c r="B29" s="55" t="s">
        <v>2021</v>
      </c>
      <c r="C29" s="55" t="s">
        <v>2024</v>
      </c>
      <c r="D29" s="55" t="s">
        <v>2025</v>
      </c>
      <c r="E29" s="55">
        <v>1</v>
      </c>
      <c r="F29" s="55" t="s">
        <v>1575</v>
      </c>
      <c r="G29" s="55" t="s">
        <v>1980</v>
      </c>
    </row>
    <row r="30" spans="1:7">
      <c r="A30" s="57" t="s">
        <v>1554</v>
      </c>
      <c r="B30" s="57" t="s">
        <v>2021</v>
      </c>
      <c r="C30" s="57" t="s">
        <v>2026</v>
      </c>
      <c r="D30" s="57" t="s">
        <v>2027</v>
      </c>
      <c r="E30" s="57">
        <v>1</v>
      </c>
      <c r="F30" s="57" t="s">
        <v>1575</v>
      </c>
      <c r="G30" s="57" t="s">
        <v>1980</v>
      </c>
    </row>
    <row r="31" spans="1:7">
      <c r="A31" s="55" t="s">
        <v>1554</v>
      </c>
      <c r="B31" s="55" t="s">
        <v>2021</v>
      </c>
      <c r="C31" s="55" t="s">
        <v>2028</v>
      </c>
      <c r="D31" s="55" t="s">
        <v>2029</v>
      </c>
      <c r="E31" s="55">
        <v>1</v>
      </c>
      <c r="F31" s="55" t="s">
        <v>1575</v>
      </c>
      <c r="G31" s="55" t="s">
        <v>1980</v>
      </c>
    </row>
    <row r="32" spans="1:7" ht="15">
      <c r="A32" s="33" t="s">
        <v>2030</v>
      </c>
      <c r="B32" s="33"/>
      <c r="C32" s="33"/>
      <c r="D32" s="33"/>
      <c r="E32" s="33"/>
      <c r="F32" s="33"/>
      <c r="G32" s="33"/>
    </row>
    <row r="33" spans="1:7">
      <c r="A33" s="162" t="s">
        <v>1556</v>
      </c>
      <c r="B33" s="162" t="s">
        <v>2031</v>
      </c>
      <c r="C33" s="162" t="s">
        <v>2032</v>
      </c>
      <c r="D33" s="162" t="s">
        <v>2033</v>
      </c>
      <c r="E33" s="162">
        <v>1</v>
      </c>
      <c r="F33" s="162" t="s">
        <v>1979</v>
      </c>
      <c r="G33" s="162" t="s">
        <v>1980</v>
      </c>
    </row>
    <row r="34" spans="1:7" ht="15">
      <c r="A34" s="30" t="s">
        <v>2034</v>
      </c>
      <c r="B34" s="30"/>
      <c r="C34" s="30"/>
      <c r="D34" s="30"/>
      <c r="E34" s="30"/>
      <c r="F34" s="30"/>
      <c r="G34" s="30"/>
    </row>
    <row r="35" spans="1:7">
      <c r="A35" s="55" t="s">
        <v>184</v>
      </c>
      <c r="B35" s="55" t="s">
        <v>1937</v>
      </c>
      <c r="C35" s="55" t="s">
        <v>2035</v>
      </c>
      <c r="D35" s="55" t="s">
        <v>2036</v>
      </c>
      <c r="E35" s="55">
        <v>2</v>
      </c>
      <c r="F35" s="55" t="s">
        <v>1575</v>
      </c>
      <c r="G35" s="55" t="s">
        <v>1980</v>
      </c>
    </row>
    <row r="36" spans="1:7">
      <c r="A36" s="57" t="s">
        <v>184</v>
      </c>
      <c r="B36" s="57" t="s">
        <v>1937</v>
      </c>
      <c r="C36" s="57" t="s">
        <v>2037</v>
      </c>
      <c r="D36" s="57" t="s">
        <v>2038</v>
      </c>
      <c r="E36" s="57">
        <v>1</v>
      </c>
      <c r="F36" s="57" t="s">
        <v>1575</v>
      </c>
      <c r="G36" s="57" t="s">
        <v>1980</v>
      </c>
    </row>
    <row r="37" spans="1:7">
      <c r="A37" s="162" t="s">
        <v>184</v>
      </c>
      <c r="B37" s="162" t="s">
        <v>2039</v>
      </c>
      <c r="C37" s="162" t="s">
        <v>2040</v>
      </c>
      <c r="D37" s="162" t="s">
        <v>2041</v>
      </c>
      <c r="E37" s="162">
        <v>2</v>
      </c>
      <c r="F37" s="162" t="s">
        <v>1979</v>
      </c>
      <c r="G37" s="162" t="s">
        <v>1980</v>
      </c>
    </row>
    <row r="38" spans="1:7">
      <c r="A38" s="162" t="s">
        <v>184</v>
      </c>
      <c r="B38" s="162" t="s">
        <v>2039</v>
      </c>
      <c r="C38" s="162" t="s">
        <v>2042</v>
      </c>
      <c r="D38" s="162" t="s">
        <v>2043</v>
      </c>
      <c r="E38" s="162">
        <v>1</v>
      </c>
      <c r="F38" s="162" t="s">
        <v>1979</v>
      </c>
      <c r="G38" s="162" t="s">
        <v>1980</v>
      </c>
    </row>
    <row r="39" spans="1:7">
      <c r="A39" s="55" t="s">
        <v>184</v>
      </c>
      <c r="B39" s="55" t="s">
        <v>1862</v>
      </c>
      <c r="C39" s="55" t="s">
        <v>2044</v>
      </c>
      <c r="D39" s="55" t="s">
        <v>2045</v>
      </c>
      <c r="E39" s="55">
        <v>2</v>
      </c>
      <c r="F39" s="55" t="s">
        <v>1575</v>
      </c>
      <c r="G39" s="55" t="s">
        <v>2046</v>
      </c>
    </row>
    <row r="40" spans="1:7">
      <c r="A40" s="57" t="s">
        <v>184</v>
      </c>
      <c r="B40" s="57" t="s">
        <v>1862</v>
      </c>
      <c r="C40" s="57" t="s">
        <v>372</v>
      </c>
      <c r="D40" s="57" t="s">
        <v>2047</v>
      </c>
      <c r="E40" s="57">
        <v>1</v>
      </c>
      <c r="F40" s="57" t="s">
        <v>1575</v>
      </c>
      <c r="G40" s="57" t="s">
        <v>2046</v>
      </c>
    </row>
    <row r="41" spans="1:7">
      <c r="A41" s="55" t="s">
        <v>184</v>
      </c>
      <c r="B41" s="55" t="s">
        <v>1862</v>
      </c>
      <c r="C41" s="55" t="s">
        <v>1345</v>
      </c>
      <c r="D41" s="55" t="s">
        <v>2048</v>
      </c>
      <c r="E41" s="55">
        <v>1</v>
      </c>
      <c r="F41" s="55" t="s">
        <v>1575</v>
      </c>
      <c r="G41" s="55" t="s">
        <v>2046</v>
      </c>
    </row>
    <row r="42" spans="1:7">
      <c r="A42" s="57" t="s">
        <v>184</v>
      </c>
      <c r="B42" s="57" t="s">
        <v>1967</v>
      </c>
      <c r="C42" s="57" t="s">
        <v>2049</v>
      </c>
      <c r="D42" s="57" t="s">
        <v>2050</v>
      </c>
      <c r="E42" s="57">
        <v>1</v>
      </c>
      <c r="F42" s="57" t="s">
        <v>1575</v>
      </c>
      <c r="G42" s="57" t="s">
        <v>1970</v>
      </c>
    </row>
    <row r="43" spans="1:7">
      <c r="A43" s="55" t="s">
        <v>184</v>
      </c>
      <c r="B43" s="55" t="s">
        <v>2051</v>
      </c>
      <c r="C43" s="55" t="s">
        <v>2052</v>
      </c>
      <c r="D43" s="55" t="s">
        <v>2053</v>
      </c>
      <c r="E43" s="55">
        <v>1</v>
      </c>
      <c r="F43" s="55" t="s">
        <v>1575</v>
      </c>
      <c r="G43" s="55" t="s">
        <v>1970</v>
      </c>
    </row>
    <row r="44" spans="1:7">
      <c r="A44" s="57" t="s">
        <v>184</v>
      </c>
      <c r="B44" s="57" t="s">
        <v>2054</v>
      </c>
      <c r="C44" s="57" t="s">
        <v>2055</v>
      </c>
      <c r="D44" s="57" t="s">
        <v>2056</v>
      </c>
      <c r="E44" s="57">
        <v>1</v>
      </c>
      <c r="F44" s="57" t="s">
        <v>1575</v>
      </c>
      <c r="G44" s="57" t="s">
        <v>2002</v>
      </c>
    </row>
    <row r="45" spans="1:7">
      <c r="A45" s="55" t="s">
        <v>184</v>
      </c>
      <c r="B45" s="55" t="s">
        <v>2057</v>
      </c>
      <c r="C45" s="55" t="s">
        <v>2058</v>
      </c>
      <c r="D45" s="55" t="s">
        <v>2059</v>
      </c>
      <c r="E45" s="55">
        <v>1</v>
      </c>
      <c r="F45" s="55" t="s">
        <v>1575</v>
      </c>
      <c r="G45" s="55" t="s">
        <v>2002</v>
      </c>
    </row>
    <row r="47" spans="1:7" ht="15">
      <c r="A47" s="163" t="s">
        <v>1549</v>
      </c>
      <c r="B47" s="163"/>
      <c r="C47" s="163"/>
      <c r="D47" s="163"/>
      <c r="E47" s="163">
        <v>40</v>
      </c>
      <c r="F47" s="163" t="s">
        <v>2060</v>
      </c>
      <c r="G47" s="163"/>
    </row>
    <row r="48" spans="1:7" ht="25.5">
      <c r="A48" s="164" t="s">
        <v>2061</v>
      </c>
      <c r="C48" s="164"/>
      <c r="D48" s="164" t="s">
        <v>2062</v>
      </c>
      <c r="E48" s="164"/>
      <c r="F48" s="164"/>
      <c r="G48" s="164"/>
    </row>
  </sheetData>
  <phoneticPr fontId="1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010E-4227-465A-BC9E-35BB96A09E43}">
  <dimension ref="A1:F64"/>
  <sheetViews>
    <sheetView workbookViewId="0">
      <selection activeCell="M22" sqref="M22"/>
    </sheetView>
  </sheetViews>
  <sheetFormatPr defaultRowHeight="12.75"/>
  <cols>
    <col min="2" max="2" width="16.28515625" customWidth="1"/>
    <col min="3" max="3" width="27.42578125" customWidth="1"/>
    <col min="4" max="4" width="59.5703125" customWidth="1"/>
    <col min="6" max="6" width="31.7109375" customWidth="1"/>
  </cols>
  <sheetData>
    <row r="1" spans="1:6" ht="19.5">
      <c r="A1" s="15" t="s">
        <v>2572</v>
      </c>
    </row>
    <row r="2" spans="1:6">
      <c r="A2" s="106" t="s">
        <v>2293</v>
      </c>
    </row>
    <row r="4" spans="1:6" ht="15">
      <c r="A4" s="32" t="s">
        <v>2097</v>
      </c>
      <c r="B4" s="32"/>
      <c r="C4" s="32"/>
      <c r="D4" s="32"/>
      <c r="E4" s="32"/>
      <c r="F4" s="32"/>
    </row>
    <row r="5" spans="1:6">
      <c r="A5" s="14" t="s">
        <v>2098</v>
      </c>
      <c r="B5" s="14" t="s">
        <v>2063</v>
      </c>
      <c r="C5" s="14" t="s">
        <v>2099</v>
      </c>
      <c r="D5" s="14" t="s">
        <v>2294</v>
      </c>
      <c r="E5" s="14" t="s">
        <v>2295</v>
      </c>
      <c r="F5" s="14" t="s">
        <v>255</v>
      </c>
    </row>
    <row r="6" spans="1:6" ht="229.5">
      <c r="A6" s="55" t="s">
        <v>2100</v>
      </c>
      <c r="B6" s="55" t="s">
        <v>267</v>
      </c>
      <c r="C6" s="55" t="s">
        <v>2101</v>
      </c>
      <c r="D6" s="55" t="s">
        <v>2296</v>
      </c>
      <c r="E6" s="55" t="s">
        <v>2297</v>
      </c>
      <c r="F6" s="55"/>
    </row>
    <row r="7" spans="1:6" ht="178.5">
      <c r="A7" s="57" t="s">
        <v>2102</v>
      </c>
      <c r="B7" s="57" t="s">
        <v>95</v>
      </c>
      <c r="C7" s="57" t="s">
        <v>2064</v>
      </c>
      <c r="D7" s="57" t="s">
        <v>2298</v>
      </c>
      <c r="E7" s="57" t="s">
        <v>2299</v>
      </c>
      <c r="F7" s="57"/>
    </row>
    <row r="9" spans="1:6" ht="15">
      <c r="A9" s="29" t="s">
        <v>2300</v>
      </c>
      <c r="B9" s="29"/>
      <c r="C9" s="29"/>
      <c r="D9" s="29"/>
      <c r="E9" s="29"/>
      <c r="F9" s="29"/>
    </row>
    <row r="10" spans="1:6">
      <c r="A10" s="14" t="s">
        <v>2098</v>
      </c>
      <c r="B10" s="14" t="s">
        <v>2063</v>
      </c>
      <c r="C10" s="14" t="s">
        <v>2099</v>
      </c>
      <c r="D10" s="14" t="s">
        <v>2294</v>
      </c>
      <c r="E10" s="14" t="s">
        <v>2295</v>
      </c>
      <c r="F10" s="14" t="s">
        <v>255</v>
      </c>
    </row>
    <row r="11" spans="1:6" ht="178.5">
      <c r="A11" s="55" t="s">
        <v>2103</v>
      </c>
      <c r="B11" s="55" t="s">
        <v>2104</v>
      </c>
      <c r="C11" s="55" t="s">
        <v>2105</v>
      </c>
      <c r="D11" s="55" t="s">
        <v>2301</v>
      </c>
      <c r="E11" s="55" t="s">
        <v>2302</v>
      </c>
      <c r="F11" s="55" t="s">
        <v>2106</v>
      </c>
    </row>
    <row r="12" spans="1:6" ht="204">
      <c r="A12" s="57" t="s">
        <v>2107</v>
      </c>
      <c r="B12" s="57" t="s">
        <v>2065</v>
      </c>
      <c r="C12" s="57" t="s">
        <v>2066</v>
      </c>
      <c r="D12" s="57" t="s">
        <v>2303</v>
      </c>
      <c r="E12" s="57" t="s">
        <v>2304</v>
      </c>
      <c r="F12" s="57"/>
    </row>
    <row r="13" spans="1:6" ht="102">
      <c r="A13" s="55" t="s">
        <v>2108</v>
      </c>
      <c r="B13" s="55" t="s">
        <v>2067</v>
      </c>
      <c r="C13" s="55" t="s">
        <v>2068</v>
      </c>
      <c r="D13" s="55" t="s">
        <v>2305</v>
      </c>
      <c r="E13" s="55" t="s">
        <v>2306</v>
      </c>
      <c r="F13" s="55" t="s">
        <v>2307</v>
      </c>
    </row>
    <row r="14" spans="1:6" ht="178.5">
      <c r="A14" s="57" t="s">
        <v>2109</v>
      </c>
      <c r="B14" s="57" t="s">
        <v>2308</v>
      </c>
      <c r="C14" s="57" t="s">
        <v>2110</v>
      </c>
      <c r="D14" s="57" t="s">
        <v>2309</v>
      </c>
      <c r="E14" s="57" t="s">
        <v>2310</v>
      </c>
      <c r="F14" s="57" t="s">
        <v>2311</v>
      </c>
    </row>
    <row r="15" spans="1:6" ht="409.5">
      <c r="A15" s="55" t="s">
        <v>2111</v>
      </c>
      <c r="B15" s="55" t="s">
        <v>2112</v>
      </c>
      <c r="C15" s="55" t="s">
        <v>2113</v>
      </c>
      <c r="D15" s="55" t="s">
        <v>2555</v>
      </c>
      <c r="E15" s="55" t="s">
        <v>2556</v>
      </c>
      <c r="F15" s="55" t="s">
        <v>2312</v>
      </c>
    </row>
    <row r="16" spans="1:6" ht="280.5">
      <c r="A16" s="57" t="s">
        <v>2114</v>
      </c>
      <c r="B16" s="57" t="s">
        <v>2313</v>
      </c>
      <c r="C16" s="57" t="s">
        <v>2069</v>
      </c>
      <c r="D16" s="57" t="s">
        <v>2557</v>
      </c>
      <c r="E16" s="57" t="s">
        <v>2558</v>
      </c>
      <c r="F16" s="57" t="s">
        <v>2314</v>
      </c>
    </row>
    <row r="17" spans="1:6" ht="229.5">
      <c r="A17" s="55" t="s">
        <v>2115</v>
      </c>
      <c r="B17" s="55" t="s">
        <v>2116</v>
      </c>
      <c r="C17" s="55" t="s">
        <v>2117</v>
      </c>
      <c r="D17" s="55" t="s">
        <v>2315</v>
      </c>
      <c r="E17" s="55" t="s">
        <v>2316</v>
      </c>
      <c r="F17" s="55" t="s">
        <v>2317</v>
      </c>
    </row>
    <row r="18" spans="1:6" ht="216.75">
      <c r="A18" s="57" t="s">
        <v>2118</v>
      </c>
      <c r="B18" s="57" t="s">
        <v>2070</v>
      </c>
      <c r="C18" s="57" t="s">
        <v>2071</v>
      </c>
      <c r="D18" s="57" t="s">
        <v>2318</v>
      </c>
      <c r="E18" s="57" t="s">
        <v>2319</v>
      </c>
      <c r="F18" s="57" t="s">
        <v>2307</v>
      </c>
    </row>
    <row r="19" spans="1:6" ht="127.5">
      <c r="A19" s="55" t="s">
        <v>2119</v>
      </c>
      <c r="B19" s="55" t="s">
        <v>289</v>
      </c>
      <c r="C19" s="55" t="s">
        <v>2072</v>
      </c>
      <c r="D19" s="55" t="s">
        <v>2320</v>
      </c>
      <c r="E19" s="55" t="s">
        <v>2321</v>
      </c>
      <c r="F19" s="55"/>
    </row>
    <row r="20" spans="1:6" ht="127.5">
      <c r="A20" s="57" t="s">
        <v>2120</v>
      </c>
      <c r="B20" s="57" t="s">
        <v>2322</v>
      </c>
      <c r="C20" s="57" t="s">
        <v>2073</v>
      </c>
      <c r="D20" s="57" t="s">
        <v>2323</v>
      </c>
      <c r="E20" s="57" t="s">
        <v>2324</v>
      </c>
      <c r="F20" s="57"/>
    </row>
    <row r="21" spans="1:6" ht="76.5">
      <c r="A21" s="55" t="s">
        <v>2121</v>
      </c>
      <c r="B21" s="55" t="s">
        <v>2122</v>
      </c>
      <c r="C21" s="55" t="s">
        <v>2123</v>
      </c>
      <c r="D21" s="55" t="s">
        <v>2325</v>
      </c>
      <c r="E21" s="55" t="s">
        <v>2326</v>
      </c>
      <c r="F21" s="55"/>
    </row>
    <row r="22" spans="1:6" ht="127.5">
      <c r="A22" s="57" t="s">
        <v>2124</v>
      </c>
      <c r="B22" s="57" t="s">
        <v>2125</v>
      </c>
      <c r="C22" s="57" t="s">
        <v>2074</v>
      </c>
      <c r="D22" s="57" t="s">
        <v>2327</v>
      </c>
      <c r="E22" s="57" t="s">
        <v>2328</v>
      </c>
      <c r="F22" s="57"/>
    </row>
    <row r="24" spans="1:6" ht="15">
      <c r="A24" s="31" t="s">
        <v>2126</v>
      </c>
      <c r="B24" s="31"/>
      <c r="C24" s="31"/>
      <c r="D24" s="31"/>
      <c r="E24" s="31"/>
      <c r="F24" s="31"/>
    </row>
    <row r="25" spans="1:6">
      <c r="A25" s="14" t="s">
        <v>2098</v>
      </c>
      <c r="B25" s="14" t="s">
        <v>2063</v>
      </c>
      <c r="C25" s="14" t="s">
        <v>2099</v>
      </c>
      <c r="D25" s="14" t="s">
        <v>2294</v>
      </c>
      <c r="E25" s="14" t="s">
        <v>2295</v>
      </c>
      <c r="F25" s="14" t="s">
        <v>255</v>
      </c>
    </row>
    <row r="26" spans="1:6" ht="153">
      <c r="A26" s="55" t="s">
        <v>2127</v>
      </c>
      <c r="B26" s="55" t="s">
        <v>1839</v>
      </c>
      <c r="C26" s="55" t="s">
        <v>2075</v>
      </c>
      <c r="D26" s="55" t="s">
        <v>2329</v>
      </c>
      <c r="E26" s="55" t="s">
        <v>2330</v>
      </c>
      <c r="F26" s="55"/>
    </row>
    <row r="27" spans="1:6" ht="382.5">
      <c r="A27" s="57" t="s">
        <v>2128</v>
      </c>
      <c r="B27" s="57" t="s">
        <v>2129</v>
      </c>
      <c r="C27" s="57" t="s">
        <v>2331</v>
      </c>
      <c r="D27" s="57" t="s">
        <v>2640</v>
      </c>
      <c r="E27" s="57" t="s">
        <v>2641</v>
      </c>
      <c r="F27" s="57" t="s">
        <v>2312</v>
      </c>
    </row>
    <row r="28" spans="1:6" ht="204">
      <c r="A28" s="55" t="s">
        <v>2130</v>
      </c>
      <c r="B28" s="55" t="s">
        <v>2021</v>
      </c>
      <c r="C28" s="55" t="s">
        <v>2131</v>
      </c>
      <c r="D28" s="55" t="s">
        <v>2332</v>
      </c>
      <c r="E28" s="55" t="s">
        <v>2333</v>
      </c>
      <c r="F28" s="55" t="s">
        <v>2334</v>
      </c>
    </row>
    <row r="29" spans="1:6" ht="63.75">
      <c r="A29" s="57" t="s">
        <v>2132</v>
      </c>
      <c r="B29" s="57" t="s">
        <v>2133</v>
      </c>
      <c r="C29" s="57" t="s">
        <v>2076</v>
      </c>
      <c r="D29" s="57" t="s">
        <v>2335</v>
      </c>
      <c r="E29" s="57" t="s">
        <v>2336</v>
      </c>
      <c r="F29" s="57"/>
    </row>
    <row r="31" spans="1:6" ht="15">
      <c r="A31" s="33" t="s">
        <v>2134</v>
      </c>
      <c r="B31" s="33"/>
      <c r="C31" s="33"/>
      <c r="D31" s="33"/>
      <c r="E31" s="33"/>
      <c r="F31" s="33"/>
    </row>
    <row r="32" spans="1:6">
      <c r="A32" s="14" t="s">
        <v>2098</v>
      </c>
      <c r="B32" s="14" t="s">
        <v>2063</v>
      </c>
      <c r="C32" s="14" t="s">
        <v>2099</v>
      </c>
      <c r="D32" s="14" t="s">
        <v>2294</v>
      </c>
      <c r="E32" s="14" t="s">
        <v>2295</v>
      </c>
      <c r="F32" s="14" t="s">
        <v>255</v>
      </c>
    </row>
    <row r="33" spans="1:6" ht="127.5">
      <c r="A33" s="55" t="s">
        <v>2135</v>
      </c>
      <c r="B33" s="55" t="s">
        <v>1846</v>
      </c>
      <c r="C33" s="55" t="s">
        <v>2077</v>
      </c>
      <c r="D33" s="55" t="s">
        <v>2337</v>
      </c>
      <c r="E33" s="55" t="s">
        <v>2338</v>
      </c>
      <c r="F33" s="55"/>
    </row>
    <row r="34" spans="1:6" ht="409.5">
      <c r="A34" s="57" t="s">
        <v>2136</v>
      </c>
      <c r="B34" s="57" t="s">
        <v>2137</v>
      </c>
      <c r="C34" s="57" t="s">
        <v>2078</v>
      </c>
      <c r="D34" s="57" t="s">
        <v>2642</v>
      </c>
      <c r="E34" s="57" t="s">
        <v>2643</v>
      </c>
      <c r="F34" s="57" t="s">
        <v>2312</v>
      </c>
    </row>
    <row r="35" spans="1:6" ht="76.5">
      <c r="A35" s="55" t="s">
        <v>2138</v>
      </c>
      <c r="B35" s="55" t="s">
        <v>2139</v>
      </c>
      <c r="C35" s="55" t="s">
        <v>2079</v>
      </c>
      <c r="D35" s="55" t="s">
        <v>2339</v>
      </c>
      <c r="E35" s="55" t="s">
        <v>2340</v>
      </c>
      <c r="F35" s="55"/>
    </row>
    <row r="37" spans="1:6" ht="15">
      <c r="A37" s="30" t="s">
        <v>2341</v>
      </c>
      <c r="B37" s="30"/>
      <c r="C37" s="30"/>
      <c r="D37" s="30"/>
      <c r="E37" s="30"/>
      <c r="F37" s="30"/>
    </row>
    <row r="38" spans="1:6">
      <c r="A38" s="14" t="s">
        <v>2098</v>
      </c>
      <c r="B38" s="14" t="s">
        <v>2063</v>
      </c>
      <c r="C38" s="14" t="s">
        <v>2099</v>
      </c>
      <c r="D38" s="14" t="s">
        <v>2294</v>
      </c>
      <c r="E38" s="14" t="s">
        <v>2295</v>
      </c>
      <c r="F38" s="14" t="s">
        <v>255</v>
      </c>
    </row>
    <row r="39" spans="1:6" ht="140.25">
      <c r="A39" s="55" t="s">
        <v>2140</v>
      </c>
      <c r="B39" s="55" t="s">
        <v>1851</v>
      </c>
      <c r="C39" s="55" t="s">
        <v>2080</v>
      </c>
      <c r="D39" s="55" t="s">
        <v>2342</v>
      </c>
      <c r="E39" s="55" t="s">
        <v>2343</v>
      </c>
      <c r="F39" s="55"/>
    </row>
    <row r="40" spans="1:6" ht="153">
      <c r="A40" s="57" t="s">
        <v>2141</v>
      </c>
      <c r="B40" s="57" t="s">
        <v>332</v>
      </c>
      <c r="C40" s="57" t="s">
        <v>2081</v>
      </c>
      <c r="D40" s="57" t="s">
        <v>2344</v>
      </c>
      <c r="E40" s="57" t="s">
        <v>2345</v>
      </c>
      <c r="F40" s="57"/>
    </row>
    <row r="41" spans="1:6" ht="165.75">
      <c r="A41" s="55" t="s">
        <v>2142</v>
      </c>
      <c r="B41" s="55" t="s">
        <v>512</v>
      </c>
      <c r="C41" s="55" t="s">
        <v>2082</v>
      </c>
      <c r="D41" s="55" t="s">
        <v>2346</v>
      </c>
      <c r="E41" s="55" t="s">
        <v>2347</v>
      </c>
      <c r="F41" s="55"/>
    </row>
    <row r="42" spans="1:6" ht="165.75">
      <c r="A42" s="57" t="s">
        <v>2143</v>
      </c>
      <c r="B42" s="57" t="s">
        <v>1937</v>
      </c>
      <c r="C42" s="57" t="s">
        <v>2144</v>
      </c>
      <c r="D42" s="57" t="s">
        <v>2348</v>
      </c>
      <c r="E42" s="57" t="s">
        <v>2349</v>
      </c>
      <c r="F42" s="57" t="s">
        <v>2334</v>
      </c>
    </row>
    <row r="43" spans="1:6" ht="153">
      <c r="A43" s="55" t="s">
        <v>2145</v>
      </c>
      <c r="B43" s="55" t="s">
        <v>2083</v>
      </c>
      <c r="C43" s="55" t="s">
        <v>2084</v>
      </c>
      <c r="D43" s="55" t="s">
        <v>2350</v>
      </c>
      <c r="E43" s="55" t="s">
        <v>2351</v>
      </c>
      <c r="F43" s="55"/>
    </row>
    <row r="44" spans="1:6" ht="102">
      <c r="A44" s="57" t="s">
        <v>2146</v>
      </c>
      <c r="B44" s="57" t="s">
        <v>1059</v>
      </c>
      <c r="C44" s="57" t="s">
        <v>2085</v>
      </c>
      <c r="D44" s="57" t="s">
        <v>2352</v>
      </c>
      <c r="E44" s="57" t="s">
        <v>2353</v>
      </c>
      <c r="F44" s="57"/>
    </row>
    <row r="45" spans="1:6" ht="153">
      <c r="A45" s="55" t="s">
        <v>2147</v>
      </c>
      <c r="B45" s="55" t="s">
        <v>2148</v>
      </c>
      <c r="C45" s="55" t="s">
        <v>2086</v>
      </c>
      <c r="D45" s="55" t="s">
        <v>2354</v>
      </c>
      <c r="E45" s="55" t="s">
        <v>2355</v>
      </c>
      <c r="F45" s="55" t="s">
        <v>2307</v>
      </c>
    </row>
    <row r="46" spans="1:6" ht="114.75">
      <c r="A46" s="57" t="s">
        <v>2149</v>
      </c>
      <c r="B46" s="57" t="s">
        <v>1862</v>
      </c>
      <c r="C46" s="57" t="s">
        <v>2087</v>
      </c>
      <c r="D46" s="57" t="s">
        <v>2356</v>
      </c>
      <c r="E46" s="57" t="s">
        <v>2357</v>
      </c>
      <c r="F46" s="57"/>
    </row>
    <row r="47" spans="1:6" ht="114.75">
      <c r="A47" s="55" t="s">
        <v>2150</v>
      </c>
      <c r="B47" s="55" t="s">
        <v>2088</v>
      </c>
      <c r="C47" s="55" t="s">
        <v>2089</v>
      </c>
      <c r="D47" s="55" t="s">
        <v>2358</v>
      </c>
      <c r="E47" s="55" t="s">
        <v>2359</v>
      </c>
      <c r="F47" s="55"/>
    </row>
    <row r="48" spans="1:6" ht="280.5">
      <c r="A48" s="166" t="s">
        <v>2152</v>
      </c>
      <c r="B48" s="166" t="s">
        <v>2360</v>
      </c>
      <c r="C48" s="166" t="s">
        <v>2361</v>
      </c>
      <c r="D48" s="166" t="s">
        <v>2362</v>
      </c>
      <c r="E48" s="166" t="s">
        <v>2363</v>
      </c>
      <c r="F48" s="166" t="s">
        <v>2364</v>
      </c>
    </row>
    <row r="49" spans="1:6" ht="216.75">
      <c r="A49" s="166" t="s">
        <v>2153</v>
      </c>
      <c r="B49" s="166" t="s">
        <v>2365</v>
      </c>
      <c r="C49" s="166" t="s">
        <v>2366</v>
      </c>
      <c r="D49" s="166" t="s">
        <v>2367</v>
      </c>
      <c r="E49" s="166" t="s">
        <v>2368</v>
      </c>
      <c r="F49" s="166" t="s">
        <v>2106</v>
      </c>
    </row>
    <row r="50" spans="1:6" ht="242.25">
      <c r="A50" s="166" t="s">
        <v>2154</v>
      </c>
      <c r="B50" s="166" t="s">
        <v>2369</v>
      </c>
      <c r="C50" s="166" t="s">
        <v>2370</v>
      </c>
      <c r="D50" s="166" t="s">
        <v>2371</v>
      </c>
      <c r="E50" s="166" t="s">
        <v>2372</v>
      </c>
      <c r="F50" s="166" t="s">
        <v>2364</v>
      </c>
    </row>
    <row r="52" spans="1:6" ht="15">
      <c r="A52" s="35" t="s">
        <v>2151</v>
      </c>
      <c r="B52" s="35"/>
      <c r="C52" s="35"/>
      <c r="D52" s="35"/>
      <c r="E52" s="35"/>
      <c r="F52" s="35"/>
    </row>
    <row r="53" spans="1:6">
      <c r="A53" s="14" t="s">
        <v>2098</v>
      </c>
      <c r="B53" s="14" t="s">
        <v>2063</v>
      </c>
      <c r="C53" s="14" t="s">
        <v>2099</v>
      </c>
      <c r="D53" s="14" t="s">
        <v>2294</v>
      </c>
      <c r="E53" s="14" t="s">
        <v>2295</v>
      </c>
      <c r="F53" s="14" t="s">
        <v>255</v>
      </c>
    </row>
    <row r="54" spans="1:6" ht="178.5">
      <c r="A54" s="55" t="s">
        <v>2155</v>
      </c>
      <c r="B54" s="55" t="s">
        <v>2090</v>
      </c>
      <c r="C54" s="55" t="s">
        <v>2091</v>
      </c>
      <c r="D54" s="55" t="s">
        <v>2373</v>
      </c>
      <c r="E54" s="55" t="s">
        <v>2374</v>
      </c>
      <c r="F54" s="55"/>
    </row>
    <row r="55" spans="1:6" ht="127.5">
      <c r="A55" s="57" t="s">
        <v>2375</v>
      </c>
      <c r="B55" s="57" t="s">
        <v>2092</v>
      </c>
      <c r="C55" s="57" t="s">
        <v>2093</v>
      </c>
      <c r="D55" s="57" t="s">
        <v>2376</v>
      </c>
      <c r="E55" s="57" t="s">
        <v>2377</v>
      </c>
      <c r="F55" s="57"/>
    </row>
    <row r="56" spans="1:6" ht="165.75">
      <c r="A56" s="55" t="s">
        <v>2378</v>
      </c>
      <c r="B56" s="55" t="s">
        <v>2011</v>
      </c>
      <c r="C56" s="55" t="s">
        <v>2094</v>
      </c>
      <c r="D56" s="55" t="s">
        <v>2379</v>
      </c>
      <c r="E56" s="55" t="s">
        <v>2380</v>
      </c>
      <c r="F56" s="55" t="s">
        <v>2307</v>
      </c>
    </row>
    <row r="57" spans="1:6" ht="153">
      <c r="A57" s="57" t="s">
        <v>2381</v>
      </c>
      <c r="B57" s="57" t="s">
        <v>2095</v>
      </c>
      <c r="C57" s="57" t="s">
        <v>2096</v>
      </c>
      <c r="D57" s="57" t="s">
        <v>2382</v>
      </c>
      <c r="E57" s="57" t="s">
        <v>2383</v>
      </c>
      <c r="F57" s="57" t="s">
        <v>2314</v>
      </c>
    </row>
    <row r="59" spans="1:6">
      <c r="A59" s="107" t="s">
        <v>2384</v>
      </c>
      <c r="B59" s="107" t="s">
        <v>2385</v>
      </c>
      <c r="C59" s="107"/>
      <c r="D59" s="107" t="s">
        <v>2386</v>
      </c>
      <c r="E59" s="107"/>
      <c r="F59" s="107"/>
    </row>
    <row r="61" spans="1:6" ht="15">
      <c r="A61" s="171" t="s">
        <v>2559</v>
      </c>
      <c r="B61" s="171"/>
      <c r="C61" s="171"/>
      <c r="D61" s="171"/>
      <c r="E61" s="171"/>
      <c r="F61" s="171"/>
    </row>
    <row r="62" spans="1:6">
      <c r="A62" s="14" t="s">
        <v>2098</v>
      </c>
      <c r="B62" s="14" t="s">
        <v>2063</v>
      </c>
      <c r="C62" s="14" t="s">
        <v>2099</v>
      </c>
      <c r="D62" s="14" t="s">
        <v>2294</v>
      </c>
      <c r="E62" s="14" t="s">
        <v>2295</v>
      </c>
      <c r="F62" s="14" t="s">
        <v>255</v>
      </c>
    </row>
    <row r="63" spans="1:6" ht="216.75">
      <c r="A63" s="111" t="s">
        <v>2560</v>
      </c>
      <c r="B63" s="111" t="s">
        <v>2561</v>
      </c>
      <c r="C63" s="111" t="s">
        <v>2562</v>
      </c>
      <c r="D63" s="111" t="s">
        <v>2563</v>
      </c>
      <c r="E63" s="111" t="s">
        <v>2564</v>
      </c>
      <c r="F63" s="111" t="s">
        <v>2565</v>
      </c>
    </row>
    <row r="64" spans="1:6" ht="267.75">
      <c r="A64" s="162" t="s">
        <v>2566</v>
      </c>
      <c r="B64" s="162" t="s">
        <v>2567</v>
      </c>
      <c r="C64" s="162" t="s">
        <v>2568</v>
      </c>
      <c r="D64" s="162" t="s">
        <v>2569</v>
      </c>
      <c r="E64" s="162" t="s">
        <v>2570</v>
      </c>
      <c r="F64" s="162" t="s">
        <v>2571</v>
      </c>
    </row>
  </sheetData>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025A-CA2E-44D1-88AC-D6DBAA242940}">
  <dimension ref="A1:A314"/>
  <sheetViews>
    <sheetView topLeftCell="A141" workbookViewId="0">
      <selection activeCell="A188" sqref="A188"/>
    </sheetView>
  </sheetViews>
  <sheetFormatPr defaultRowHeight="12.75"/>
  <cols>
    <col min="1" max="1" width="147.28515625" customWidth="1"/>
  </cols>
  <sheetData>
    <row r="1" spans="1:1" ht="18">
      <c r="A1" s="58" t="s">
        <v>2156</v>
      </c>
    </row>
    <row r="2" spans="1:1">
      <c r="A2" s="36"/>
    </row>
    <row r="3" spans="1:1">
      <c r="A3" s="36" t="s">
        <v>2157</v>
      </c>
    </row>
    <row r="4" spans="1:1">
      <c r="A4" s="36" t="s">
        <v>2158</v>
      </c>
    </row>
    <row r="5" spans="1:1">
      <c r="A5" s="36"/>
    </row>
    <row r="6" spans="1:1">
      <c r="A6" s="36" t="s">
        <v>2159</v>
      </c>
    </row>
    <row r="7" spans="1:1">
      <c r="A7" s="36"/>
    </row>
    <row r="8" spans="1:1" ht="15.75">
      <c r="A8" s="165" t="s">
        <v>2160</v>
      </c>
    </row>
    <row r="9" spans="1:1">
      <c r="A9" s="36"/>
    </row>
    <row r="10" spans="1:1">
      <c r="A10" s="36" t="s">
        <v>2161</v>
      </c>
    </row>
    <row r="11" spans="1:1">
      <c r="A11" s="36" t="s">
        <v>2162</v>
      </c>
    </row>
    <row r="12" spans="1:1">
      <c r="A12" s="36" t="s">
        <v>2163</v>
      </c>
    </row>
    <row r="13" spans="1:1">
      <c r="A13" s="36" t="s">
        <v>2164</v>
      </c>
    </row>
    <row r="14" spans="1:1">
      <c r="A14" s="36" t="s">
        <v>2165</v>
      </c>
    </row>
    <row r="15" spans="1:1" ht="15.75">
      <c r="A15" s="165"/>
    </row>
    <row r="16" spans="1:1">
      <c r="A16" s="36" t="s">
        <v>2159</v>
      </c>
    </row>
    <row r="17" spans="1:1">
      <c r="A17" s="36"/>
    </row>
    <row r="18" spans="1:1">
      <c r="A18" s="36" t="s">
        <v>2166</v>
      </c>
    </row>
    <row r="19" spans="1:1">
      <c r="A19" s="36"/>
    </row>
    <row r="20" spans="1:1">
      <c r="A20" s="36" t="s">
        <v>2167</v>
      </c>
    </row>
    <row r="21" spans="1:1">
      <c r="A21" s="36" t="e" cm="1">
        <f t="array" ref="A21">- 시험이 권위 있고 전문적으로 느껴져야 함 (TOEIC·공인회계사 수준의 신뢰감)</f>
        <v>#NAME?</v>
      </c>
    </row>
    <row r="22" spans="1:1">
      <c r="A22" s="36" t="e" cm="1">
        <f t="array" ref="A22">- 각 단계마다 자연스럽게 다음 행동을 유도하는 넛지 문구 삽입</f>
        <v>#NAME?</v>
      </c>
    </row>
    <row r="23" spans="1:1">
      <c r="A23" s="36" t="e">
        <f>- 접수 완료 → 연습문제 구매, 결과 확인 → AI 분석 구매, 합격 → 자격증 신청 유도</f>
        <v>#NAME?</v>
      </c>
    </row>
    <row r="24" spans="1:1">
      <c r="A24" s="36" t="s">
        <v>2168</v>
      </c>
    </row>
    <row r="25" spans="1:1">
      <c r="A25" s="36"/>
    </row>
    <row r="26" spans="1:1">
      <c r="A26" s="36" t="s">
        <v>2169</v>
      </c>
    </row>
    <row r="27" spans="1:1" ht="15.75">
      <c r="A27" s="165" t="s">
        <v>2170</v>
      </c>
    </row>
    <row r="28" spans="1:1">
      <c r="A28" s="36" t="e" cm="1">
        <f t="array" ref="A28">- 문제 작성 중 실시간 미리보기 필수</f>
        <v>#NAME?</v>
      </c>
    </row>
    <row r="29" spans="1:1">
      <c r="A29" s="36" t="s">
        <v>2171</v>
      </c>
    </row>
    <row r="30" spans="1:1">
      <c r="A30" s="36"/>
    </row>
    <row r="31" spans="1:1">
      <c r="A31" s="36" t="s">
        <v>2172</v>
      </c>
    </row>
    <row r="32" spans="1:1" ht="15.75">
      <c r="A32" s="165" t="s">
        <v>2173</v>
      </c>
    </row>
    <row r="33" spans="1:1">
      <c r="A33" s="36" t="e" cm="1">
        <f t="array" ref="A33">- 키보드 단축키 필수: Enter=다음, P=합격, F=불합격, H=보류</f>
        <v>#NAME?</v>
      </c>
    </row>
    <row r="34" spans="1:1">
      <c r="A34" s="36" t="e" cm="1">
        <f t="array" ref="A34">- 실시간 사이드바: 내 처리 건수·남은 건수·오늘 합격률·경과 시간</f>
        <v>#NAME?</v>
      </c>
    </row>
    <row r="35" spans="1:1">
      <c r="A35" s="36"/>
    </row>
    <row r="36" spans="1:1">
      <c r="A36" s="36" t="s">
        <v>2174</v>
      </c>
    </row>
    <row r="37" spans="1:1">
      <c r="A37" s="36" t="s">
        <v>2175</v>
      </c>
    </row>
    <row r="38" spans="1:1">
      <c r="A38" s="36" t="e" cm="1">
        <f t="array" ref="A38">- 클릭 최소화: 슬라이드 패널로 상세 조회·수정을 같은 화면에서 처리</f>
        <v>#NAME?</v>
      </c>
    </row>
    <row r="39" spans="1:1">
      <c r="A39" s="36"/>
    </row>
    <row r="40" spans="1:1">
      <c r="A40" s="36" t="s">
        <v>2159</v>
      </c>
    </row>
    <row r="41" spans="1:1">
      <c r="A41" s="36"/>
    </row>
    <row r="42" spans="1:1">
      <c r="A42" s="36" t="s">
        <v>2176</v>
      </c>
    </row>
    <row r="43" spans="1:1">
      <c r="A43" s="36"/>
    </row>
    <row r="44" spans="1:1">
      <c r="A44" s="36" t="s">
        <v>2177</v>
      </c>
    </row>
    <row r="45" spans="1:1">
      <c r="A45" s="36" t="s">
        <v>2178</v>
      </c>
    </row>
    <row r="46" spans="1:1">
      <c r="A46" s="36" t="s">
        <v>2179</v>
      </c>
    </row>
    <row r="47" spans="1:1">
      <c r="A47" s="36" t="s">
        <v>2180</v>
      </c>
    </row>
    <row r="48" spans="1:1">
      <c r="A48" s="36" t="s">
        <v>2181</v>
      </c>
    </row>
    <row r="49" spans="1:1">
      <c r="A49" s="36" t="s">
        <v>2182</v>
      </c>
    </row>
    <row r="50" spans="1:1" ht="15.75">
      <c r="A50" s="165" t="s">
        <v>2183</v>
      </c>
    </row>
    <row r="51" spans="1:1">
      <c r="A51" s="36" t="s">
        <v>2184</v>
      </c>
    </row>
    <row r="52" spans="1:1">
      <c r="A52" s="36" t="s">
        <v>2185</v>
      </c>
    </row>
    <row r="53" spans="1:1">
      <c r="A53" s="36" t="s">
        <v>2186</v>
      </c>
    </row>
    <row r="54" spans="1:1">
      <c r="A54" s="36" t="s">
        <v>2187</v>
      </c>
    </row>
    <row r="55" spans="1:1">
      <c r="A55" s="36"/>
    </row>
    <row r="56" spans="1:1">
      <c r="A56" s="36" t="s">
        <v>2159</v>
      </c>
    </row>
    <row r="57" spans="1:1">
      <c r="A57" s="36"/>
    </row>
    <row r="58" spans="1:1">
      <c r="A58" s="36" t="s">
        <v>2188</v>
      </c>
    </row>
    <row r="59" spans="1:1">
      <c r="A59" s="36"/>
    </row>
    <row r="60" spans="1:1">
      <c r="A60" s="36" t="s">
        <v>2159</v>
      </c>
    </row>
    <row r="61" spans="1:1">
      <c r="A61" s="36"/>
    </row>
    <row r="62" spans="1:1">
      <c r="A62" s="36" t="s">
        <v>2189</v>
      </c>
    </row>
    <row r="63" spans="1:1">
      <c r="A63" s="36" t="s">
        <v>2190</v>
      </c>
    </row>
    <row r="64" spans="1:1">
      <c r="A64" s="36" t="s">
        <v>2191</v>
      </c>
    </row>
    <row r="65" spans="1:1">
      <c r="A65" s="36" t="s">
        <v>2192</v>
      </c>
    </row>
    <row r="66" spans="1:1">
      <c r="A66" s="36" t="s">
        <v>2193</v>
      </c>
    </row>
    <row r="67" spans="1:1">
      <c r="A67" s="36" t="s">
        <v>2194</v>
      </c>
    </row>
    <row r="68" spans="1:1">
      <c r="A68" s="36" t="e" cm="1">
        <f t="array" ref="A68">- 이메일 + 비밀번호 입력 → JWT 발급 → 역할별 자동 리다이렉트</f>
        <v>#NAME?</v>
      </c>
    </row>
    <row r="69" spans="1:1">
      <c r="A69" s="36" t="e" cm="1">
        <f t="array" ref="A69">- 소셜 로그인: 카카오 / 네이버 / 구글 버튼</f>
        <v>#NAME?</v>
      </c>
    </row>
    <row r="70" spans="1:1">
      <c r="A70" s="36" t="s">
        <v>2195</v>
      </c>
    </row>
    <row r="71" spans="1:1">
      <c r="A71" s="36" t="s">
        <v>2196</v>
      </c>
    </row>
    <row r="72" spans="1:1">
      <c r="A72" s="36" t="s">
        <v>2197</v>
      </c>
    </row>
    <row r="73" spans="1:1">
      <c r="A73" s="36"/>
    </row>
    <row r="74" spans="1:1">
      <c r="A74" s="36" t="s">
        <v>2159</v>
      </c>
    </row>
    <row r="75" spans="1:1">
      <c r="A75" s="36"/>
    </row>
    <row r="76" spans="1:1">
      <c r="A76" s="36" t="s">
        <v>2198</v>
      </c>
    </row>
    <row r="77" spans="1:1">
      <c r="A77" s="36" t="s">
        <v>2199</v>
      </c>
    </row>
    <row r="78" spans="1:1">
      <c r="A78" s="36" t="s">
        <v>2200</v>
      </c>
    </row>
    <row r="79" spans="1:1">
      <c r="A79" s="36" t="s">
        <v>2201</v>
      </c>
    </row>
    <row r="80" spans="1:1">
      <c r="A80" s="36" t="s">
        <v>2202</v>
      </c>
    </row>
    <row r="81" spans="1:1">
      <c r="A81" s="36" t="s">
        <v>2203</v>
      </c>
    </row>
    <row r="82" spans="1:1">
      <c r="A82" s="36" t="s">
        <v>2204</v>
      </c>
    </row>
    <row r="83" spans="1:1">
      <c r="A83" s="36" t="s">
        <v>2205</v>
      </c>
    </row>
    <row r="84" spans="1:1">
      <c r="A84" s="36" t="s">
        <v>2206</v>
      </c>
    </row>
    <row r="85" spans="1:1">
      <c r="A85" s="36"/>
    </row>
    <row r="86" spans="1:1">
      <c r="A86" s="36" t="s">
        <v>2159</v>
      </c>
    </row>
    <row r="87" spans="1:1">
      <c r="A87" s="36"/>
    </row>
    <row r="88" spans="1:1">
      <c r="A88" s="36" t="s">
        <v>2207</v>
      </c>
    </row>
    <row r="89" spans="1:1">
      <c r="A89" s="36" t="s">
        <v>2208</v>
      </c>
    </row>
    <row r="90" spans="1:1">
      <c r="A90" s="36" t="s">
        <v>2209</v>
      </c>
    </row>
    <row r="91" spans="1:1">
      <c r="A91" s="36" t="s">
        <v>2210</v>
      </c>
    </row>
    <row r="92" spans="1:1">
      <c r="A92" s="36" t="s">
        <v>2211</v>
      </c>
    </row>
    <row r="93" spans="1:1">
      <c r="A93" s="36" t="s">
        <v>2212</v>
      </c>
    </row>
    <row r="94" spans="1:1">
      <c r="A94" s="36" t="s">
        <v>2213</v>
      </c>
    </row>
    <row r="95" spans="1:1">
      <c r="A95" s="36" t="s">
        <v>2214</v>
      </c>
    </row>
    <row r="96" spans="1:1">
      <c r="A96" s="36" t="s">
        <v>2215</v>
      </c>
    </row>
    <row r="97" spans="1:1">
      <c r="A97" s="36" t="s">
        <v>2216</v>
      </c>
    </row>
    <row r="98" spans="1:1">
      <c r="A98" s="36"/>
    </row>
    <row r="99" spans="1:1">
      <c r="A99" s="36" t="s">
        <v>2159</v>
      </c>
    </row>
    <row r="100" spans="1:1">
      <c r="A100" s="36"/>
    </row>
    <row r="101" spans="1:1">
      <c r="A101" s="36" t="s">
        <v>2217</v>
      </c>
    </row>
    <row r="102" spans="1:1">
      <c r="A102" s="36" t="s">
        <v>2218</v>
      </c>
    </row>
    <row r="103" spans="1:1">
      <c r="A103" s="36" t="s">
        <v>2219</v>
      </c>
    </row>
    <row r="104" spans="1:1">
      <c r="A104" s="36" t="e" cm="1">
        <f t="array" aca="1" ref="A104" ca="1">- ①시험 선택: 시험 종류(번역/프롬프트/윤리) → 등급 → 지역 → 날짜 필터로 좁히기</f>
        <v>#NAME?</v>
      </c>
    </row>
    <row r="105" spans="1:1">
      <c r="A105" s="36" t="e" cm="1">
        <f t="array" ref="A105">- ②약관 동의: 응시 규정·취소 정책</f>
        <v>#NAME?</v>
      </c>
    </row>
    <row r="106" spans="1:1">
      <c r="A106" s="36" t="e" cm="1">
        <f t="array" ref="A106">- ③접수 확인 + 결제: 선택 정보 요약 + 결제 수단 선택</f>
        <v>#NAME?</v>
      </c>
    </row>
    <row r="107" spans="1:1">
      <c r="A107" s="36" t="s">
        <v>2220</v>
      </c>
    </row>
    <row r="108" spans="1:1">
      <c r="A108" s="36" t="s">
        <v>2221</v>
      </c>
    </row>
    <row r="109" spans="1:1">
      <c r="A109" s="36"/>
    </row>
    <row r="110" spans="1:1">
      <c r="A110" s="36" t="s">
        <v>2159</v>
      </c>
    </row>
    <row r="111" spans="1:1">
      <c r="A111" s="36"/>
    </row>
    <row r="112" spans="1:1">
      <c r="A112" s="36" t="s">
        <v>2222</v>
      </c>
    </row>
    <row r="113" spans="1:1">
      <c r="A113" s="36" t="s">
        <v>2223</v>
      </c>
    </row>
    <row r="114" spans="1:1">
      <c r="A114" s="36" t="s">
        <v>2224</v>
      </c>
    </row>
    <row r="115" spans="1:1">
      <c r="A115" s="36" t="s">
        <v>2225</v>
      </c>
    </row>
    <row r="116" spans="1:1">
      <c r="A116" s="36" t="s">
        <v>2226</v>
      </c>
    </row>
    <row r="117" spans="1:1">
      <c r="A117" s="36" t="e">
        <f>- 프리미엄팩 (유료): 무제한, 모든 등급 접근 가능</f>
        <v>#NAME?</v>
      </c>
    </row>
    <row r="118" spans="1:1">
      <c r="A118" s="36" t="s">
        <v>2227</v>
      </c>
    </row>
    <row r="119" spans="1:1">
      <c r="A119" s="36" t="s">
        <v>2228</v>
      </c>
    </row>
    <row r="120" spans="1:1">
      <c r="A120" s="36" t="s">
        <v>2229</v>
      </c>
    </row>
    <row r="121" spans="1:1">
      <c r="A121" s="36"/>
    </row>
    <row r="122" spans="1:1">
      <c r="A122" s="36" t="s">
        <v>2159</v>
      </c>
    </row>
    <row r="123" spans="1:1">
      <c r="A123" s="36"/>
    </row>
    <row r="124" spans="1:1">
      <c r="A124" s="36" t="s">
        <v>2230</v>
      </c>
    </row>
    <row r="125" spans="1:1">
      <c r="A125" s="36" t="s">
        <v>2231</v>
      </c>
    </row>
    <row r="126" spans="1:1">
      <c r="A126" s="36" t="e" cm="1">
        <f t="array" ref="A126">- 전체화면 강제 (F11 비활성화, 브라우저 탭 이동 감지)</f>
        <v>#NAME?</v>
      </c>
    </row>
    <row r="127" spans="1:1">
      <c r="A127" s="36" t="s">
        <v>2232</v>
      </c>
    </row>
    <row r="128" spans="1:1">
      <c r="A128" s="36" t="s">
        <v>2233</v>
      </c>
    </row>
    <row r="129" spans="1:1">
      <c r="A129" s="36" t="s">
        <v>2234</v>
      </c>
    </row>
    <row r="130" spans="1:1">
      <c r="A130" s="36" t="s">
        <v>2235</v>
      </c>
    </row>
    <row r="131" spans="1:1">
      <c r="A131" s="36" t="s">
        <v>2236</v>
      </c>
    </row>
    <row r="132" spans="1:1">
      <c r="A132" s="36" t="e" cm="1">
        <f t="array" ref="A132">- 중앙 메인: 시험 유형별 에디터</f>
        <v>#NAME?</v>
      </c>
    </row>
    <row r="133" spans="1:1">
      <c r="A133" s="36" t="s">
        <v>2237</v>
      </c>
    </row>
    <row r="134" spans="1:1">
      <c r="A134" s="36" t="s">
        <v>2238</v>
      </c>
    </row>
    <row r="135" spans="1:1">
      <c r="A135" s="36" t="s">
        <v>2239</v>
      </c>
    </row>
    <row r="136" spans="1:1">
      <c r="A136" s="36" t="s">
        <v>2240</v>
      </c>
    </row>
    <row r="137" spans="1:1">
      <c r="A137" s="36" t="e" cm="1">
        <f t="array" ref="A137">- 제출 버튼: 미완 문항 있으면 경고 → 확인 후 제출</f>
        <v>#NAME?</v>
      </c>
    </row>
    <row r="138" spans="1:1">
      <c r="A138" s="36" t="s">
        <v>2241</v>
      </c>
    </row>
    <row r="139" spans="1:1">
      <c r="A139" s="36"/>
    </row>
    <row r="140" spans="1:1">
      <c r="A140" s="36" t="s">
        <v>2159</v>
      </c>
    </row>
    <row r="141" spans="1:1">
      <c r="A141" s="36"/>
    </row>
    <row r="142" spans="1:1">
      <c r="A142" s="36" t="s">
        <v>2242</v>
      </c>
    </row>
    <row r="143" spans="1:1">
      <c r="A143" s="36" t="s">
        <v>2243</v>
      </c>
    </row>
    <row r="144" spans="1:1">
      <c r="A144" s="36" t="s">
        <v>2244</v>
      </c>
    </row>
    <row r="145" spans="1:1">
      <c r="A145" s="36" t="e" cm="1">
        <f t="array" aca="1" ref="A145" ca="1">- 좌 패널(25%): 문항 목록 트리</f>
        <v>#NAME?</v>
      </c>
    </row>
    <row r="146" spans="1:1">
      <c r="A146" s="36" t="s">
        <v>2245</v>
      </c>
    </row>
    <row r="147" spans="1:1">
      <c r="A147" s="36" t="s">
        <v>2246</v>
      </c>
    </row>
    <row r="148" spans="1:1">
      <c r="A148" s="36" t="s">
        <v>2247</v>
      </c>
    </row>
    <row r="149" spans="1:1">
      <c r="A149" s="36" t="e" cm="1">
        <f t="array" aca="1" ref="A149" ca="1">- 중앙 패널(50%): 문항 편집기</f>
        <v>#NAME?</v>
      </c>
    </row>
    <row r="150" spans="1:1">
      <c r="A150" s="36" t="s">
        <v>2248</v>
      </c>
    </row>
    <row r="151" spans="1:1">
      <c r="A151" s="36" t="s">
        <v>2249</v>
      </c>
    </row>
    <row r="152" spans="1:1">
      <c r="A152" s="36" t="s">
        <v>2250</v>
      </c>
    </row>
    <row r="153" spans="1:1">
      <c r="A153" s="36" t="s">
        <v>2251</v>
      </c>
    </row>
    <row r="154" spans="1:1">
      <c r="A154" s="36" t="s">
        <v>2252</v>
      </c>
    </row>
    <row r="155" spans="1:1">
      <c r="A155" s="36" t="s">
        <v>2253</v>
      </c>
    </row>
    <row r="156" spans="1:1">
      <c r="A156" s="36" t="e" cm="1">
        <f t="array" aca="1" ref="A156" ca="1">- 우 패널(25%): 실시간 미리보기</f>
        <v>#NAME?</v>
      </c>
    </row>
    <row r="157" spans="1:1">
      <c r="A157" s="36" t="s">
        <v>2254</v>
      </c>
    </row>
    <row r="158" spans="1:1">
      <c r="A158" s="36" t="s">
        <v>2255</v>
      </c>
    </row>
    <row r="159" spans="1:1">
      <c r="A159" s="36" t="s">
        <v>2256</v>
      </c>
    </row>
    <row r="160" spans="1:1">
      <c r="A160" s="36" t="s">
        <v>2257</v>
      </c>
    </row>
    <row r="161" spans="1:1">
      <c r="A161" s="36" t="s">
        <v>2258</v>
      </c>
    </row>
    <row r="162" spans="1:1">
      <c r="A162" s="36"/>
    </row>
    <row r="163" spans="1:1">
      <c r="A163" s="36" t="s">
        <v>2159</v>
      </c>
    </row>
    <row r="164" spans="1:1">
      <c r="A164" s="36"/>
    </row>
    <row r="165" spans="1:1">
      <c r="A165" s="36" t="s">
        <v>2259</v>
      </c>
    </row>
    <row r="166" spans="1:1">
      <c r="A166" s="36" t="s">
        <v>2260</v>
      </c>
    </row>
    <row r="167" spans="1:1">
      <c r="A167" s="36" t="s">
        <v>2234</v>
      </c>
    </row>
    <row r="168" spans="1:1">
      <c r="A168" s="36" t="e" cm="1">
        <f t="array" ref="A168">- 상단 고정 통계 바: 총 배정 건수 / 완료 건수 / 남은 건수 / 오늘 합격률 / 경과 시간</f>
        <v>#NAME?</v>
      </c>
    </row>
    <row r="169" spans="1:1">
      <c r="A169" s="36" t="e" cm="1">
        <f t="array" aca="1" ref="A169" ca="1">- 중앙 좌(55%): 답안 뷰어</f>
        <v>#NAME?</v>
      </c>
    </row>
    <row r="170" spans="1:1">
      <c r="A170" s="36" t="s">
        <v>2261</v>
      </c>
    </row>
    <row r="171" spans="1:1">
      <c r="A171" s="36" t="s">
        <v>2262</v>
      </c>
    </row>
    <row r="172" spans="1:1">
      <c r="A172" s="36" t="e" cm="1">
        <f t="array" aca="1" ref="A172" ca="1">- 중앙 우(45%): 채점 패널</f>
        <v>#NAME?</v>
      </c>
    </row>
    <row r="173" spans="1:1">
      <c r="A173" s="36" t="s">
        <v>2263</v>
      </c>
    </row>
    <row r="174" spans="1:1">
      <c r="A174" s="36" t="s">
        <v>2264</v>
      </c>
    </row>
    <row r="175" spans="1:1">
      <c r="A175" s="36" t="s">
        <v>2265</v>
      </c>
    </row>
    <row r="176" spans="1:1">
      <c r="A176" s="36" t="s">
        <v>2266</v>
      </c>
    </row>
    <row r="177" spans="1:1">
      <c r="A177" s="36" t="s">
        <v>2267</v>
      </c>
    </row>
    <row r="178" spans="1:1">
      <c r="A178" s="36" t="e" cm="1">
        <f t="array" aca="1" ref="A178" ca="1">- 우측 사이드바(접기 가능): 실시간 합격률 게이지 + 점수 분포 히스토그램</f>
        <v>#NAME?</v>
      </c>
    </row>
    <row r="179" spans="1:1">
      <c r="A179" s="36" t="s">
        <v>2268</v>
      </c>
    </row>
    <row r="180" spans="1:1">
      <c r="A180" s="36" t="s">
        <v>2269</v>
      </c>
    </row>
    <row r="181" spans="1:1">
      <c r="A181" s="36"/>
    </row>
    <row r="182" spans="1:1">
      <c r="A182" s="36" t="s">
        <v>2159</v>
      </c>
    </row>
    <row r="183" spans="1:1">
      <c r="A183" s="36"/>
    </row>
    <row r="184" spans="1:1">
      <c r="A184" s="36" t="s">
        <v>2270</v>
      </c>
    </row>
    <row r="185" spans="1:1">
      <c r="A185" s="36" t="s">
        <v>2271</v>
      </c>
    </row>
    <row r="186" spans="1:1">
      <c r="A186" s="36" t="s">
        <v>2272</v>
      </c>
    </row>
    <row r="187" spans="1:1">
      <c r="A187" s="36" t="s">
        <v>2273</v>
      </c>
    </row>
    <row r="188" spans="1:1">
      <c r="A188" s="36" t="e" cm="1">
        <f t="array" ref="A188">- 시험 현황 타임라인: 진행 예정·진행중·채점중·결과발표 단계별 색상 표시</f>
        <v>#NAME?</v>
      </c>
    </row>
    <row r="189" spans="1:1">
      <c r="A189" s="36" t="e" cm="1">
        <f t="array" ref="A189">- 미처리 알림 패널: 새 이의신청 / 미처리 환불 / 출제 승인 대기 (뱃지 수)</f>
        <v>#NAME?</v>
      </c>
    </row>
    <row r="190" spans="1:1">
      <c r="A190" s="36" t="s">
        <v>2274</v>
      </c>
    </row>
    <row r="191" spans="1:1">
      <c r="A191" s="36" t="s">
        <v>2275</v>
      </c>
    </row>
    <row r="192" spans="1:1">
      <c r="A192" s="36"/>
    </row>
    <row r="193" spans="1:1">
      <c r="A193" s="36" t="s">
        <v>2159</v>
      </c>
    </row>
    <row r="194" spans="1:1">
      <c r="A194" s="36"/>
    </row>
    <row r="195" spans="1:1">
      <c r="A195" s="36" t="s">
        <v>2276</v>
      </c>
    </row>
    <row r="196" spans="1:1">
      <c r="A196" s="36"/>
    </row>
    <row r="197" spans="1:1">
      <c r="A197" s="36" t="s">
        <v>2277</v>
      </c>
    </row>
    <row r="198" spans="1:1">
      <c r="A198" s="36" t="s">
        <v>2278</v>
      </c>
    </row>
    <row r="199" spans="1:1">
      <c r="A199" s="36" t="s">
        <v>2279</v>
      </c>
    </row>
    <row r="200" spans="1:1">
      <c r="A200" s="36" t="s">
        <v>2280</v>
      </c>
    </row>
    <row r="201" spans="1:1">
      <c r="A201" s="36" t="s">
        <v>2281</v>
      </c>
    </row>
    <row r="202" spans="1:1">
      <c r="A202" s="36" t="s">
        <v>2282</v>
      </c>
    </row>
    <row r="203" spans="1:1">
      <c r="A203" s="36" t="s">
        <v>2283</v>
      </c>
    </row>
    <row r="204" spans="1:1">
      <c r="A204" s="36"/>
    </row>
    <row r="205" spans="1:1">
      <c r="A205" s="36" t="s">
        <v>2284</v>
      </c>
    </row>
    <row r="206" spans="1:1">
      <c r="A206" s="36" t="s">
        <v>2285</v>
      </c>
    </row>
    <row r="207" spans="1:1">
      <c r="A207" s="36" t="s">
        <v>2286</v>
      </c>
    </row>
    <row r="208" spans="1:1">
      <c r="A208" s="36" t="s">
        <v>2287</v>
      </c>
    </row>
    <row r="209" spans="1:1">
      <c r="A209" s="36"/>
    </row>
    <row r="210" spans="1:1">
      <c r="A210" s="36" t="s">
        <v>2288</v>
      </c>
    </row>
    <row r="211" spans="1:1">
      <c r="A211" s="36" t="e" cm="1">
        <f t="array" ref="A211">- POST /api/auth/login — JWT 발급</f>
        <v>#NAME?</v>
      </c>
    </row>
    <row r="212" spans="1:1">
      <c r="A212" s="36" t="e" cm="1">
        <f t="array" ref="A212">- GET /api/exams — 시험 목록</f>
        <v>#NAME?</v>
      </c>
    </row>
    <row r="213" spans="1:1">
      <c r="A213" s="36" t="s">
        <v>2289</v>
      </c>
    </row>
    <row r="214" spans="1:1">
      <c r="A214" s="36" t="s">
        <v>2290</v>
      </c>
    </row>
    <row r="215" spans="1:1">
      <c r="A215" s="36" t="e" cm="1">
        <f t="array" ref="A215">- POST /api/analysis/purchase — AI 분석 구매</f>
        <v>#NAME?</v>
      </c>
    </row>
    <row r="216" spans="1:1">
      <c r="A216" s="36" t="s">
        <v>2291</v>
      </c>
    </row>
    <row r="217" spans="1:1">
      <c r="A217" s="36"/>
    </row>
    <row r="218" spans="1:1">
      <c r="A218" s="36" t="s">
        <v>2159</v>
      </c>
    </row>
    <row r="219" spans="1:1">
      <c r="A219" s="36"/>
    </row>
    <row r="220" spans="1:1">
      <c r="A220" s="36" t="s">
        <v>2292</v>
      </c>
    </row>
    <row r="221" spans="1:1">
      <c r="A221" s="36"/>
    </row>
    <row r="222" spans="1:1">
      <c r="A222" s="36" t="s">
        <v>2159</v>
      </c>
    </row>
    <row r="223" spans="1:1">
      <c r="A223" s="36"/>
    </row>
    <row r="224" spans="1:1">
      <c r="A224" s="172" t="s">
        <v>2573</v>
      </c>
    </row>
    <row r="225" spans="1:1">
      <c r="A225" s="36"/>
    </row>
    <row r="226" spans="1:1">
      <c r="A226" s="36" t="s">
        <v>2574</v>
      </c>
    </row>
    <row r="227" spans="1:1">
      <c r="A227" s="36" t="s">
        <v>2575</v>
      </c>
    </row>
    <row r="228" spans="1:1">
      <c r="A228" s="36" t="s">
        <v>2576</v>
      </c>
    </row>
    <row r="229" spans="1:1">
      <c r="A229" s="36" t="s">
        <v>2577</v>
      </c>
    </row>
    <row r="230" spans="1:1">
      <c r="A230" s="36"/>
    </row>
    <row r="231" spans="1:1">
      <c r="A231" s="172" t="s">
        <v>2578</v>
      </c>
    </row>
    <row r="232" spans="1:1">
      <c r="A232" s="36"/>
    </row>
    <row r="233" spans="1:1">
      <c r="A233" s="36" t="s">
        <v>2579</v>
      </c>
    </row>
    <row r="234" spans="1:1">
      <c r="A234" s="36" t="s">
        <v>2580</v>
      </c>
    </row>
    <row r="235" spans="1:1">
      <c r="A235" s="36" t="s">
        <v>2581</v>
      </c>
    </row>
    <row r="236" spans="1:1">
      <c r="A236" s="36" t="s">
        <v>2582</v>
      </c>
    </row>
    <row r="237" spans="1:1">
      <c r="A237" s="36"/>
    </row>
    <row r="238" spans="1:1">
      <c r="A238" s="36" t="s">
        <v>2583</v>
      </c>
    </row>
    <row r="239" spans="1:1">
      <c r="A239" s="36" t="s">
        <v>2584</v>
      </c>
    </row>
    <row r="240" spans="1:1">
      <c r="A240" s="36" t="s">
        <v>2585</v>
      </c>
    </row>
    <row r="241" spans="1:1">
      <c r="A241" s="36" t="s">
        <v>2586</v>
      </c>
    </row>
    <row r="242" spans="1:1">
      <c r="A242" s="36"/>
    </row>
    <row r="243" spans="1:1">
      <c r="A243" s="36" t="s">
        <v>2587</v>
      </c>
    </row>
    <row r="244" spans="1:1">
      <c r="A244" s="36" t="s">
        <v>2588</v>
      </c>
    </row>
    <row r="245" spans="1:1">
      <c r="A245" s="36" t="s">
        <v>2589</v>
      </c>
    </row>
    <row r="246" spans="1:1">
      <c r="A246" s="36" t="s">
        <v>2590</v>
      </c>
    </row>
    <row r="247" spans="1:1">
      <c r="A247" s="36" t="s">
        <v>2591</v>
      </c>
    </row>
    <row r="248" spans="1:1">
      <c r="A248" s="36"/>
    </row>
    <row r="249" spans="1:1">
      <c r="A249" s="36" t="s">
        <v>2592</v>
      </c>
    </row>
    <row r="250" spans="1:1">
      <c r="A250" s="36" t="s">
        <v>2593</v>
      </c>
    </row>
    <row r="251" spans="1:1">
      <c r="A251" s="36" t="s">
        <v>2594</v>
      </c>
    </row>
    <row r="252" spans="1:1">
      <c r="A252" s="36" t="s">
        <v>2595</v>
      </c>
    </row>
    <row r="253" spans="1:1">
      <c r="A253" s="172"/>
    </row>
    <row r="254" spans="1:1">
      <c r="A254" s="36" t="s">
        <v>2596</v>
      </c>
    </row>
    <row r="255" spans="1:1">
      <c r="A255" s="36" t="s">
        <v>2597</v>
      </c>
    </row>
    <row r="256" spans="1:1">
      <c r="A256" s="36" t="s">
        <v>2598</v>
      </c>
    </row>
    <row r="257" spans="1:1">
      <c r="A257" s="36" t="s">
        <v>2599</v>
      </c>
    </row>
    <row r="258" spans="1:1">
      <c r="A258" s="36"/>
    </row>
    <row r="259" spans="1:1">
      <c r="A259" s="36" t="s">
        <v>2600</v>
      </c>
    </row>
    <row r="260" spans="1:1">
      <c r="A260" s="36" t="s">
        <v>2601</v>
      </c>
    </row>
    <row r="261" spans="1:1">
      <c r="A261" s="36" t="s">
        <v>2602</v>
      </c>
    </row>
    <row r="262" spans="1:1">
      <c r="A262" s="36" t="s">
        <v>2603</v>
      </c>
    </row>
    <row r="263" spans="1:1">
      <c r="A263" s="36" t="s">
        <v>2604</v>
      </c>
    </row>
    <row r="264" spans="1:1">
      <c r="A264" s="36"/>
    </row>
    <row r="265" spans="1:1">
      <c r="A265" s="172" t="s">
        <v>2159</v>
      </c>
    </row>
    <row r="266" spans="1:1">
      <c r="A266" s="36"/>
    </row>
    <row r="267" spans="1:1">
      <c r="A267" s="36" t="s">
        <v>2605</v>
      </c>
    </row>
    <row r="268" spans="1:1">
      <c r="A268" s="36"/>
    </row>
    <row r="269" spans="1:1">
      <c r="A269" s="36" t="s">
        <v>2606</v>
      </c>
    </row>
    <row r="270" spans="1:1">
      <c r="A270" s="36"/>
    </row>
    <row r="271" spans="1:1">
      <c r="A271" s="36" t="s">
        <v>2607</v>
      </c>
    </row>
    <row r="272" spans="1:1">
      <c r="A272" s="36" t="s">
        <v>2608</v>
      </c>
    </row>
    <row r="273" spans="1:1">
      <c r="A273" s="36" t="s">
        <v>2609</v>
      </c>
    </row>
    <row r="274" spans="1:1">
      <c r="A274" s="36" t="s">
        <v>2610</v>
      </c>
    </row>
    <row r="275" spans="1:1">
      <c r="A275" s="36"/>
    </row>
    <row r="276" spans="1:1">
      <c r="A276" s="36" t="s">
        <v>2611</v>
      </c>
    </row>
    <row r="277" spans="1:1">
      <c r="A277" s="36" t="s">
        <v>2612</v>
      </c>
    </row>
    <row r="278" spans="1:1">
      <c r="A278" s="36" t="s">
        <v>2613</v>
      </c>
    </row>
    <row r="279" spans="1:1">
      <c r="A279" s="36" t="s">
        <v>2614</v>
      </c>
    </row>
    <row r="280" spans="1:1">
      <c r="A280" s="172" t="s">
        <v>2615</v>
      </c>
    </row>
    <row r="281" spans="1:1">
      <c r="A281" s="36"/>
    </row>
    <row r="282" spans="1:1">
      <c r="A282" s="36" t="s">
        <v>2616</v>
      </c>
    </row>
    <row r="283" spans="1:1">
      <c r="A283" s="36" t="s">
        <v>2617</v>
      </c>
    </row>
    <row r="284" spans="1:1">
      <c r="A284" s="36" t="s">
        <v>2618</v>
      </c>
    </row>
    <row r="285" spans="1:1">
      <c r="A285" s="36" t="s">
        <v>2619</v>
      </c>
    </row>
    <row r="286" spans="1:1">
      <c r="A286" s="36"/>
    </row>
    <row r="287" spans="1:1">
      <c r="A287" s="36" t="s">
        <v>2620</v>
      </c>
    </row>
    <row r="288" spans="1:1">
      <c r="A288" s="36" t="s">
        <v>2621</v>
      </c>
    </row>
    <row r="289" spans="1:1">
      <c r="A289" s="172" t="s">
        <v>2622</v>
      </c>
    </row>
    <row r="290" spans="1:1">
      <c r="A290" s="36" t="s">
        <v>2623</v>
      </c>
    </row>
    <row r="291" spans="1:1">
      <c r="A291" s="36" t="s">
        <v>2624</v>
      </c>
    </row>
    <row r="292" spans="1:1">
      <c r="A292" s="36"/>
    </row>
    <row r="293" spans="1:1">
      <c r="A293" s="36" t="s">
        <v>2159</v>
      </c>
    </row>
    <row r="294" spans="1:1">
      <c r="A294" s="36"/>
    </row>
    <row r="295" spans="1:1">
      <c r="A295" s="36" t="s">
        <v>2625</v>
      </c>
    </row>
    <row r="296" spans="1:1">
      <c r="A296" s="36"/>
    </row>
    <row r="297" spans="1:1">
      <c r="A297" s="36" t="s">
        <v>2626</v>
      </c>
    </row>
    <row r="298" spans="1:1">
      <c r="A298" s="36" t="s">
        <v>2627</v>
      </c>
    </row>
    <row r="299" spans="1:1">
      <c r="A299" s="36" t="s">
        <v>2628</v>
      </c>
    </row>
    <row r="300" spans="1:1">
      <c r="A300" s="36" t="s">
        <v>2629</v>
      </c>
    </row>
    <row r="301" spans="1:1">
      <c r="A301" s="36" t="s">
        <v>2630</v>
      </c>
    </row>
    <row r="302" spans="1:1">
      <c r="A302" s="36" t="s">
        <v>2631</v>
      </c>
    </row>
    <row r="303" spans="1:1">
      <c r="A303" s="36"/>
    </row>
    <row r="304" spans="1:1">
      <c r="A304" s="36" t="s">
        <v>2159</v>
      </c>
    </row>
    <row r="305" spans="1:1">
      <c r="A305" s="36"/>
    </row>
    <row r="306" spans="1:1">
      <c r="A306" s="36" t="s">
        <v>2632</v>
      </c>
    </row>
    <row r="307" spans="1:1">
      <c r="A307" s="36"/>
    </row>
    <row r="308" spans="1:1">
      <c r="A308" s="36" t="s">
        <v>2633</v>
      </c>
    </row>
    <row r="309" spans="1:1">
      <c r="A309" s="36" t="s">
        <v>2634</v>
      </c>
    </row>
    <row r="310" spans="1:1">
      <c r="A310" s="36" t="s">
        <v>2635</v>
      </c>
    </row>
    <row r="311" spans="1:1">
      <c r="A311" s="36" t="s">
        <v>2636</v>
      </c>
    </row>
    <row r="312" spans="1:1">
      <c r="A312" s="36" t="s">
        <v>2637</v>
      </c>
    </row>
    <row r="313" spans="1:1">
      <c r="A313" s="36" t="s">
        <v>2638</v>
      </c>
    </row>
    <row r="314" spans="1:1">
      <c r="A314" s="36" t="s">
        <v>2639</v>
      </c>
    </row>
  </sheetData>
  <phoneticPr fontId="1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5279-093B-4B0A-8FBE-F45CF1FD4D45}">
  <dimension ref="A1:G36"/>
  <sheetViews>
    <sheetView workbookViewId="0"/>
  </sheetViews>
  <sheetFormatPr defaultRowHeight="12.75"/>
  <sheetData>
    <row r="1" spans="1:7" ht="18">
      <c r="A1" s="18" t="s">
        <v>2644</v>
      </c>
    </row>
    <row r="2" spans="1:7">
      <c r="A2" s="106" t="s">
        <v>2645</v>
      </c>
    </row>
    <row r="4" spans="1:7" ht="15">
      <c r="A4" s="32" t="s">
        <v>2646</v>
      </c>
      <c r="B4" s="32"/>
      <c r="C4" s="32"/>
      <c r="D4" s="32"/>
      <c r="E4" s="32"/>
      <c r="F4" s="32"/>
      <c r="G4" s="32"/>
    </row>
    <row r="5" spans="1:7">
      <c r="A5" s="14" t="s">
        <v>813</v>
      </c>
      <c r="B5" s="14" t="s">
        <v>2647</v>
      </c>
      <c r="C5" s="14" t="s">
        <v>2648</v>
      </c>
      <c r="D5" s="14" t="s">
        <v>2649</v>
      </c>
      <c r="E5" s="14"/>
      <c r="F5" s="14"/>
      <c r="G5" s="14"/>
    </row>
    <row r="6" spans="1:7" ht="76.5">
      <c r="A6" s="55" t="s">
        <v>2650</v>
      </c>
      <c r="B6" s="55" t="s">
        <v>2651</v>
      </c>
      <c r="C6" s="55" t="s">
        <v>2652</v>
      </c>
      <c r="D6" s="55" t="s">
        <v>2653</v>
      </c>
      <c r="E6" s="55"/>
      <c r="F6" s="55"/>
      <c r="G6" s="55"/>
    </row>
    <row r="7" spans="1:7" ht="76.5">
      <c r="A7" s="57" t="s">
        <v>990</v>
      </c>
      <c r="B7" s="57" t="s">
        <v>2654</v>
      </c>
      <c r="C7" s="57" t="s">
        <v>2655</v>
      </c>
      <c r="D7" s="57" t="s">
        <v>2656</v>
      </c>
      <c r="E7" s="57"/>
      <c r="F7" s="57"/>
      <c r="G7" s="57"/>
    </row>
    <row r="8" spans="1:7" ht="76.5">
      <c r="A8" s="55" t="s">
        <v>2657</v>
      </c>
      <c r="B8" s="55" t="s">
        <v>2658</v>
      </c>
      <c r="C8" s="55" t="s">
        <v>2659</v>
      </c>
      <c r="D8" s="55" t="s">
        <v>2660</v>
      </c>
      <c r="E8" s="55"/>
      <c r="F8" s="55"/>
      <c r="G8" s="55"/>
    </row>
    <row r="9" spans="1:7" ht="51">
      <c r="A9" s="57" t="s">
        <v>2661</v>
      </c>
      <c r="B9" s="57" t="s">
        <v>2662</v>
      </c>
      <c r="C9" s="57" t="s">
        <v>2663</v>
      </c>
      <c r="D9" s="57" t="s">
        <v>2664</v>
      </c>
      <c r="E9" s="57"/>
      <c r="F9" s="57"/>
      <c r="G9" s="57"/>
    </row>
    <row r="10" spans="1:7" ht="63.75">
      <c r="A10" s="55" t="s">
        <v>2665</v>
      </c>
      <c r="B10" s="55" t="s">
        <v>2666</v>
      </c>
      <c r="C10" s="55" t="s">
        <v>2667</v>
      </c>
      <c r="D10" s="55" t="s">
        <v>2668</v>
      </c>
      <c r="E10" s="55"/>
      <c r="F10" s="55"/>
      <c r="G10" s="55"/>
    </row>
    <row r="12" spans="1:7" ht="15">
      <c r="A12" s="29" t="s">
        <v>2669</v>
      </c>
      <c r="B12" s="29"/>
      <c r="C12" s="29"/>
      <c r="D12" s="29"/>
      <c r="E12" s="29"/>
      <c r="F12" s="29"/>
      <c r="G12" s="29"/>
    </row>
    <row r="13" spans="1:7">
      <c r="A13" s="14" t="s">
        <v>2670</v>
      </c>
      <c r="B13" s="14" t="s">
        <v>731</v>
      </c>
      <c r="C13" s="14" t="s">
        <v>2671</v>
      </c>
      <c r="D13" s="14"/>
      <c r="E13" s="14"/>
      <c r="F13" s="14"/>
      <c r="G13" s="14"/>
    </row>
    <row r="14" spans="1:7" ht="89.25">
      <c r="A14" s="55" t="s">
        <v>2672</v>
      </c>
      <c r="B14" s="55" t="s">
        <v>2673</v>
      </c>
      <c r="C14" s="55" t="s">
        <v>2674</v>
      </c>
      <c r="D14" s="55"/>
      <c r="E14" s="55"/>
      <c r="F14" s="55"/>
      <c r="G14" s="55"/>
    </row>
    <row r="15" spans="1:7" ht="89.25">
      <c r="A15" s="57" t="s">
        <v>2675</v>
      </c>
      <c r="B15" s="57" t="s">
        <v>2676</v>
      </c>
      <c r="C15" s="57" t="s">
        <v>2677</v>
      </c>
      <c r="D15" s="57"/>
      <c r="E15" s="57"/>
      <c r="F15" s="57"/>
      <c r="G15" s="57"/>
    </row>
    <row r="16" spans="1:7" ht="89.25">
      <c r="A16" s="55" t="s">
        <v>2678</v>
      </c>
      <c r="B16" s="55" t="s">
        <v>2679</v>
      </c>
      <c r="C16" s="55" t="s">
        <v>2680</v>
      </c>
      <c r="D16" s="55"/>
      <c r="E16" s="55"/>
      <c r="F16" s="55"/>
      <c r="G16" s="55"/>
    </row>
    <row r="17" spans="1:7" ht="89.25">
      <c r="A17" s="57" t="s">
        <v>2681</v>
      </c>
      <c r="B17" s="57" t="s">
        <v>2682</v>
      </c>
      <c r="C17" s="57" t="s">
        <v>2683</v>
      </c>
      <c r="D17" s="57"/>
      <c r="E17" s="57"/>
      <c r="F17" s="57"/>
      <c r="G17" s="57"/>
    </row>
    <row r="18" spans="1:7" ht="89.25">
      <c r="A18" s="55" t="s">
        <v>2684</v>
      </c>
      <c r="B18" s="55" t="s">
        <v>2685</v>
      </c>
      <c r="C18" s="55" t="s">
        <v>2686</v>
      </c>
      <c r="D18" s="55"/>
      <c r="E18" s="55"/>
      <c r="F18" s="55"/>
      <c r="G18" s="55"/>
    </row>
    <row r="19" spans="1:7" ht="89.25">
      <c r="A19" s="57" t="s">
        <v>2687</v>
      </c>
      <c r="B19" s="57" t="s">
        <v>2688</v>
      </c>
      <c r="C19" s="57" t="s">
        <v>2689</v>
      </c>
      <c r="D19" s="57"/>
      <c r="E19" s="57"/>
      <c r="F19" s="57"/>
      <c r="G19" s="57"/>
    </row>
    <row r="20" spans="1:7" ht="76.5">
      <c r="A20" s="55" t="s">
        <v>2690</v>
      </c>
      <c r="B20" s="55" t="s">
        <v>2691</v>
      </c>
      <c r="C20" s="55" t="s">
        <v>2692</v>
      </c>
      <c r="D20" s="55"/>
      <c r="E20" s="55"/>
      <c r="F20" s="55"/>
      <c r="G20" s="55"/>
    </row>
    <row r="22" spans="1:7" ht="15">
      <c r="A22" s="31" t="s">
        <v>2693</v>
      </c>
      <c r="B22" s="31"/>
      <c r="C22" s="31"/>
      <c r="D22" s="31"/>
      <c r="E22" s="31"/>
      <c r="F22" s="31"/>
      <c r="G22" s="31"/>
    </row>
    <row r="23" spans="1:7">
      <c r="A23" s="14" t="s">
        <v>250</v>
      </c>
      <c r="B23" s="14" t="s">
        <v>2694</v>
      </c>
      <c r="C23" s="14" t="s">
        <v>731</v>
      </c>
      <c r="D23" s="14" t="s">
        <v>2695</v>
      </c>
      <c r="E23" s="14"/>
      <c r="F23" s="14"/>
      <c r="G23" s="14"/>
    </row>
    <row r="24" spans="1:7" ht="140.25">
      <c r="A24" s="111" t="s">
        <v>2696</v>
      </c>
      <c r="B24" s="111" t="s">
        <v>2697</v>
      </c>
      <c r="C24" s="111" t="s">
        <v>2698</v>
      </c>
      <c r="D24" s="111" t="s">
        <v>2699</v>
      </c>
      <c r="E24" s="111"/>
      <c r="F24" s="111"/>
      <c r="G24" s="111"/>
    </row>
    <row r="25" spans="1:7" ht="140.25">
      <c r="A25" s="173" t="s">
        <v>2700</v>
      </c>
      <c r="B25" s="173" t="s">
        <v>2701</v>
      </c>
      <c r="C25" s="173" t="s">
        <v>2702</v>
      </c>
      <c r="D25" s="173" t="s">
        <v>2703</v>
      </c>
      <c r="E25" s="173"/>
      <c r="F25" s="173"/>
      <c r="G25" s="173"/>
    </row>
    <row r="26" spans="1:7" ht="76.5">
      <c r="A26" s="156" t="s">
        <v>2704</v>
      </c>
      <c r="B26" s="156" t="s">
        <v>2705</v>
      </c>
      <c r="C26" s="156" t="s">
        <v>2706</v>
      </c>
      <c r="D26" s="156" t="s">
        <v>2707</v>
      </c>
      <c r="E26" s="156"/>
      <c r="F26" s="156"/>
      <c r="G26" s="156"/>
    </row>
    <row r="27" spans="1:7" ht="51">
      <c r="A27" s="156" t="s">
        <v>2708</v>
      </c>
      <c r="B27" s="156" t="s">
        <v>2709</v>
      </c>
      <c r="C27" s="156" t="s">
        <v>2710</v>
      </c>
      <c r="D27" s="156" t="s">
        <v>2711</v>
      </c>
      <c r="E27" s="156"/>
      <c r="F27" s="156"/>
      <c r="G27" s="156"/>
    </row>
    <row r="29" spans="1:7" ht="15">
      <c r="A29" s="33" t="s">
        <v>2712</v>
      </c>
      <c r="B29" s="33"/>
      <c r="C29" s="33"/>
      <c r="D29" s="33"/>
      <c r="E29" s="33"/>
      <c r="F29" s="33"/>
      <c r="G29" s="33"/>
    </row>
    <row r="30" spans="1:7">
      <c r="A30" s="14" t="s">
        <v>120</v>
      </c>
      <c r="B30" s="14" t="s">
        <v>2713</v>
      </c>
      <c r="C30" s="14" t="s">
        <v>2714</v>
      </c>
      <c r="D30" s="14"/>
      <c r="E30" s="14"/>
      <c r="F30" s="14"/>
      <c r="G30" s="14"/>
    </row>
    <row r="31" spans="1:7" ht="63.75">
      <c r="A31" s="55" t="s">
        <v>729</v>
      </c>
      <c r="B31" s="55" t="s">
        <v>2715</v>
      </c>
      <c r="C31" s="55" t="s">
        <v>2716</v>
      </c>
      <c r="D31" s="55"/>
      <c r="E31" s="55"/>
      <c r="F31" s="55"/>
      <c r="G31" s="55"/>
    </row>
    <row r="32" spans="1:7" ht="102">
      <c r="A32" s="57" t="s">
        <v>2717</v>
      </c>
      <c r="B32" s="57" t="s">
        <v>2650</v>
      </c>
      <c r="C32" s="57" t="s">
        <v>2718</v>
      </c>
      <c r="D32" s="57"/>
      <c r="E32" s="57"/>
      <c r="F32" s="57"/>
      <c r="G32" s="57"/>
    </row>
    <row r="33" spans="1:7" ht="89.25">
      <c r="A33" s="55" t="s">
        <v>2719</v>
      </c>
      <c r="B33" s="55" t="s">
        <v>2720</v>
      </c>
      <c r="C33" s="55" t="s">
        <v>2721</v>
      </c>
      <c r="D33" s="55"/>
      <c r="E33" s="55"/>
      <c r="F33" s="55"/>
      <c r="G33" s="55"/>
    </row>
    <row r="34" spans="1:7" ht="76.5">
      <c r="A34" s="57" t="s">
        <v>2722</v>
      </c>
      <c r="B34" s="57" t="s">
        <v>2723</v>
      </c>
      <c r="C34" s="57" t="s">
        <v>2724</v>
      </c>
      <c r="D34" s="57"/>
      <c r="E34" s="57"/>
      <c r="F34" s="57"/>
      <c r="G34" s="57"/>
    </row>
    <row r="35" spans="1:7" ht="89.25">
      <c r="A35" s="55" t="s">
        <v>2725</v>
      </c>
      <c r="B35" s="55" t="s">
        <v>2726</v>
      </c>
      <c r="C35" s="55" t="s">
        <v>2727</v>
      </c>
      <c r="D35" s="55"/>
      <c r="E35" s="55"/>
      <c r="F35" s="55"/>
      <c r="G35" s="55"/>
    </row>
    <row r="36" spans="1:7" ht="63.75">
      <c r="A36" s="57" t="s">
        <v>2728</v>
      </c>
      <c r="B36" s="57" t="s">
        <v>2729</v>
      </c>
      <c r="C36" s="57" t="s">
        <v>2730</v>
      </c>
      <c r="D36" s="57"/>
      <c r="E36" s="57"/>
      <c r="F36" s="57"/>
      <c r="G36" s="57"/>
    </row>
  </sheetData>
  <phoneticPr fontId="1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F98E-34E0-40E2-90FB-3D3124E56177}">
  <dimension ref="A1:E25"/>
  <sheetViews>
    <sheetView workbookViewId="0">
      <selection activeCell="J8" sqref="J8"/>
    </sheetView>
  </sheetViews>
  <sheetFormatPr defaultRowHeight="12.75"/>
  <cols>
    <col min="4" max="4" width="37.7109375" customWidth="1"/>
    <col min="5" max="5" width="29.85546875" customWidth="1"/>
  </cols>
  <sheetData>
    <row r="1" spans="1:5" ht="19.5">
      <c r="A1" s="15" t="s">
        <v>2511</v>
      </c>
    </row>
    <row r="2" spans="1:5">
      <c r="A2" s="106" t="s">
        <v>2512</v>
      </c>
    </row>
    <row r="4" spans="1:5">
      <c r="A4" s="16" t="s">
        <v>2513</v>
      </c>
      <c r="B4" s="16"/>
      <c r="C4" s="16"/>
      <c r="D4" s="16"/>
      <c r="E4" s="16"/>
    </row>
    <row r="5" spans="1:5">
      <c r="A5" s="14" t="s">
        <v>736</v>
      </c>
      <c r="B5" s="14" t="s">
        <v>2514</v>
      </c>
      <c r="C5" s="14" t="s">
        <v>800</v>
      </c>
      <c r="D5" s="14" t="s">
        <v>2294</v>
      </c>
      <c r="E5" s="14" t="s">
        <v>801</v>
      </c>
    </row>
    <row r="6" spans="1:5" ht="38.25">
      <c r="A6" s="55">
        <v>1</v>
      </c>
      <c r="B6" s="55" t="s">
        <v>74</v>
      </c>
      <c r="C6" s="55" t="s">
        <v>2515</v>
      </c>
      <c r="D6" s="55" t="s">
        <v>2516</v>
      </c>
      <c r="E6" s="55" t="s">
        <v>282</v>
      </c>
    </row>
    <row r="7" spans="1:5" ht="25.5">
      <c r="A7" s="57">
        <v>2</v>
      </c>
      <c r="B7" s="57" t="s">
        <v>2517</v>
      </c>
      <c r="C7" s="57" t="s">
        <v>2518</v>
      </c>
      <c r="D7" s="57" t="s">
        <v>2519</v>
      </c>
      <c r="E7" s="57" t="s">
        <v>282</v>
      </c>
    </row>
    <row r="8" spans="1:5" ht="25.5">
      <c r="A8" s="55">
        <v>3</v>
      </c>
      <c r="B8" s="55" t="s">
        <v>803</v>
      </c>
      <c r="C8" s="55" t="s">
        <v>2520</v>
      </c>
      <c r="D8" s="55" t="s">
        <v>2521</v>
      </c>
      <c r="E8" s="55" t="s">
        <v>282</v>
      </c>
    </row>
    <row r="9" spans="1:5" ht="25.5">
      <c r="A9" s="57">
        <v>4</v>
      </c>
      <c r="B9" s="57" t="s">
        <v>2522</v>
      </c>
      <c r="C9" s="57" t="s">
        <v>2523</v>
      </c>
      <c r="D9" s="57" t="s">
        <v>2524</v>
      </c>
      <c r="E9" s="57" t="s">
        <v>282</v>
      </c>
    </row>
    <row r="10" spans="1:5" ht="25.5">
      <c r="A10" s="55">
        <v>5</v>
      </c>
      <c r="B10" s="55" t="s">
        <v>2525</v>
      </c>
      <c r="C10" s="55" t="s">
        <v>2526</v>
      </c>
      <c r="D10" s="55" t="s">
        <v>2527</v>
      </c>
      <c r="E10" s="55" t="s">
        <v>282</v>
      </c>
    </row>
    <row r="12" spans="1:5">
      <c r="A12" s="17" t="s">
        <v>2528</v>
      </c>
      <c r="B12" s="17"/>
      <c r="C12" s="17"/>
      <c r="D12" s="17"/>
      <c r="E12" s="17"/>
    </row>
    <row r="13" spans="1:5">
      <c r="A13" s="14" t="s">
        <v>736</v>
      </c>
      <c r="B13" s="14" t="s">
        <v>2514</v>
      </c>
      <c r="C13" s="14" t="s">
        <v>2529</v>
      </c>
      <c r="D13" s="14" t="s">
        <v>2294</v>
      </c>
      <c r="E13" s="14" t="s">
        <v>156</v>
      </c>
    </row>
    <row r="14" spans="1:5">
      <c r="A14" s="69">
        <v>1</v>
      </c>
      <c r="B14" s="69" t="s">
        <v>2530</v>
      </c>
      <c r="C14" s="69" t="s">
        <v>2531</v>
      </c>
      <c r="D14" s="69" t="s">
        <v>2532</v>
      </c>
      <c r="E14" s="69" t="s">
        <v>282</v>
      </c>
    </row>
    <row r="15" spans="1:5">
      <c r="A15" s="70">
        <v>2</v>
      </c>
      <c r="B15" s="70" t="s">
        <v>2533</v>
      </c>
      <c r="C15" s="70" t="s">
        <v>2534</v>
      </c>
      <c r="D15" s="70" t="s">
        <v>2535</v>
      </c>
      <c r="E15" s="70" t="s">
        <v>282</v>
      </c>
    </row>
    <row r="16" spans="1:5">
      <c r="A16" s="69">
        <v>3</v>
      </c>
      <c r="B16" s="69" t="s">
        <v>2536</v>
      </c>
      <c r="C16" s="69" t="s">
        <v>2537</v>
      </c>
      <c r="D16" s="69" t="s">
        <v>2538</v>
      </c>
      <c r="E16" s="69" t="s">
        <v>282</v>
      </c>
    </row>
    <row r="17" spans="1:5">
      <c r="A17" s="70">
        <v>4</v>
      </c>
      <c r="B17" s="70" t="s">
        <v>2539</v>
      </c>
      <c r="C17" s="70" t="s">
        <v>2540</v>
      </c>
      <c r="D17" s="70" t="s">
        <v>2541</v>
      </c>
      <c r="E17" s="70" t="s">
        <v>282</v>
      </c>
    </row>
    <row r="18" spans="1:5">
      <c r="A18" s="69">
        <v>5</v>
      </c>
      <c r="B18" s="69" t="s">
        <v>2542</v>
      </c>
      <c r="C18" s="69" t="s">
        <v>2543</v>
      </c>
      <c r="D18" s="69" t="s">
        <v>2544</v>
      </c>
      <c r="E18" s="69" t="s">
        <v>282</v>
      </c>
    </row>
    <row r="20" spans="1:5">
      <c r="A20" s="34" t="s">
        <v>2545</v>
      </c>
      <c r="B20" s="34"/>
      <c r="C20" s="34"/>
      <c r="D20" s="34"/>
      <c r="E20" s="34"/>
    </row>
    <row r="21" spans="1:5">
      <c r="A21" s="14" t="s">
        <v>736</v>
      </c>
      <c r="B21" s="14" t="s">
        <v>2514</v>
      </c>
      <c r="C21" s="14" t="s">
        <v>2529</v>
      </c>
      <c r="D21" s="14" t="s">
        <v>731</v>
      </c>
      <c r="E21" s="14" t="s">
        <v>156</v>
      </c>
    </row>
    <row r="22" spans="1:5">
      <c r="A22" s="69">
        <v>1</v>
      </c>
      <c r="B22" s="69" t="s">
        <v>733</v>
      </c>
      <c r="C22" s="69" t="s">
        <v>2546</v>
      </c>
      <c r="D22" s="69" t="s">
        <v>2547</v>
      </c>
      <c r="E22" s="69" t="s">
        <v>2548</v>
      </c>
    </row>
    <row r="23" spans="1:5">
      <c r="A23" s="70">
        <v>2</v>
      </c>
      <c r="B23" s="70" t="s">
        <v>204</v>
      </c>
      <c r="C23" s="70" t="s">
        <v>2549</v>
      </c>
      <c r="D23" s="70" t="s">
        <v>2550</v>
      </c>
      <c r="E23" s="70" t="s">
        <v>2548</v>
      </c>
    </row>
    <row r="24" spans="1:5">
      <c r="A24" s="69">
        <v>3</v>
      </c>
      <c r="B24" s="69" t="s">
        <v>735</v>
      </c>
      <c r="C24" s="69" t="s">
        <v>2551</v>
      </c>
      <c r="D24" s="69" t="s">
        <v>2552</v>
      </c>
      <c r="E24" s="69" t="s">
        <v>2548</v>
      </c>
    </row>
    <row r="25" spans="1:5">
      <c r="A25" s="70">
        <v>4</v>
      </c>
      <c r="B25" s="70" t="s">
        <v>2553</v>
      </c>
      <c r="C25" s="70" t="s">
        <v>2522</v>
      </c>
      <c r="D25" s="70" t="s">
        <v>2554</v>
      </c>
      <c r="E25" s="70" t="s">
        <v>2548</v>
      </c>
    </row>
  </sheetData>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1. 📋 목차</vt:lpstr>
      <vt:lpstr>2. 🏢 플랫폼 개요</vt:lpstr>
      <vt:lpstr>3. 🗄️ DB 설계</vt:lpstr>
      <vt:lpstr>4. 🌐 공통 메뉴구조</vt:lpstr>
      <vt:lpstr>5. 🧪 시험 모듈</vt:lpstr>
      <vt:lpstr>6. 🖥️ 화면 목록</vt:lpstr>
      <vt:lpstr>7. ⚠️ 미결 사항</vt:lpstr>
      <vt:lpstr>8. 🛠️ 개발 참고</vt:lpstr>
      <vt:lpstr>📊 이성일 개발내역</vt:lpstr>
      <vt:lpstr>이성일원본</vt:lpstr>
      <vt:lpstr>9. 🔄 화면 통합 분석</vt:lpstr>
      <vt:lpstr>10. 📝 개발 명세 (이성일형식)</vt:lpstr>
      <vt:lpstr>11. 📱 최소 화면 목록</vt:lpstr>
      <vt:lpstr>12. 📄 AI 개발 지시 MD</vt:lpstr>
      <vt:lpstr>📤 은정것 공유 요약</vt:lpstr>
      <vt:lpstr>15. 🌐 기타 서비스 계획 (원본)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MYCOM</dc:creator>
  <cp:lastModifiedBy>user</cp:lastModifiedBy>
  <dcterms:created xsi:type="dcterms:W3CDTF">2026-06-22T07:47:22Z</dcterms:created>
  <dcterms:modified xsi:type="dcterms:W3CDTF">2026-06-24T08:45:03Z</dcterms:modified>
</cp:coreProperties>
</file>