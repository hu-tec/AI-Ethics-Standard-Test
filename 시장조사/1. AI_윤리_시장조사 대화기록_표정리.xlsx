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worksheets/sheet11.xml" ContentType="application/vnd.openxmlformats-officedocument.spreadsheetml.worksheet+xml"/>
  <Override PartName="/xl/tables/table11.xml" ContentType="application/vnd.openxmlformats-officedocument.spreadsheetml.table+xml"/>
  <Override PartName="/xl/worksheets/sheet12.xml" ContentType="application/vnd.openxmlformats-officedocument.spreadsheetml.worksheet+xml"/>
  <Override PartName="/xl/tables/table12.xml" ContentType="application/vnd.openxmlformats-officedocument.spreadsheetml.table+xml"/>
  <Override PartName="/xl/worksheets/sheet13.xml" ContentType="application/vnd.openxmlformats-officedocument.spreadsheetml.worksheet+xml"/>
  <Override PartName="/xl/tables/table13.xml" ContentType="application/vnd.openxmlformats-officedocument.spreadsheetml.table+xml"/>
  <Override PartName="/xl/worksheets/sheet14.xml" ContentType="application/vnd.openxmlformats-officedocument.spreadsheetml.worksheet+xml"/>
  <Override PartName="/xl/tables/table14.xml" ContentType="application/vnd.openxmlformats-officedocument.spreadsheetml.table+xml"/>
  <Override PartName="/xl/worksheets/sheet15.xml" ContentType="application/vnd.openxmlformats-officedocument.spreadsheetml.worksheet+xml"/>
  <Override PartName="/xl/tables/table15.xml" ContentType="application/vnd.openxmlformats-officedocument.spreadsheetml.table+xml"/>
  <Override PartName="/xl/worksheets/sheet16.xml" ContentType="application/vnd.openxmlformats-officedocument.spreadsheetml.worksheet+xml"/>
  <Override PartName="/xl/tables/table16.xml" ContentType="application/vnd.openxmlformats-officedocument.spreadsheetml.table+xml"/>
  <Override PartName="/xl/worksheets/sheet17.xml" ContentType="application/vnd.openxmlformats-officedocument.spreadsheetml.worksheet+xml"/>
  <Override PartName="/xl/tables/table17.xml" ContentType="application/vnd.openxmlformats-officedocument.spreadsheetml.table+xml"/>
  <Override PartName="/xl/worksheets/sheet18.xml" ContentType="application/vnd.openxmlformats-officedocument.spreadsheetml.worksheet+xml"/>
  <Override PartName="/xl/tables/table18.xml" ContentType="application/vnd.openxmlformats-officedocument.spreadsheetml.table+xml"/>
  <Override PartName="/xl/worksheets/sheet19.xml" ContentType="application/vnd.openxmlformats-officedocument.spreadsheetml.worksheet+xml"/>
  <Override PartName="/xl/tables/table19.xml" ContentType="application/vnd.openxmlformats-officedocument.spreadsheetml.table+xml"/>
  <Override PartName="/xl/worksheets/sheet20.xml" ContentType="application/vnd.openxmlformats-officedocument.spreadsheetml.worksheet+xml"/>
  <Override PartName="/xl/tables/table20.xml" ContentType="application/vnd.openxmlformats-officedocument.spreadsheetml.table+xml"/>
  <Override PartName="/xl/worksheets/sheet21.xml" ContentType="application/vnd.openxmlformats-officedocument.spreadsheetml.worksheet+xml"/>
  <Override PartName="/xl/tables/table21.xml" ContentType="application/vnd.openxmlformats-officedocument.spreadsheetml.table+xml"/>
  <Override PartName="/xl/worksheets/sheet22.xml" ContentType="application/vnd.openxmlformats-officedocument.spreadsheetml.worksheet+xml"/>
  <Override PartName="/xl/tables/table22.xml" ContentType="application/vnd.openxmlformats-officedocument.spreadsheetml.table+xml"/>
  <Override PartName="/xl/worksheets/sheet23.xml" ContentType="application/vnd.openxmlformats-officedocument.spreadsheetml.worksheet+xml"/>
  <Override PartName="/xl/tables/table23.xml" ContentType="application/vnd.openxmlformats-officedocument.spreadsheetml.table+xml"/>
  <Override PartName="/xl/worksheets/sheet24.xml" ContentType="application/vnd.openxmlformats-officedocument.spreadsheetml.worksheet+xml"/>
  <Override PartName="/xl/tables/table24.xml" ContentType="application/vnd.openxmlformats-officedocument.spreadsheetml.table+xml"/>
  <Override PartName="/xl/worksheets/sheet25.xml" ContentType="application/vnd.openxmlformats-officedocument.spreadsheetml.worksheet+xml"/>
  <Override PartName="/xl/tables/table25.xml" ContentType="application/vnd.openxmlformats-officedocument.spreadsheetml.table+xml"/>
  <Override PartName="/xl/worksheets/sheet26.xml" ContentType="application/vnd.openxmlformats-officedocument.spreadsheetml.worksheet+xml"/>
  <Override PartName="/xl/tables/table26.xml" ContentType="application/vnd.openxmlformats-officedocument.spreadsheetml.table+xml"/>
  <Override PartName="/xl/worksheets/sheet27.xml" ContentType="application/vnd.openxmlformats-officedocument.spreadsheetml.worksheet+xml"/>
  <Override PartName="/xl/tables/table27.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81f0f33ead2a4672" /></Relationships>
</file>

<file path=xl/workbook.xml><?xml version="1.0" encoding="utf-8"?>
<x:workbook xmlns:x="http://schemas.openxmlformats.org/spreadsheetml/2006/main">
  <x:sheets>
    <x:sheet xmlns:r="http://schemas.openxmlformats.org/officeDocument/2006/relationships" name="목차" sheetId="1" r:id="Rb1e4d0e0ba14488b"/>
    <x:sheet xmlns:r="http://schemas.openxmlformats.org/officeDocument/2006/relationships" name="대화원문" sheetId="2" r:id="Rf962908aabc94092"/>
    <x:sheet xmlns:r="http://schemas.openxmlformats.org/officeDocument/2006/relationships" name="링크목록" sheetId="3" r:id="Rc10619d2e36a4a2b"/>
    <x:sheet xmlns:r="http://schemas.openxmlformats.org/officeDocument/2006/relationships" name="표01_1. 공식자료 확인 요청_구분" sheetId="4" r:id="Rf504d09dd9de4d95"/>
    <x:sheet xmlns:r="http://schemas.openxmlformats.org/officeDocument/2006/relationships" name="표02_국가·권역별 AI 윤리 현_구분" sheetId="5" r:id="R51802836618242e8"/>
    <x:sheet xmlns:r="http://schemas.openxmlformats.org/officeDocument/2006/relationships" name="표03_1) 국가별 AI 윤리·규_국가 권역" sheetId="6" r:id="Rf9bd4c0454f34061"/>
    <x:sheet xmlns:r="http://schemas.openxmlformats.org/officeDocument/2006/relationships" name="표04_2) 기관별 국제기구별_기관" sheetId="7" r:id="Rdd95b32900154d6b"/>
    <x:sheet xmlns:r="http://schemas.openxmlformats.org/officeDocument/2006/relationships" name="표05_3) 한국 AI 기본법 정_항목" sheetId="8" r:id="R88ca2cdca4584326"/>
    <x:sheet xmlns:r="http://schemas.openxmlformats.org/officeDocument/2006/relationships" name="표06_4) ISO 기준_ISO 기준" sheetId="9" r:id="R7b5bf31e4af14fd7"/>
    <x:sheet xmlns:r="http://schemas.openxmlformats.org/officeDocument/2006/relationships" name="표07_5) ESG와 AI 윤리 _ESG 영역" sheetId="10" r:id="Rbaf5a138a1ce4fd8"/>
    <x:sheet xmlns:r="http://schemas.openxmlformats.org/officeDocument/2006/relationships" name="표08_1) 국가별 AI 윤리·규_국가 권역" sheetId="11" r:id="R3a89344c1dc74af3"/>
    <x:sheet xmlns:r="http://schemas.openxmlformats.org/officeDocument/2006/relationships" name="표09_2) 기관별 국제기구별_기관" sheetId="12" r:id="Rb173a438b1424b0a"/>
    <x:sheet xmlns:r="http://schemas.openxmlformats.org/officeDocument/2006/relationships" name="표10_3) 한국 기본법 및 국내_구분" sheetId="13" r:id="R991c21fdc0734ea7"/>
    <x:sheet xmlns:r="http://schemas.openxmlformats.org/officeDocument/2006/relationships" name="표11_4) ISO AI 윤리·거_ISO 자료" sheetId="14" r:id="R7932ba1df86c4d94"/>
    <x:sheet xmlns:r="http://schemas.openxmlformats.org/officeDocument/2006/relationships" name="표12_5) ESG 관점의 AI _ESG 영역" sheetId="15" r:id="R61e15e1483854b2b"/>
    <x:sheet xmlns:r="http://schemas.openxmlformats.org/officeDocument/2006/relationships" name="표13_교육 목표_역량" sheetId="16" r:id="R9e6b3a2b7c904678"/>
    <x:sheet xmlns:r="http://schemas.openxmlformats.org/officeDocument/2006/relationships" name="표14_16시간 커리큘럼_차시" sheetId="17" r:id="Ra9719146b86d45fa"/>
    <x:sheet xmlns:r="http://schemas.openxmlformats.org/officeDocument/2006/relationships" name="표15_1. 네 분류는 이렇게 공_분류" sheetId="18" r:id="R904525e4c768437b"/>
    <x:sheet xmlns:r="http://schemas.openxmlformats.org/officeDocument/2006/relationships" name="표16_AI 문서윤리_항목" sheetId="19" r:id="R5cb2c667c6964083"/>
    <x:sheet xmlns:r="http://schemas.openxmlformats.org/officeDocument/2006/relationships" name="표17_AI 음성윤리_항목" sheetId="20" r:id="Re40183e84e8c4ae0"/>
    <x:sheet xmlns:r="http://schemas.openxmlformats.org/officeDocument/2006/relationships" name="표18_AI 영상윤리_항목" sheetId="21" r:id="R112cd3fc0b774cb5"/>
    <x:sheet xmlns:r="http://schemas.openxmlformats.org/officeDocument/2006/relationships" name="표19_AI 이미지윤리_항목" sheetId="22" r:id="Ree37a0fedf0e47d6"/>
    <x:sheet xmlns:r="http://schemas.openxmlformats.org/officeDocument/2006/relationships" name="표20_AI 광고·홍보윤리_항목" sheetId="23" r:id="Rfed6ade7802647ef"/>
    <x:sheet xmlns:r="http://schemas.openxmlformats.org/officeDocument/2006/relationships" name="표21_AI툴 윤리_항목" sheetId="24" r:id="Re9eb0775aedd4d31"/>
    <x:sheet xmlns:r="http://schemas.openxmlformats.org/officeDocument/2006/relationships" name="표22_3. DB에는 이렇게 새 _대분류" sheetId="25" r:id="Redd5885020fe4aca"/>
    <x:sheet xmlns:r="http://schemas.openxmlformats.org/officeDocument/2006/relationships" name="표23_3. DB에는 이렇게 새 _대분류" sheetId="26" r:id="R27f6ffc3387c4ccb"/>
    <x:sheet xmlns:r="http://schemas.openxmlformats.org/officeDocument/2006/relationships" name="표24_8. 기능별 + 산업별 A_구분" sheetId="27" r:id="R156a91e0db814dfb"/>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b/>
      <x:sz val="14"/>
      <x:color rgb="FFFFFFFF"/>
      <x:name val="Carlito"/>
    </x:font>
    <x:font>
      <x:b/>
      <x:sz val="11"/>
      <x:name val="Carlito"/>
    </x:font>
    <x:font>
      <x:b/>
      <x:sz val="11"/>
      <x:color rgb="FFFFFFFF"/>
      <x:name val="Carlito"/>
    </x:font>
    <x:font>
      <x:b/>
      <x:sz val="12"/>
      <x:color rgb="FFFFFFFF"/>
      <x:name val="Carlito"/>
    </x:font>
  </x:fonts>
  <x:fills count="4">
    <x:fill>
      <x:patternFill patternType="none"/>
    </x:fill>
    <x:fill>
      <x:patternFill patternType="gray125"/>
    </x:fill>
    <x:fill>
      <x:patternFill patternType="solid">
        <x:fgColor rgb="FF1F4E78"/>
      </x:patternFill>
    </x:fill>
    <x:fill>
      <x:patternFill patternType="solid">
        <x:fgColor rgb="FFD9EAF7"/>
      </x:patternFill>
    </x:fill>
  </x:fills>
  <x:borders count="2">
    <x:border/>
    <x:border/>
  </x:borders>
  <x:cellStyleXfs count="1">
    <x:xf numFmtId="0" fontId="0" fillId="0" borderId="0"/>
  </x:cellStyleXfs>
  <x:cellXfs count="42">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vertical="center"/>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vertical="center"/>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3" fillId="2" borderId="0" xfId="0" applyNumberFormat="1" applyFont="1" applyFill="1" applyBorder="1"/>
    <x:xf numFmtId="0" fontId="3" fillId="2" borderId="0" xfId="0" applyNumberFormat="1" applyFont="1" applyFill="1" applyBorder="1" applyAlignment="1">
      <x:alignment horizontal="center"/>
    </x:xf>
    <x:xf numFmtId="0" fontId="3" fillId="2" borderId="1" xfId="0" applyNumberFormat="1" applyFont="1" applyFill="1" applyBorder="1"/>
    <x:xf numFmtId="0" fontId="3" fillId="2" borderId="1" xfId="0" applyNumberFormat="1" applyFont="1" applyFill="1" applyBorder="1" applyAlignment="1">
      <x:alignment horizontal="center"/>
    </x:xf>
    <x:xf numFmtId="0" fontId="1" fillId="2" borderId="0" xfId="0" applyNumberFormat="1" applyFont="1" applyFill="1" applyBorder="1" applyAlignment="1">
      <x:alignment horizontal="center" vertical="center" wrapText="1"/>
    </x:xf>
    <x:xf numFmtId="0" fontId="1" fillId="2" borderId="1" xfId="0" applyNumberFormat="1" applyFont="1" applyFill="1" applyBorder="1" applyAlignment="1">
      <x:alignment horizontal="center" vertical="center" wrapText="1"/>
    </x:xf>
    <x:xf numFmtId="0" fontId="3" fillId="2" borderId="0" xfId="0" applyNumberFormat="1" applyFont="1" applyFill="1" applyBorder="1" applyAlignment="1">
      <x:alignment horizontal="center" vertical="center"/>
    </x:xf>
    <x:xf numFmtId="0" fontId="3" fillId="2" borderId="1" xfId="0" applyNumberFormat="1" applyFont="1" applyFill="1" applyBorder="1" applyAlignment="1">
      <x:alignment horizontal="center" vertical="center"/>
    </x:xf>
    <x:xf numFmtId="0" fontId="3" fillId="2" borderId="0" xfId="0" applyNumberFormat="1" applyFont="1" applyFill="1" applyBorder="1" applyAlignment="1">
      <x:alignment horizontal="center" vertical="center" wrapText="1"/>
    </x:xf>
    <x:xf numFmtId="0" fontId="3" fillId="2" borderId="1" xfId="0" applyNumberFormat="1" applyFont="1" applyFill="1" applyBorder="1" applyAlignment="1">
      <x:alignment horizontal="center" vertical="center" wrapText="1"/>
    </x:xf>
    <x:xf numFmtId="0" fontId="3" fillId="2" borderId="0" xfId="0" applyNumberFormat="1" applyFont="1" applyFill="1" applyBorder="1" applyAlignment="1">
      <x:alignment horizontal="center" wrapText="1"/>
    </x:xf>
    <x:xf numFmtId="0" fontId="3" fillId="2" borderId="1" xfId="0" applyNumberFormat="1" applyFont="1" applyFill="1" applyBorder="1" applyAlignment="1">
      <x:alignment horizontal="center" wrapText="1"/>
    </x:xf>
    <x:xf numFmtId="0" fontId="4" fillId="2" borderId="0" xfId="0" applyNumberFormat="1" applyFont="1" applyFill="1" applyBorder="1"/>
    <x:xf numFmtId="0" fontId="4" fillId="2" borderId="0" xfId="0" applyNumberFormat="1" applyFont="1" applyFill="1" applyBorder="1" applyAlignment="1">
      <x:alignment horizontal="center"/>
    </x:xf>
    <x:xf numFmtId="0" fontId="4" fillId="2" borderId="0" xfId="0" applyNumberFormat="1" applyFont="1" applyFill="1" applyBorder="1" applyAlignment="1">
      <x:alignment horizontal="center" vertical="center"/>
    </x:xf>
    <x:xf numFmtId="0" fontId="4" fillId="2" borderId="1" xfId="0" applyNumberFormat="1" applyFont="1" applyFill="1" applyBorder="1"/>
    <x:xf numFmtId="0" fontId="4" fillId="2" borderId="1" xfId="0" applyNumberFormat="1" applyFont="1" applyFill="1" applyBorder="1" applyAlignment="1">
      <x:alignment horizontal="center"/>
    </x:xf>
    <x:xf numFmtId="0" fontId="4" fillId="2" borderId="1" xfId="0" applyNumberFormat="1" applyFont="1" applyFill="1" applyBorder="1" applyAlignment="1">
      <x:alignment horizontal="center" vertical="center"/>
    </x:xf>
    <x:xf numFmtId="0" fontId="2" fillId="3" borderId="0" xfId="0" applyNumberFormat="1" applyFont="1" applyFill="1" applyBorder="1" applyAlignment="1">
      <x:alignment horizontal="center"/>
    </x:xf>
    <x:xf numFmtId="0" fontId="2" fillId="3" borderId="0" xfId="0" applyNumberFormat="1" applyFont="1" applyFill="1" applyBorder="1" applyAlignment="1">
      <x:alignment horizontal="center" vertical="center"/>
    </x:xf>
    <x:xf numFmtId="0" fontId="2" fillId="3" borderId="1" xfId="0" applyNumberFormat="1" applyFont="1" applyFill="1" applyBorder="1" applyAlignment="1">
      <x:alignment horizontal="center"/>
    </x:xf>
    <x:xf numFmtId="0" fontId="2" fillId="3" borderId="1" xfId="0" applyNumberFormat="1" applyFont="1" applyFill="1" applyBorder="1" applyAlignment="1">
      <x:alignment horizontal="center" vertical="center"/>
    </x:xf>
    <x:xf numFmtId="0" fontId="2" fillId="3" borderId="0" xfId="0" applyNumberFormat="1" applyFont="1" applyFill="1" applyBorder="1" applyAlignment="1">
      <x:alignment horizontal="center" vertical="center" wrapText="1"/>
    </x:xf>
    <x:xf numFmtId="0" fontId="2" fillId="3" borderId="1" xfId="0" applyNumberFormat="1" applyFont="1" applyFill="1" applyBorder="1" applyAlignment="1">
      <x:alignment horizontal="center"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7f89b07b5277438b" /><Relationship Type="http://schemas.openxmlformats.org/officeDocument/2006/relationships/theme" Target="/xl/theme/theme1.xml" Id="Rdcf3d567eeec4527" /><Relationship Type="http://schemas.openxmlformats.org/officeDocument/2006/relationships/sharedStrings" Target="/xl/sharedStrings.xml" Id="R8f3e7d37f3b94207" /><Relationship Type="http://schemas.openxmlformats.org/officeDocument/2006/relationships/worksheet" Target="/xl/worksheets/sheet1.xml" Id="Rb1e4d0e0ba14488b" /><Relationship Type="http://schemas.openxmlformats.org/officeDocument/2006/relationships/worksheet" Target="/xl/worksheets/sheet2.xml" Id="Rf962908aabc94092" /><Relationship Type="http://schemas.openxmlformats.org/officeDocument/2006/relationships/worksheet" Target="/xl/worksheets/sheet3.xml" Id="Rc10619d2e36a4a2b" /><Relationship Type="http://schemas.openxmlformats.org/officeDocument/2006/relationships/worksheet" Target="/xl/worksheets/sheet4.xml" Id="Rf504d09dd9de4d95" /><Relationship Type="http://schemas.openxmlformats.org/officeDocument/2006/relationships/worksheet" Target="/xl/worksheets/sheet5.xml" Id="R51802836618242e8" /><Relationship Type="http://schemas.openxmlformats.org/officeDocument/2006/relationships/worksheet" Target="/xl/worksheets/sheet6.xml" Id="Rf9bd4c0454f34061" /><Relationship Type="http://schemas.openxmlformats.org/officeDocument/2006/relationships/worksheet" Target="/xl/worksheets/sheet7.xml" Id="Rdd95b32900154d6b" /><Relationship Type="http://schemas.openxmlformats.org/officeDocument/2006/relationships/worksheet" Target="/xl/worksheets/sheet8.xml" Id="R88ca2cdca4584326" /><Relationship Type="http://schemas.openxmlformats.org/officeDocument/2006/relationships/worksheet" Target="/xl/worksheets/sheet9.xml" Id="R7b5bf31e4af14fd7" /><Relationship Type="http://schemas.openxmlformats.org/officeDocument/2006/relationships/worksheet" Target="/xl/worksheets/sheet10.xml" Id="Rbaf5a138a1ce4fd8" /><Relationship Type="http://schemas.openxmlformats.org/officeDocument/2006/relationships/worksheet" Target="/xl/worksheets/sheet11.xml" Id="R3a89344c1dc74af3" /><Relationship Type="http://schemas.openxmlformats.org/officeDocument/2006/relationships/worksheet" Target="/xl/worksheets/sheet12.xml" Id="Rb173a438b1424b0a" /><Relationship Type="http://schemas.openxmlformats.org/officeDocument/2006/relationships/worksheet" Target="/xl/worksheets/sheet13.xml" Id="R991c21fdc0734ea7" /><Relationship Type="http://schemas.openxmlformats.org/officeDocument/2006/relationships/worksheet" Target="/xl/worksheets/sheet14.xml" Id="R7932ba1df86c4d94" /><Relationship Type="http://schemas.openxmlformats.org/officeDocument/2006/relationships/worksheet" Target="/xl/worksheets/sheet15.xml" Id="R61e15e1483854b2b" /><Relationship Type="http://schemas.openxmlformats.org/officeDocument/2006/relationships/worksheet" Target="/xl/worksheets/sheet16.xml" Id="R9e6b3a2b7c904678" /><Relationship Type="http://schemas.openxmlformats.org/officeDocument/2006/relationships/worksheet" Target="/xl/worksheets/sheet17.xml" Id="Ra9719146b86d45fa" /><Relationship Type="http://schemas.openxmlformats.org/officeDocument/2006/relationships/worksheet" Target="/xl/worksheets/sheet18.xml" Id="R904525e4c768437b" /><Relationship Type="http://schemas.openxmlformats.org/officeDocument/2006/relationships/worksheet" Target="/xl/worksheets/sheet19.xml" Id="R5cb2c667c6964083" /><Relationship Type="http://schemas.openxmlformats.org/officeDocument/2006/relationships/worksheet" Target="/xl/worksheets/sheet20.xml" Id="Re40183e84e8c4ae0" /><Relationship Type="http://schemas.openxmlformats.org/officeDocument/2006/relationships/worksheet" Target="/xl/worksheets/sheet21.xml" Id="R112cd3fc0b774cb5" /><Relationship Type="http://schemas.openxmlformats.org/officeDocument/2006/relationships/worksheet" Target="/xl/worksheets/sheet22.xml" Id="Ree37a0fedf0e47d6" /><Relationship Type="http://schemas.openxmlformats.org/officeDocument/2006/relationships/worksheet" Target="/xl/worksheets/sheet23.xml" Id="Rfed6ade7802647ef" /><Relationship Type="http://schemas.openxmlformats.org/officeDocument/2006/relationships/worksheet" Target="/xl/worksheets/sheet24.xml" Id="Re9eb0775aedd4d31" /><Relationship Type="http://schemas.openxmlformats.org/officeDocument/2006/relationships/worksheet" Target="/xl/worksheets/sheet25.xml" Id="Redd5885020fe4aca" /><Relationship Type="http://schemas.openxmlformats.org/officeDocument/2006/relationships/worksheet" Target="/xl/worksheets/sheet26.xml" Id="R27f6ffc3387c4ccb" /><Relationship Type="http://schemas.openxmlformats.org/officeDocument/2006/relationships/worksheet" Target="/xl/worksheets/sheet27.xml" Id="R156a91e0db814dfb" /></Relationships>
</file>

<file path=xl/tables/table1.xml><?xml version="1.0" encoding="utf-8"?>
<x:table xmlns:x="http://schemas.openxmlformats.org/spreadsheetml/2006/main" id="1" name="TOC_Table" displayName="TOC_Table" ref="A10:E34" headerRowCount="1">
  <x:tableColumns count="5">
    <x:tableColumn id="1" name="No"/>
    <x:tableColumn id="2" name="시트명"/>
    <x:tableColumn id="3" name="원문 제목"/>
    <x:tableColumn id="4" name="행 수"/>
    <x:tableColumn id="5" name="열 수"/>
  </x:tableColumns>
  <x:tableStyleInfo name="TableStyleMedium2" showRowStripes="1"/>
</x:table>
</file>

<file path=xl/tables/table2.xml><?xml version="1.0" encoding="utf-8"?>
<x:table xmlns:x="http://schemas.openxmlformats.org/spreadsheetml/2006/main" id="2" name="DialogueTable" displayName="DialogueTable" ref="A1:D40" headerRowCount="1">
  <x:tableColumns count="4">
    <x:tableColumn id="1" name="섹션번호"/>
    <x:tableColumn id="2" name="섹션명"/>
    <x:tableColumn id="3" name="발화자"/>
    <x:tableColumn id="4" name="내용"/>
  </x:tableColumns>
  <x:tableStyleInfo name="TableStyleMedium2" showRowStripes="1"/>
</x:table>
</file>

<file path=xl/tables/table3.xml><?xml version="1.0" encoding="utf-8"?>
<x:table xmlns:x="http://schemas.openxmlformats.org/spreadsheetml/2006/main" id="3" name="LinksTable" displayName="LinksTable" ref="A1:D9" headerRowCount="1">
  <x:tableColumns count="4">
    <x:tableColumn id="1" name="No"/>
    <x:tableColumn id="2" name="섹션"/>
    <x:tableColumn id="3" name="클릭"/>
    <x:tableColumn id="4" name="URL원문"/>
  </x:tableColumns>
  <x:tableStyleInfo name="TableStyleMedium2" showRowStripes="1"/>
</x:table>
</file>

<file path=xl/tables/table4.xml><?xml version="1.0" encoding="utf-8"?>
<x:table xmlns:x="http://schemas.openxmlformats.org/spreadsheetml/2006/main" id="4" name="Table001" displayName="Table001" ref="A3:C9" headerRowCount="1">
  <x:tableColumns count="3">
    <x:tableColumn id="1" name="구분"/>
    <x:tableColumn id="2" name="공식자료"/>
    <x:tableColumn id="3" name="확인되는 내용"/>
  </x:tableColumns>
  <x:tableStyleInfo name="TableStyleMedium2" showRowStripes="1"/>
</x:table>
</file>

<file path=xl/tables/table5.xml><?xml version="1.0" encoding="utf-8"?>
<x:table xmlns:x="http://schemas.openxmlformats.org/spreadsheetml/2006/main" id="5" name="Table002" displayName="Table002" ref="A3:C14" headerRowCount="1">
  <x:tableColumns count="3">
    <x:tableColumn id="1" name="구분"/>
    <x:tableColumn id="2" name="최신 현황"/>
    <x:tableColumn id="3" name="윤리·규제 핵심"/>
  </x:tableColumns>
  <x:tableStyleInfo name="TableStyleMedium2" showRowStripes="1"/>
</x:table>
</file>

<file path=xl/tables/table6.xml><?xml version="1.0" encoding="utf-8"?>
<x:table xmlns:x="http://schemas.openxmlformats.org/spreadsheetml/2006/main" id="6" name="Table003" displayName="Table003" ref="A3:C12" headerRowCount="1">
  <x:tableColumns count="3">
    <x:tableColumn id="1" name="국가/권역"/>
    <x:tableColumn id="2" name="최신 현황"/>
    <x:tableColumn id="3" name="강사 양성 관점에서 봐야 할 포인트"/>
  </x:tableColumns>
  <x:tableStyleInfo name="TableStyleMedium2" showRowStripes="1"/>
</x:table>
</file>

<file path=xl/tables/table7.xml><?xml version="1.0" encoding="utf-8"?>
<x:table xmlns:x="http://schemas.openxmlformats.org/spreadsheetml/2006/main" id="7" name="Table004" displayName="Table004" ref="A3:C8" headerRowCount="1">
  <x:tableColumns count="3">
    <x:tableColumn id="1" name="기관"/>
    <x:tableColumn id="2" name="핵심 자료"/>
    <x:tableColumn id="3" name="핵심 내용"/>
  </x:tableColumns>
  <x:tableStyleInfo name="TableStyleMedium2" showRowStripes="1"/>
</x:table>
</file>

<file path=xl/tables/table8.xml><?xml version="1.0" encoding="utf-8"?>
<x:table xmlns:x="http://schemas.openxmlformats.org/spreadsheetml/2006/main" id="8" name="Table005" displayName="Table005" ref="A3:B10" headerRowCount="1">
  <x:tableColumns count="2">
    <x:tableColumn id="1" name="항목"/>
    <x:tableColumn id="2" name="내용"/>
  </x:tableColumns>
  <x:tableStyleInfo name="TableStyleMedium2" showRowStripes="1"/>
</x:table>
</file>

<file path=xl/tables/table9.xml><?xml version="1.0" encoding="utf-8"?>
<x:table xmlns:x="http://schemas.openxmlformats.org/spreadsheetml/2006/main" id="9" name="Table006" displayName="Table006" ref="A3:C7" headerRowCount="1">
  <x:tableColumns count="3">
    <x:tableColumn id="1" name="ISO 기준"/>
    <x:tableColumn id="2" name="내용"/>
    <x:tableColumn id="3" name="강사 양성 활용 포인트"/>
  </x:tableColumns>
  <x:tableStyleInfo name="TableStyleMedium2" showRowStripes="1"/>
</x:table>
</file>

<file path=xl/tables/table10.xml><?xml version="1.0" encoding="utf-8"?>
<x:table xmlns:x="http://schemas.openxmlformats.org/spreadsheetml/2006/main" id="10" name="Table007" displayName="Table007" ref="A3:B6" headerRowCount="1">
  <x:tableColumns count="2">
    <x:tableColumn id="1" name="ESG 영역"/>
    <x:tableColumn id="2" name="AI 윤리와의 연결"/>
  </x:tableColumns>
  <x:tableStyleInfo name="TableStyleMedium2" showRowStripes="1"/>
</x:table>
</file>

<file path=xl/tables/table11.xml><?xml version="1.0" encoding="utf-8"?>
<x:table xmlns:x="http://schemas.openxmlformats.org/spreadsheetml/2006/main" id="11" name="Table008" displayName="Table008" ref="A3:D22" headerRowCount="1">
  <x:tableColumns count="4">
    <x:tableColumn id="1" name="국가/권역"/>
    <x:tableColumn id="2" name="공식자료"/>
    <x:tableColumn id="3" name="핵심 내용"/>
    <x:tableColumn id="4" name="강사 교육 활용 포인트"/>
  </x:tableColumns>
  <x:tableStyleInfo name="TableStyleMedium2" showRowStripes="1"/>
</x:table>
</file>

<file path=xl/tables/table12.xml><?xml version="1.0" encoding="utf-8"?>
<x:table xmlns:x="http://schemas.openxmlformats.org/spreadsheetml/2006/main" id="12" name="Table009" displayName="Table009" ref="A3:D13" headerRowCount="1">
  <x:tableColumns count="4">
    <x:tableColumn id="1" name="기관"/>
    <x:tableColumn id="2" name="공식자료"/>
    <x:tableColumn id="3" name="핵심 내용"/>
    <x:tableColumn id="4" name="강사 교육 활용 포인트"/>
  </x:tableColumns>
  <x:tableStyleInfo name="TableStyleMedium2" showRowStripes="1"/>
</x:table>
</file>

<file path=xl/tables/table13.xml><?xml version="1.0" encoding="utf-8"?>
<x:table xmlns:x="http://schemas.openxmlformats.org/spreadsheetml/2006/main" id="13" name="Table010" displayName="Table010" ref="A3:C7" headerRowCount="1">
  <x:tableColumns count="3">
    <x:tableColumn id="1" name="구분"/>
    <x:tableColumn id="2" name="공식자료"/>
    <x:tableColumn id="3" name="교육에서 다룰 핵심"/>
  </x:tableColumns>
  <x:tableStyleInfo name="TableStyleMedium2" showRowStripes="1"/>
</x:table>
</file>

<file path=xl/tables/table14.xml><?xml version="1.0" encoding="utf-8"?>
<x:table xmlns:x="http://schemas.openxmlformats.org/spreadsheetml/2006/main" id="14" name="Table011" displayName="Table011" ref="A3:C14" headerRowCount="1">
  <x:tableColumns count="3">
    <x:tableColumn id="1" name="ISO 자료"/>
    <x:tableColumn id="2" name="핵심 내용"/>
    <x:tableColumn id="3" name="강사 교육 활용 포인트"/>
  </x:tableColumns>
  <x:tableStyleInfo name="TableStyleMedium2" showRowStripes="1"/>
</x:table>
</file>

<file path=xl/tables/table15.xml><?xml version="1.0" encoding="utf-8"?>
<x:table xmlns:x="http://schemas.openxmlformats.org/spreadsheetml/2006/main" id="15" name="Table012" displayName="Table012" ref="A3:B8" headerRowCount="1">
  <x:tableColumns count="2">
    <x:tableColumn id="1" name="ESG 영역"/>
    <x:tableColumn id="2" name="AI 윤리 이슈"/>
  </x:tableColumns>
  <x:tableStyleInfo name="TableStyleMedium2" showRowStripes="1"/>
</x:table>
</file>

<file path=xl/tables/table16.xml><?xml version="1.0" encoding="utf-8"?>
<x:table xmlns:x="http://schemas.openxmlformats.org/spreadsheetml/2006/main" id="16" name="Table013" displayName="Table013" ref="A3:B10" headerRowCount="1">
  <x:tableColumns count="2">
    <x:tableColumn id="1" name="역량"/>
    <x:tableColumn id="2" name="설명"/>
  </x:tableColumns>
  <x:tableStyleInfo name="TableStyleMedium2" showRowStripes="1"/>
</x:table>
</file>

<file path=xl/tables/table17.xml><?xml version="1.0" encoding="utf-8"?>
<x:table xmlns:x="http://schemas.openxmlformats.org/spreadsheetml/2006/main" id="17" name="Table014" displayName="Table014" ref="A3:E11" headerRowCount="1">
  <x:tableColumns count="5">
    <x:tableColumn id="1" name="차시"/>
    <x:tableColumn id="2" name="시간"/>
    <x:tableColumn id="3" name="주제"/>
    <x:tableColumn id="4" name="핵심 내용"/>
    <x:tableColumn id="5" name="실습/산출물"/>
  </x:tableColumns>
  <x:tableStyleInfo name="TableStyleMedium2" showRowStripes="1"/>
</x:table>
</file>

<file path=xl/tables/table18.xml><?xml version="1.0" encoding="utf-8"?>
<x:table xmlns:x="http://schemas.openxmlformats.org/spreadsheetml/2006/main" id="18" name="Table015" displayName="Table015" ref="A3:D9" headerRowCount="1">
  <x:tableColumns count="4">
    <x:tableColumn id="1" name="분류"/>
    <x:tableColumn id="2" name="글로벌 규제·가이드에서 실제로 다루는 방식"/>
    <x:tableColumn id="3" name="핵심 이슈"/>
    <x:tableColumn id="4" name="대표 공식근거"/>
  </x:tableColumns>
  <x:tableStyleInfo name="TableStyleMedium2" showRowStripes="1"/>
</x:table>
</file>

<file path=xl/tables/table19.xml><?xml version="1.0" encoding="utf-8"?>
<x:table xmlns:x="http://schemas.openxmlformats.org/spreadsheetml/2006/main" id="19" name="Table016" displayName="Table016" ref="A3:B9" headerRowCount="1">
  <x:tableColumns count="2">
    <x:tableColumn id="1" name="항목"/>
    <x:tableColumn id="2" name="내용"/>
  </x:tableColumns>
  <x:tableStyleInfo name="TableStyleMedium2" showRowStripes="1"/>
</x:table>
</file>

<file path=xl/tables/table20.xml><?xml version="1.0" encoding="utf-8"?>
<x:table xmlns:x="http://schemas.openxmlformats.org/spreadsheetml/2006/main" id="20" name="Table017" displayName="Table017" ref="A3:B9" headerRowCount="1">
  <x:tableColumns count="2">
    <x:tableColumn id="1" name="항목"/>
    <x:tableColumn id="2" name="내용"/>
  </x:tableColumns>
  <x:tableStyleInfo name="TableStyleMedium2" showRowStripes="1"/>
</x:table>
</file>

<file path=xl/tables/table21.xml><?xml version="1.0" encoding="utf-8"?>
<x:table xmlns:x="http://schemas.openxmlformats.org/spreadsheetml/2006/main" id="21" name="Table018" displayName="Table018" ref="A3:B9" headerRowCount="1">
  <x:tableColumns count="2">
    <x:tableColumn id="1" name="항목"/>
    <x:tableColumn id="2" name="내용"/>
  </x:tableColumns>
  <x:tableStyleInfo name="TableStyleMedium2" showRowStripes="1"/>
</x:table>
</file>

<file path=xl/tables/table22.xml><?xml version="1.0" encoding="utf-8"?>
<x:table xmlns:x="http://schemas.openxmlformats.org/spreadsheetml/2006/main" id="22" name="Table019" displayName="Table019" ref="A3:B9" headerRowCount="1">
  <x:tableColumns count="2">
    <x:tableColumn id="1" name="항목"/>
    <x:tableColumn id="2" name="내용"/>
  </x:tableColumns>
  <x:tableStyleInfo name="TableStyleMedium2" showRowStripes="1"/>
</x:table>
</file>

<file path=xl/tables/table23.xml><?xml version="1.0" encoding="utf-8"?>
<x:table xmlns:x="http://schemas.openxmlformats.org/spreadsheetml/2006/main" id="23" name="Table020" displayName="Table020" ref="A3:B9" headerRowCount="1">
  <x:tableColumns count="2">
    <x:tableColumn id="1" name="항목"/>
    <x:tableColumn id="2" name="내용"/>
  </x:tableColumns>
  <x:tableStyleInfo name="TableStyleMedium2" showRowStripes="1"/>
</x:table>
</file>

<file path=xl/tables/table24.xml><?xml version="1.0" encoding="utf-8"?>
<x:table xmlns:x="http://schemas.openxmlformats.org/spreadsheetml/2006/main" id="24" name="Table021" displayName="Table021" ref="A3:B9" headerRowCount="1">
  <x:tableColumns count="2">
    <x:tableColumn id="1" name="항목"/>
    <x:tableColumn id="2" name="내용"/>
  </x:tableColumns>
  <x:tableStyleInfo name="TableStyleMedium2" showRowStripes="1"/>
</x:table>
</file>

<file path=xl/tables/table25.xml><?xml version="1.0" encoding="utf-8"?>
<x:table xmlns:x="http://schemas.openxmlformats.org/spreadsheetml/2006/main" id="25" name="Table022" displayName="Table022" ref="A3:H3" headerRowCount="1">
  <x:tableColumns count="8">
    <x:tableColumn id="1" name="대분류"/>
    <x:tableColumn id="2" name="세부분류"/>
    <x:tableColumn id="3" name="대상 콘텐츠"/>
    <x:tableColumn id="4" name="핵심 이슈"/>
    <x:tableColumn id="5" name="대표 문제"/>
    <x:tableColumn id="6" name="관련 공식자료"/>
    <x:tableColumn id="7" name="적용 분야"/>
    <x:tableColumn id="8" name="교육 포인트"/>
  </x:tableColumns>
  <x:tableStyleInfo name="TableStyleMedium2" showRowStripes="1"/>
</x:table>
</file>

<file path=xl/tables/table26.xml><?xml version="1.0" encoding="utf-8"?>
<x:table xmlns:x="http://schemas.openxmlformats.org/spreadsheetml/2006/main" id="26" name="Table023" displayName="Table023" ref="A3:G9" headerRowCount="1">
  <x:tableColumns count="7">
    <x:tableColumn id="1" name="대분류"/>
    <x:tableColumn id="2" name="세부분류"/>
    <x:tableColumn id="3" name="대상 콘텐츠"/>
    <x:tableColumn id="4" name="핵심 이슈"/>
    <x:tableColumn id="5" name="대표 문제"/>
    <x:tableColumn id="6" name="관련 공식자료"/>
    <x:tableColumn id="7" name="적용 분야"/>
  </x:tableColumns>
  <x:tableStyleInfo name="TableStyleMedium2" showRowStripes="1"/>
</x:table>
</file>

<file path=xl/tables/table27.xml><?xml version="1.0" encoding="utf-8"?>
<x:table xmlns:x="http://schemas.openxmlformats.org/spreadsheetml/2006/main" id="27" name="Table024" displayName="Table024" ref="A3:H15" headerRowCount="1">
  <x:tableColumns count="8">
    <x:tableColumn id="1" name="구분"/>
    <x:tableColumn id="2" name="세부분류"/>
    <x:tableColumn id="3" name="윤리 기준 정의"/>
    <x:tableColumn id="4" name="핵심 이슈"/>
    <x:tableColumn id="5" name="적용 장면"/>
    <x:tableColumn id="6" name="글로벌 규제·가이드 적용 방식"/>
    <x:tableColumn id="7" name="대표 공식자료 / 링크"/>
    <x:tableColumn id="8" name="별도 규제 여부"/>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eaa8cebafcfe4568" /></Relationships>
</file>

<file path=xl/worksheets/_rels/sheet2.xml.rels>&#65279;<?xml version="1.0" encoding="utf-8"?><Relationships xmlns="http://schemas.openxmlformats.org/package/2006/relationships"><Relationship Type="http://schemas.openxmlformats.org/officeDocument/2006/relationships/table" Target="/xl/tables/table2.xml" Id="R0b6a306ed68a483f" /></Relationships>
</file>

<file path=xl/worksheets/_rels/sheet3.xml.rels>&#65279;<?xml version="1.0" encoding="utf-8"?><Relationships xmlns="http://schemas.openxmlformats.org/package/2006/relationships"><Relationship Type="http://schemas.openxmlformats.org/officeDocument/2006/relationships/table" Target="/xl/tables/table3.xml" Id="Rd2f9bbd7c04748ea" /></Relationships>
</file>

<file path=xl/worksheets/_rels/sheet4.xml.rels>&#65279;<?xml version="1.0" encoding="utf-8"?><Relationships xmlns="http://schemas.openxmlformats.org/package/2006/relationships"><Relationship Type="http://schemas.openxmlformats.org/officeDocument/2006/relationships/table" Target="/xl/tables/table4.xml" Id="Rb5e767fd2e1d4449" /></Relationships>
</file>

<file path=xl/worksheets/_rels/sheet5.xml.rels>&#65279;<?xml version="1.0" encoding="utf-8"?><Relationships xmlns="http://schemas.openxmlformats.org/package/2006/relationships"><Relationship Type="http://schemas.openxmlformats.org/officeDocument/2006/relationships/table" Target="/xl/tables/table5.xml" Id="R51b18b5422a44906" /></Relationships>
</file>

<file path=xl/worksheets/_rels/sheet6.xml.rels>&#65279;<?xml version="1.0" encoding="utf-8"?><Relationships xmlns="http://schemas.openxmlformats.org/package/2006/relationships"><Relationship Type="http://schemas.openxmlformats.org/officeDocument/2006/relationships/table" Target="/xl/tables/table6.xml" Id="R40e307ba752e410d" /></Relationships>
</file>

<file path=xl/worksheets/_rels/sheet7.xml.rels>&#65279;<?xml version="1.0" encoding="utf-8"?><Relationships xmlns="http://schemas.openxmlformats.org/package/2006/relationships"><Relationship Type="http://schemas.openxmlformats.org/officeDocument/2006/relationships/table" Target="/xl/tables/table7.xml" Id="R4d307226170a4ac2" /></Relationships>
</file>

<file path=xl/worksheets/_rels/sheet8.xml.rels>&#65279;<?xml version="1.0" encoding="utf-8"?><Relationships xmlns="http://schemas.openxmlformats.org/package/2006/relationships"><Relationship Type="http://schemas.openxmlformats.org/officeDocument/2006/relationships/table" Target="/xl/tables/table8.xml" Id="R5b8d3ddfb868411b" /></Relationships>
</file>

<file path=xl/worksheets/_rels/sheet9.xml.rels>&#65279;<?xml version="1.0" encoding="utf-8"?><Relationships xmlns="http://schemas.openxmlformats.org/package/2006/relationships"><Relationship Type="http://schemas.openxmlformats.org/officeDocument/2006/relationships/table" Target="/xl/tables/table9.xml" Id="Rc0106cce049e4a10" /></Relationships>
</file>

<file path=xl/worksheets/_rels/sheet10.xml.rels>&#65279;<?xml version="1.0" encoding="utf-8"?><Relationships xmlns="http://schemas.openxmlformats.org/package/2006/relationships"><Relationship Type="http://schemas.openxmlformats.org/officeDocument/2006/relationships/table" Target="/xl/tables/table10.xml" Id="R51b6a89e1bf547b8" /></Relationships>
</file>

<file path=xl/worksheets/_rels/sheet11.xml.rels>&#65279;<?xml version="1.0" encoding="utf-8"?><Relationships xmlns="http://schemas.openxmlformats.org/package/2006/relationships"><Relationship Type="http://schemas.openxmlformats.org/officeDocument/2006/relationships/table" Target="/xl/tables/table11.xml" Id="Rc4ad469f61cd4315" /></Relationships>
</file>

<file path=xl/worksheets/_rels/sheet12.xml.rels>&#65279;<?xml version="1.0" encoding="utf-8"?><Relationships xmlns="http://schemas.openxmlformats.org/package/2006/relationships"><Relationship Type="http://schemas.openxmlformats.org/officeDocument/2006/relationships/table" Target="/xl/tables/table12.xml" Id="Rd26ec5ba2d554f93" /></Relationships>
</file>

<file path=xl/worksheets/_rels/sheet13.xml.rels>&#65279;<?xml version="1.0" encoding="utf-8"?><Relationships xmlns="http://schemas.openxmlformats.org/package/2006/relationships"><Relationship Type="http://schemas.openxmlformats.org/officeDocument/2006/relationships/table" Target="/xl/tables/table13.xml" Id="Rc4cff145eac74ed1" /></Relationships>
</file>

<file path=xl/worksheets/_rels/sheet14.xml.rels>&#65279;<?xml version="1.0" encoding="utf-8"?><Relationships xmlns="http://schemas.openxmlformats.org/package/2006/relationships"><Relationship Type="http://schemas.openxmlformats.org/officeDocument/2006/relationships/table" Target="/xl/tables/table14.xml" Id="R597acb4675864470" /></Relationships>
</file>

<file path=xl/worksheets/_rels/sheet15.xml.rels>&#65279;<?xml version="1.0" encoding="utf-8"?><Relationships xmlns="http://schemas.openxmlformats.org/package/2006/relationships"><Relationship Type="http://schemas.openxmlformats.org/officeDocument/2006/relationships/table" Target="/xl/tables/table15.xml" Id="Rb4449c58d22b49cf" /></Relationships>
</file>

<file path=xl/worksheets/_rels/sheet16.xml.rels>&#65279;<?xml version="1.0" encoding="utf-8"?><Relationships xmlns="http://schemas.openxmlformats.org/package/2006/relationships"><Relationship Type="http://schemas.openxmlformats.org/officeDocument/2006/relationships/table" Target="/xl/tables/table16.xml" Id="R4946e92932514470" /></Relationships>
</file>

<file path=xl/worksheets/_rels/sheet17.xml.rels>&#65279;<?xml version="1.0" encoding="utf-8"?><Relationships xmlns="http://schemas.openxmlformats.org/package/2006/relationships"><Relationship Type="http://schemas.openxmlformats.org/officeDocument/2006/relationships/table" Target="/xl/tables/table17.xml" Id="R5b12e995a5944ad5" /></Relationships>
</file>

<file path=xl/worksheets/_rels/sheet18.xml.rels>&#65279;<?xml version="1.0" encoding="utf-8"?><Relationships xmlns="http://schemas.openxmlformats.org/package/2006/relationships"><Relationship Type="http://schemas.openxmlformats.org/officeDocument/2006/relationships/table" Target="/xl/tables/table18.xml" Id="R0e6596445e994a91" /></Relationships>
</file>

<file path=xl/worksheets/_rels/sheet19.xml.rels>&#65279;<?xml version="1.0" encoding="utf-8"?><Relationships xmlns="http://schemas.openxmlformats.org/package/2006/relationships"><Relationship Type="http://schemas.openxmlformats.org/officeDocument/2006/relationships/table" Target="/xl/tables/table19.xml" Id="R4c961d8ae04c4cc6" /></Relationships>
</file>

<file path=xl/worksheets/_rels/sheet20.xml.rels>&#65279;<?xml version="1.0" encoding="utf-8"?><Relationships xmlns="http://schemas.openxmlformats.org/package/2006/relationships"><Relationship Type="http://schemas.openxmlformats.org/officeDocument/2006/relationships/table" Target="/xl/tables/table20.xml" Id="Rb4d42993035743cf" /></Relationships>
</file>

<file path=xl/worksheets/_rels/sheet21.xml.rels>&#65279;<?xml version="1.0" encoding="utf-8"?><Relationships xmlns="http://schemas.openxmlformats.org/package/2006/relationships"><Relationship Type="http://schemas.openxmlformats.org/officeDocument/2006/relationships/table" Target="/xl/tables/table21.xml" Id="R94db118c8abb426a" /></Relationships>
</file>

<file path=xl/worksheets/_rels/sheet22.xml.rels>&#65279;<?xml version="1.0" encoding="utf-8"?><Relationships xmlns="http://schemas.openxmlformats.org/package/2006/relationships"><Relationship Type="http://schemas.openxmlformats.org/officeDocument/2006/relationships/table" Target="/xl/tables/table22.xml" Id="R561f69e55bf74e86" /></Relationships>
</file>

<file path=xl/worksheets/_rels/sheet23.xml.rels>&#65279;<?xml version="1.0" encoding="utf-8"?><Relationships xmlns="http://schemas.openxmlformats.org/package/2006/relationships"><Relationship Type="http://schemas.openxmlformats.org/officeDocument/2006/relationships/table" Target="/xl/tables/table23.xml" Id="R1279ba52fe4849f5" /></Relationships>
</file>

<file path=xl/worksheets/_rels/sheet24.xml.rels>&#65279;<?xml version="1.0" encoding="utf-8"?><Relationships xmlns="http://schemas.openxmlformats.org/package/2006/relationships"><Relationship Type="http://schemas.openxmlformats.org/officeDocument/2006/relationships/table" Target="/xl/tables/table24.xml" Id="R0d2aac9dc0be49a3" /></Relationships>
</file>

<file path=xl/worksheets/_rels/sheet25.xml.rels>&#65279;<?xml version="1.0" encoding="utf-8"?><Relationships xmlns="http://schemas.openxmlformats.org/package/2006/relationships"><Relationship Type="http://schemas.openxmlformats.org/officeDocument/2006/relationships/table" Target="/xl/tables/table25.xml" Id="R7d2c541ccb3545a2" /></Relationships>
</file>

<file path=xl/worksheets/_rels/sheet26.xml.rels>&#65279;<?xml version="1.0" encoding="utf-8"?><Relationships xmlns="http://schemas.openxmlformats.org/package/2006/relationships"><Relationship Type="http://schemas.openxmlformats.org/officeDocument/2006/relationships/table" Target="/xl/tables/table26.xml" Id="Rc4e1e77c890045a2" /></Relationships>
</file>

<file path=xl/worksheets/_rels/sheet27.xml.rels>&#65279;<?xml version="1.0" encoding="utf-8"?><Relationships xmlns="http://schemas.openxmlformats.org/package/2006/relationships"><Relationship Type="http://schemas.openxmlformats.org/officeDocument/2006/relationships/table" Target="/xl/tables/table27.xml" Id="Rc2dc926806ce4788" /></Relationships>
</file>

<file path=xl/worksheets/sheet1.xml><?xml version="1.0" encoding="utf-8"?>
<x:worksheet xmlns:x="http://schemas.openxmlformats.org/spreadsheetml/2006/main">
  <x:sheetFormatPr defaultRowHeight="15"/>
  <x:cols>
    <x:col min="1" max="1" width="8" hidden="0" customWidth="1"/>
    <x:col min="2" max="2" width="28" hidden="0" customWidth="1"/>
    <x:col min="3" max="3" width="42" hidden="0" customWidth="1"/>
    <x:col min="4" max="4" width="10" hidden="0" customWidth="1"/>
    <x:col min="5" max="5" width="10" hidden="0" customWidth="1"/>
  </x:cols>
  <x:sheetData>
    <x:row r="1" ht="28" customHeight="1">
      <x:c r="A1" s="22" t="str">
        <x:v>AI 윤리 대화기록 - 엑셀 표 정리본</x:v>
      </x:c>
      <x:c r="B1" s="16"/>
      <x:c r="C1" s="16"/>
      <x:c r="D1" s="16"/>
      <x:c r="E1" s="16"/>
    </x:row>
    <x:row r="3">
      <x:c r="A3" s="12" t="str">
        <x:v>파일 설명</x:v>
      </x:c>
      <x:c r="B3" s="16" t="str">
        <x:v>기존 워드에서 텍스트처럼 보이던 Markdown 표를 Excel 실제 표 형태로 재구성</x:v>
      </x:c>
    </x:row>
    <x:row r="4">
      <x:c r="A4" s="12" t="str">
        <x:v>작성 기준</x:v>
      </x:c>
      <x:c r="B4" s="16" t="str">
        <x:v>현재 대화창에서 정리된 AI 윤리 자료조사·커리큘럼·분야별 윤리 분류</x:v>
      </x:c>
    </x:row>
    <x:row r="5">
      <x:c r="A5" s="12" t="str">
        <x:v>표 개수</x:v>
      </x:c>
      <x:c r="B5" s="16" t="n">
        <x:v>24</x:v>
      </x:c>
    </x:row>
    <x:row r="6">
      <x:c r="A6" s="12" t="str">
        <x:v>대화 블록 수</x:v>
      </x:c>
      <x:c r="B6" s="16" t="n">
        <x:v>39</x:v>
      </x:c>
    </x:row>
    <x:row r="7">
      <x:c r="A7" s="12" t="str">
        <x:v>사용 방법</x:v>
      </x:c>
      <x:c r="B7" s="16" t="str">
        <x:v>각 표는 별도 시트에 정리되어 있으며, 목차에서 시트명을 확인</x:v>
      </x:c>
    </x:row>
    <x:row r="8">
      <x:c r="A8" s="12" t="str">
        <x:v>참고</x:v>
      </x:c>
      <x:c r="B8" s="16" t="str">
        <x:v>원문 대화는 '대화원문' 시트에서 확인</x:v>
      </x:c>
    </x:row>
    <x:row r="10">
      <x:c r="A10" s="19" t="str">
        <x:v>No</x:v>
      </x:c>
      <x:c r="B10" s="19" t="str">
        <x:v>시트명</x:v>
      </x:c>
      <x:c r="C10" s="19" t="str">
        <x:v>원문 제목</x:v>
      </x:c>
      <x:c r="D10" s="19" t="str">
        <x:v>행 수</x:v>
      </x:c>
      <x:c r="E10" s="19" t="str">
        <x:v>열 수</x:v>
      </x:c>
    </x:row>
    <x:row r="11">
      <x:c r="A11" t="n">
        <x:v>1</x:v>
      </x:c>
      <x:c r="B11" t="str">
        <x:v>표01_1. 공식자료 확인 요청_구분</x:v>
      </x:c>
      <x:c r="C11" t="str">
        <x:v>1. 공식자료 확인 요청</x:v>
      </x:c>
      <x:c r="D11" t="n">
        <x:v>6</x:v>
      </x:c>
      <x:c r="E11" t="n">
        <x:v>3</x:v>
      </x:c>
    </x:row>
    <x:row r="12">
      <x:c r="A12" t="n">
        <x:v>2</x:v>
      </x:c>
      <x:c r="B12" t="str">
        <x:v>표02_국가·권역별 AI 윤리 현_구분</x:v>
      </x:c>
      <x:c r="C12" t="str">
        <x:v>국가·권역별 AI 윤리 현황</x:v>
      </x:c>
      <x:c r="D12" t="n">
        <x:v>11</x:v>
      </x:c>
      <x:c r="E12" t="n">
        <x:v>3</x:v>
      </x:c>
    </x:row>
    <x:row r="13">
      <x:c r="A13" t="n">
        <x:v>3</x:v>
      </x:c>
      <x:c r="B13" t="str">
        <x:v>표03_1) 국가별 AI 윤리·규_국가 권역</x:v>
      </x:c>
      <x:c r="C13" t="str">
        <x:v>1) 국가별 AI 윤리·규제 현황</x:v>
      </x:c>
      <x:c r="D13" t="n">
        <x:v>9</x:v>
      </x:c>
      <x:c r="E13" t="n">
        <x:v>3</x:v>
      </x:c>
    </x:row>
    <x:row r="14">
      <x:c r="A14" t="n">
        <x:v>4</x:v>
      </x:c>
      <x:c r="B14" t="str">
        <x:v>표04_2) 기관별 국제기구별_기관</x:v>
      </x:c>
      <x:c r="C14" t="str">
        <x:v>2) 기관별 / 국제기구별 AI 윤리 기준</x:v>
      </x:c>
      <x:c r="D14" t="n">
        <x:v>5</x:v>
      </x:c>
      <x:c r="E14" t="n">
        <x:v>3</x:v>
      </x:c>
    </x:row>
    <x:row r="15">
      <x:c r="A15" t="n">
        <x:v>5</x:v>
      </x:c>
      <x:c r="B15" t="str">
        <x:v>표05_3) 한국 AI 기본법 정_항목</x:v>
      </x:c>
      <x:c r="C15" t="str">
        <x:v>3) 한국 AI 기본법 정리</x:v>
      </x:c>
      <x:c r="D15" t="n">
        <x:v>7</x:v>
      </x:c>
      <x:c r="E15" t="n">
        <x:v>2</x:v>
      </x:c>
    </x:row>
    <x:row r="16">
      <x:c r="A16" t="n">
        <x:v>6</x:v>
      </x:c>
      <x:c r="B16" t="str">
        <x:v>표06_4) ISO 기준_ISO 기준</x:v>
      </x:c>
      <x:c r="C16" t="str">
        <x:v>4) ISO 기준</x:v>
      </x:c>
      <x:c r="D16" t="n">
        <x:v>4</x:v>
      </x:c>
      <x:c r="E16" t="n">
        <x:v>3</x:v>
      </x:c>
    </x:row>
    <x:row r="17">
      <x:c r="A17" t="n">
        <x:v>7</x:v>
      </x:c>
      <x:c r="B17" t="str">
        <x:v>표07_5) ESG와 AI 윤리 _ESG 영역</x:v>
      </x:c>
      <x:c r="C17" t="str">
        <x:v>5) ESG와 AI 윤리 연결</x:v>
      </x:c>
      <x:c r="D17" t="n">
        <x:v>3</x:v>
      </x:c>
      <x:c r="E17" t="n">
        <x:v>2</x:v>
      </x:c>
    </x:row>
    <x:row r="18">
      <x:c r="A18" t="n">
        <x:v>8</x:v>
      </x:c>
      <x:c r="B18" t="str">
        <x:v>표08_1) 국가별 AI 윤리·규_국가 권역</x:v>
      </x:c>
      <x:c r="C18" t="str">
        <x:v>1) 국가별 AI 윤리·규제 자료</x:v>
      </x:c>
      <x:c r="D18" t="n">
        <x:v>19</x:v>
      </x:c>
      <x:c r="E18" t="n">
        <x:v>4</x:v>
      </x:c>
    </x:row>
    <x:row r="19">
      <x:c r="A19" t="n">
        <x:v>9</x:v>
      </x:c>
      <x:c r="B19" t="str">
        <x:v>표09_2) 기관별 국제기구별_기관</x:v>
      </x:c>
      <x:c r="C19" t="str">
        <x:v>2) 기관별 / 국제기구별 AI 윤리 자료</x:v>
      </x:c>
      <x:c r="D19" t="n">
        <x:v>10</x:v>
      </x:c>
      <x:c r="E19" t="n">
        <x:v>4</x:v>
      </x:c>
    </x:row>
    <x:row r="20">
      <x:c r="A20" t="n">
        <x:v>10</x:v>
      </x:c>
      <x:c r="B20" t="str">
        <x:v>표10_3) 한국 기본법 및 국내_구분</x:v>
      </x:c>
      <x:c r="C20" t="str">
        <x:v>3) 한국 기본법 및 국내 AI 윤리 자료</x:v>
      </x:c>
      <x:c r="D20" t="n">
        <x:v>4</x:v>
      </x:c>
      <x:c r="E20" t="n">
        <x:v>3</x:v>
      </x:c>
    </x:row>
    <x:row r="21">
      <x:c r="A21" t="n">
        <x:v>11</x:v>
      </x:c>
      <x:c r="B21" t="str">
        <x:v>표11_4) ISO AI 윤리·거_ISO 자료</x:v>
      </x:c>
      <x:c r="C21" t="str">
        <x:v>4) ISO AI 윤리·거버넌스 자료</x:v>
      </x:c>
      <x:c r="D21" t="n">
        <x:v>11</x:v>
      </x:c>
      <x:c r="E21" t="n">
        <x:v>3</x:v>
      </x:c>
    </x:row>
    <x:row r="22">
      <x:c r="A22" t="n">
        <x:v>12</x:v>
      </x:c>
      <x:c r="B22" t="str">
        <x:v>표12_5) ESG 관점의 AI _ESG 영역</x:v>
      </x:c>
      <x:c r="C22" t="str">
        <x:v>5) ESG 관점의 AI 윤리 자료</x:v>
      </x:c>
      <x:c r="D22" t="n">
        <x:v>5</x:v>
      </x:c>
      <x:c r="E22" t="n">
        <x:v>2</x:v>
      </x:c>
    </x:row>
    <x:row r="23">
      <x:c r="A23" t="n">
        <x:v>13</x:v>
      </x:c>
      <x:c r="B23" t="str">
        <x:v>표13_교육 목표_역량</x:v>
      </x:c>
      <x:c r="C23" t="str">
        <x:v>교육 목표</x:v>
      </x:c>
      <x:c r="D23" t="n">
        <x:v>7</x:v>
      </x:c>
      <x:c r="E23" t="n">
        <x:v>2</x:v>
      </x:c>
    </x:row>
    <x:row r="24">
      <x:c r="A24" t="n">
        <x:v>14</x:v>
      </x:c>
      <x:c r="B24" t="str">
        <x:v>표14_16시간 커리큘럼_차시</x:v>
      </x:c>
      <x:c r="C24" t="str">
        <x:v>16시간 커리큘럼</x:v>
      </x:c>
      <x:c r="D24" t="n">
        <x:v>8</x:v>
      </x:c>
      <x:c r="E24" t="n">
        <x:v>5</x:v>
      </x:c>
    </x:row>
    <x:row r="25">
      <x:c r="A25" t="n">
        <x:v>15</x:v>
      </x:c>
      <x:c r="B25" t="str">
        <x:v>표15_1. 네 분류는 이렇게 공_분류</x:v>
      </x:c>
      <x:c r="C25" t="str">
        <x:v>1. 네 분류는 이렇게 공식자료와 연결하면 됨</x:v>
      </x:c>
      <x:c r="D25" t="n">
        <x:v>6</x:v>
      </x:c>
      <x:c r="E25" t="n">
        <x:v>4</x:v>
      </x:c>
    </x:row>
    <x:row r="26">
      <x:c r="A26" t="n">
        <x:v>16</x:v>
      </x:c>
      <x:c r="B26" t="str">
        <x:v>표16_AI 문서윤리_항목</x:v>
      </x:c>
      <x:c r="C26" t="str">
        <x:v>AI 문서윤리</x:v>
      </x:c>
      <x:c r="D26" t="n">
        <x:v>6</x:v>
      </x:c>
      <x:c r="E26" t="n">
        <x:v>2</x:v>
      </x:c>
    </x:row>
    <x:row r="27">
      <x:c r="A27" t="n">
        <x:v>17</x:v>
      </x:c>
      <x:c r="B27" t="str">
        <x:v>표17_AI 음성윤리_항목</x:v>
      </x:c>
      <x:c r="C27" t="str">
        <x:v>AI 음성윤리</x:v>
      </x:c>
      <x:c r="D27" t="n">
        <x:v>6</x:v>
      </x:c>
      <x:c r="E27" t="n">
        <x:v>2</x:v>
      </x:c>
    </x:row>
    <x:row r="28">
      <x:c r="A28" t="n">
        <x:v>18</x:v>
      </x:c>
      <x:c r="B28" t="str">
        <x:v>표18_AI 영상윤리_항목</x:v>
      </x:c>
      <x:c r="C28" t="str">
        <x:v>AI 영상윤리</x:v>
      </x:c>
      <x:c r="D28" t="n">
        <x:v>6</x:v>
      </x:c>
      <x:c r="E28" t="n">
        <x:v>2</x:v>
      </x:c>
    </x:row>
    <x:row r="29">
      <x:c r="A29" t="n">
        <x:v>19</x:v>
      </x:c>
      <x:c r="B29" t="str">
        <x:v>표19_AI 이미지윤리_항목</x:v>
      </x:c>
      <x:c r="C29" t="str">
        <x:v>AI 이미지윤리</x:v>
      </x:c>
      <x:c r="D29" t="n">
        <x:v>6</x:v>
      </x:c>
      <x:c r="E29" t="n">
        <x:v>2</x:v>
      </x:c>
    </x:row>
    <x:row r="30">
      <x:c r="A30" t="n">
        <x:v>20</x:v>
      </x:c>
      <x:c r="B30" t="str">
        <x:v>표20_AI 광고·홍보윤리_항목</x:v>
      </x:c>
      <x:c r="C30" t="str">
        <x:v>AI 광고·홍보윤리</x:v>
      </x:c>
      <x:c r="D30" t="n">
        <x:v>6</x:v>
      </x:c>
      <x:c r="E30" t="n">
        <x:v>2</x:v>
      </x:c>
    </x:row>
    <x:row r="31">
      <x:c r="A31" t="n">
        <x:v>21</x:v>
      </x:c>
      <x:c r="B31" t="str">
        <x:v>표21_AI툴 윤리_항목</x:v>
      </x:c>
      <x:c r="C31" t="str">
        <x:v>AI툴 윤리</x:v>
      </x:c>
      <x:c r="D31" t="n">
        <x:v>6</x:v>
      </x:c>
      <x:c r="E31" t="n">
        <x:v>2</x:v>
      </x:c>
    </x:row>
    <x:row r="32">
      <x:c r="A32" t="n">
        <x:v>22</x:v>
      </x:c>
      <x:c r="B32" t="str">
        <x:v>표22_3. DB에는 이렇게 새 _대분류</x:v>
      </x:c>
      <x:c r="C32" t="str">
        <x:v>3. DB에는 이렇게 새 시트를 추가하는 게 맞음</x:v>
      </x:c>
      <x:c r="D32" t="n">
        <x:v>0</x:v>
      </x:c>
      <x:c r="E32" t="n">
        <x:v>8</x:v>
      </x:c>
    </x:row>
    <x:row r="33">
      <x:c r="A33" t="n">
        <x:v>23</x:v>
      </x:c>
      <x:c r="B33" t="str">
        <x:v>표23_3. DB에는 이렇게 새 _대분류</x:v>
      </x:c>
      <x:c r="C33" t="str">
        <x:v>3. DB에는 이렇게 새 시트를 추가하는 게 맞음</x:v>
      </x:c>
      <x:c r="D33" t="n">
        <x:v>6</x:v>
      </x:c>
      <x:c r="E33" t="n">
        <x:v>7</x:v>
      </x:c>
    </x:row>
    <x:row r="34">
      <x:c r="A34" t="n">
        <x:v>24</x:v>
      </x:c>
      <x:c r="B34" t="str">
        <x:v>표24_8. 기능별 + 산업별 A_구분</x:v>
      </x:c>
      <x:c r="C34" t="str">
        <x:v>8. 기능별 + 산업별 AI 윤리 표 요청</x:v>
      </x:c>
      <x:c r="D34" t="n">
        <x:v>12</x:v>
      </x:c>
      <x:c r="E34" t="n">
        <x:v>8</x:v>
      </x:c>
    </x:row>
  </x:sheetData>
  <x:mergeCells>
    <x:mergeCell ref="A1:H1"/>
  </x:mergeCells>
  <x:pageMargins left="0.7" right="0.7" top="0.75" bottom="0.75" header="0.3" footer="0.3"/>
  <x:tableParts count="1">
    <x:tablePart xmlns:r="http://schemas.openxmlformats.org/officeDocument/2006/relationships" r:id="Reaa8cebafcfe4568"/>
  </x:tableParts>
</x:worksheet>
</file>

<file path=xl/worksheets/sheet2.xml><?xml version="1.0" encoding="utf-8"?>
<x:worksheet xmlns:x="http://schemas.openxmlformats.org/spreadsheetml/2006/main">
  <x:sheetFormatPr defaultRowHeight="15"/>
  <x:cols>
    <x:col min="1" max="1" width="10" hidden="0" customWidth="1"/>
    <x:col min="2" max="2" width="32" hidden="0" customWidth="1"/>
    <x:col min="3" max="3" width="14" hidden="0" customWidth="1"/>
    <x:col min="4" max="4" width="90" hidden="0" customWidth="1"/>
  </x:cols>
  <x:sheetData>
    <x:row r="1">
      <x:c r="A1" s="26" t="str">
        <x:v>섹션번호</x:v>
      </x:c>
      <x:c r="B1" s="26" t="str">
        <x:v>섹션명</x:v>
      </x:c>
      <x:c r="C1" s="26" t="str">
        <x:v>발화자</x:v>
      </x:c>
      <x:c r="D1" s="26" t="str">
        <x:v>내용</x:v>
      </x:c>
    </x:row>
    <x:row r="2">
      <x:c r="A2" t="n">
        <x:v>1</x:v>
      </x:c>
      <x:c r="B2" t="str">
        <x:v>1. 공식자료 확인 요청</x:v>
      </x:c>
      <x:c r="C2" t="str">
        <x:v>사용자</x:v>
      </x:c>
      <x:c r="D2" t="str">
        <x:v>EU는 2024년 8월 AI Act를 발효했고, 미국은 2023년 10월 바이든 행정부의 AI 행정명령을 통해 규제 프레임워크를 구축했다. 중국 역시 2023년부터 생성형 AI 관리잠행방법을 시행 중이다. 이 내용에 대해 각각의 공식자료를 찾아줘</x:v>
      </x:c>
    </x:row>
    <x:row r="3">
      <x:c r="A3" t="n">
        <x:v>1</x:v>
      </x:c>
      <x:c r="B3" t="str">
        <x:v>1. 공식자료 확인 요청</x:v>
      </x:c>
      <x:c r="C3" t="str">
        <x:v>ChatGPT</x:v>
      </x:c>
      <x:c r="D3" t="str">
        <x:v>아래가 **각각의 공식자료**입니다. 바로 보고서·각주에 넣기 좋게 정리하면 이렇게 쓰면 됩니다.
| 구분 | 공식자료 | 확인되는 내용 |
|---|---|---|
| EU | **EUR-Lex: Regulation (EU) 2024/1689, Artificial Intelligence Act** | AI Act 원문. Article 113에서 “관보 게재 후 20일째 발효” 및 2026년 8월 2일부터 적용, 일부 조항은 단계 적용이라고 규정합니다. URL: https://eur-lex.europa.eu/eli/reg/2024/1689/oj/eng |
| EU | **European Commission: AI Act enters into force** | 2024년 8월 1일 EU AI Act가 발효됐다는 공식 설명자료입니다. URL: https://commission.europa.eu/news-and-media/news/ai-act-enters-force-2024-08-01_en |
| 미국 | **Federal Register: Executive Order 14110** | 2023년 10월 30일자 바이든 행정부 AI 행정명령 원문입니다. 제목은 *Safe, Secure, and Trustworthy Development and Use of Artificial Intelligence*입니다. URL: https://www.federalregister.gov/documents/2023/11/01/2023-24283/safe-secure-and-trustworthy-development-and-use-of-artificial-intelligence |
| 미국 | **Archived White House Fact Sheet** | 해당 행정명령이 AI 안전·보안 기준, 개인정보 보호, 시민권, 소비자·노동자 보호, 혁신·경쟁 촉진 등을 다뤘다는 백악관 공식 설명자료입니다. URL: https://bidenwhitehouse.archives.gov/briefing-room/statements-releases/2023/10/30/fact-sheet-president-biden-issues-executive-order-on-safe-secure-and-trustworthy-artificial-intelligence/ |
| 중국 | **중국 국가인터넷정보판공실(CAC): 生成式人工智能服务管理暂行办法** | 「생성형 AI 서비스 관리 잠행방법」 공식 원문. 2023년 7월 10일 공포, 2023년 8월 15일부터 시행한다고 명시되어 있습니다. URL: https://www.cac.gov.cn/2023-07/13/c_1690898327029107.htm |
| 중국 | **한국 법제처 세계법제정보센터 번역본** | 같은 중국 규정의 한국어 참고 번역입니다. 제24조에도 2023년 8월 15일부터 시행한다고 번역되어 있습니다. URL: https://world.moleg.go.kr/web/wli/lgslXmlViewerPage.do?DLD_CFM_NO=AT8SRAKAT6MNUCMMT6BQ&amp;FL_SEQ=100558 |
다만 **미국 부분은 현재 시점의 단서가 필요합니다.** 바이든 행정부의 EO 14110은 2023년에 AI 규제 프레임워크의 핵심 문서였지만, 2025년 1월 23일 트럼프 행정부의 새 행정명령에서 EO 14110을 “revoked Executive Order 14110”이라고 명시하고, 그에 따른 정책·지침·조치의 검토·정지·수정·폐지를 지시했습니다. 따라서 현재형으로 쓰려면 “구축했다”보다는 **“2023년 당시 구축했다 / 이후 2025년에 폐기·대체 절차가 진행됐다”**고 쓰는 편이 정확합니다. URL: https://www.whitehouse.gov/presidential-actions/2025/01/removing-barriers-to-american-leadership-in-artificial-intelligence/
---</x:v>
      </x:c>
    </x:row>
    <x:row r="4">
      <x:c r="A4" t="n">
        <x:v>2</x:v>
      </x:c>
      <x:c r="B4" t="str">
        <x:v>2. 최신 국가별 AI 윤리 현황 요청</x:v>
      </x:c>
      <x:c r="C4" t="str">
        <x:v>사용자</x:v>
      </x:c>
      <x:c r="D4" t="str">
        <x:v>그렇구나 그러면 최신버전으로 국가별 AI 윤리 현황에 대해 자료조사해봐</x:v>
      </x:c>
    </x:row>
    <x:row r="5">
      <x:c r="A5" t="n">
        <x:v>2</x:v>
      </x:c>
      <x:c r="B5" t="str">
        <x:v>2. 최신 국가별 AI 윤리 현황 요청</x:v>
      </x:c>
      <x:c r="C5" t="str">
        <x:v>ChatGPT</x:v>
      </x:c>
      <x:c r="D5" t="str">
        <x:v>아래는 **2026년 6월 기준 최신 흐름**으로 정리한 **국가별 AI 윤리·거버넌스 현황 조사표**입니다. 여기서 “AI 윤리”는 단순 선언이 아니라 **투명성, 책임성, 공정성, 안전성, 개인정보 보호, 인간 감독, 생성물 표시, 고위험 AI 관리**가 실제 제도에 어떻게 반영되는지를 기준으로 봤습니다. OECD AI 원칙은 2019년 채택 후 2024년에 업데이트됐고, UNESCO AI 윤리 권고는 194개 회원국에 적용되는 글로벌 기준으로 자리 잡고 있습니다.</x:v>
      </x:c>
    </x:row>
    <x:row r="6">
      <x:c r="A6" t="n">
        <x:v>3</x:v>
      </x:c>
      <x:c r="B6" t="str">
        <x:v>국가·권역별 AI 윤리 현황</x:v>
      </x:c>
      <x:c r="C6" t="str">
        <x:v>본문</x:v>
      </x:c>
      <x:c r="D6" t="str">
        <x:v>| 구분 | 최신 현황 | 윤리·규제 핵심 |
|---|---|---|
| **EU** | 가장 강한 법제화 모델. 「AI Act」가 2024년 8월 1일 발효됐고, 원칙적으로 2026년 8월 2일부터 전면 적용됩니다. 범용 AI 모델 의무는 2025년 8월 2일부터 적용되며, GPAI Code of Practice가 투명성·저작권·안전/보안 준수 도구로 마련됐습니다. | 위험 기반 규제, 금지 AI, 고위험 AI 의무, 생성형 AI 투명성, 범용 AI 안전성 |
| **미국** | 2023년 바이든 AI 행정명령 중심 체계는 2025년 트럼프 행정부에서 폐기·전환됐습니다. 현재는 **규제 완화·AI 혁신·국가경쟁력** 중심의 「America’s AI Action Plan」과 NIST AI RMF가 병행되는 구조입니다. 2026년 6월에는 첨단 AI 혁신·보안을 위한 행정명령도 나왔고, 프런티어 모델에 대해 자발적 프레임워크를 추진합니다. | 연방 차원의 포괄 AI법은 부재. NIST 중심 자율 위험관리, 주별 규제와 연방정책 간 조정 |
| **중국** | 생성형 AI는 이미 별도 규제로 관리 중입니다. 2023년 「생성형 AI 서비스 관리잠행방법」이 시행됐고, 2025년에는 AI 생성·합성 콘텐츠 표시방법이 발표되어 2025년 9월 1일부터 시행됐습니다. 2026년에는 「AI 응용 윤리안전 지침 1.0」과 AI 의인화 상호작용 서비스 관리규정도 추가됐습니다. | 콘텐츠 통제, 생성물 표시, 개인정보·미성년자 보호, 사회질서·공공이익 중심 |
| **한국** | 「인공지능 발전과 신뢰 기반 조성 등에 관한 기본법」이 2025년 제정되어 2026년 1월 22일부터 시행됐습니다. 정부는 AI 안전성·신뢰성 검증·인증 지원, AI 영향평가, 고영향 AI 투명성 확보 등을 법적 틀 안에 넣었습니다. | 산업 진흥 + 신뢰성 확보 병행. 고영향 AI, 투명성, 생성물 표시, 영향평가 |
| **영국** | EU식 단일 포괄법보다는 **친혁신·부문별 규제** 접근입니다. 기존 AI 규제 백서의 5대 원칙을 기반으로, 2025년 AI Opportunities Action Plan과 공공부문 AI Playbook, 2025년 Data and AI Ethics Framework를 통해 정부·공공부문 책임 사용을 강화하고 있습니다. | 안전성, 투명성, 공정성, 책임성, 기존 규제기관별 적용 |
| **일본** | 법률로 강하게 묶기보다는 **가이드라인·자율거버넌스** 중심입니다. 2026년 3월 「AI Guidelines for Business Ver.1.2」가 공개됐고, 2026년 6월에는 일본 정부의 생성형 AI 조달·활용 가이드라인도 갱신됐습니다. | 인간중심 AI, 기업 자율거버넌스, 정부 조달 단계의 리스크 관리 |
| **싱가포르** | 실무형 AI 거버넌스 선도국입니다. 2024년 생성형 AI 거버넌스 프레임워크에 이어, 2026년에는 **Agentic AI**를 위한 Model AI Governance Framework를 발표했습니다. AI Verify 등 테스트·검증 도구 중심의 자율·실무형 모델입니다. | 자율 프레임워크, AI 검증도구, 생성형 AI·에이전트 AI 책임 배포 |
| **캐나다** | 포괄 AI법인 AIDA는 Bill C-27에 포함되어 추진됐으나, 해당 법안은 44대 의회 1회기 안건으로 남아 있었습니다. 현재는 생성형 AI 자율 행동강령, 공공부문 자동화 의사결정 지침, Canadian AI Safety Institute 중심으로 운영됩니다. | 포괄법 공백, 자율 행동강령, 공공부문 알고리즘 책임성 |
| **호주** | 공공부문은 책임 있는 AI 사용 정책을 의무화하는 방향이고, 민간에는 AI Safety Standard/Guardrails 기반 가이드가 제공됩니다. 2025년 12월 공공부문 정책 업데이트에서 AI 거버넌스, 책임자 지정, 위험 기반 조치를 강화했습니다. | 공공부문 의무정책 + 민간 자율 가드레일. 고위험 AI 의무화 논의 지속 |
| **인도** | 2025년 「India AI Governance Guidelines」를 통해 안전하고 신뢰할 수 있는 AI 혁신을 추진하고 있습니다. IndiaAI Mission의 Safe &amp; Trusted AI 축은 책임 있는 AI 개발·배포·도입을 위한 가드레일 마련을 목표로 합니다. | 포괄법보다 가이드라인·국가 AI 미션 중심. 포용성, 신뢰성, 현지 맥락 강조 |
| **브라질** | AI 규제법안 PL 2338/2023이 상원을 통과했고, 2025년 3월 하원 검토 단계로 넘어갔습니다. 아직 완전 시행된 포괄 AI법이라기보다는 입법 진행 단계입니다. | 기본권 보호, 위험 기반 규제, 창작자 권리, 투명성·책임성 중심 |</x:v>
      </x:c>
    </x:row>
    <x:row r="7">
      <x:c r="A7" t="n">
        <x:v>4</x:v>
      </x:c>
      <x:c r="B7" t="str">
        <x:v>핵심 흐름 요약</x:v>
      </x:c>
      <x:c r="C7" t="str">
        <x:v>본문</x:v>
      </x:c>
      <x:c r="D7" t="str">
        <x:v>현재 AI 윤리 정책은 크게 **세 갈래**로 나뉩니다.
첫째, **EU·한국·중국**은 법과 행정규제로 AI 윤리를 제도화하는 방향입니다. EU는 위험 기반 AI Act, 한국은 AI 기본법, 중국은 생성형 AI·표시·의인화 서비스 규제처럼 구체적 의무를 두는 방식입니다.
둘째, **미국·영국·일본·싱가포르·인도**는 상대적으로 **자율규제, 위험관리 프레임워크, 산업 진흥**을 중시합니다. 다만 미국은 2025년 이후 바이든 행정부의 안전 중심 행정명령에서 트럼프 행정부의 혁신·경쟁력 중심 정책으로 크게 방향이 바뀌었습니다.
셋째, **캐나다·호주·브라질**은 포괄 규제 도입을 논의하거나 추진하면서도, 현재는 자율 가이드라인·공공부문 정책·개별 분야 규제를 병행하는 과도기적 상태입니다.</x:v>
      </x:c>
    </x:row>
    <x:row r="8">
      <x:c r="A8" t="n">
        <x:v>5</x:v>
      </x:c>
      <x:c r="B8" t="str">
        <x:v>보고서용 문장</x:v>
      </x:c>
      <x:c r="C8" t="str">
        <x:v>본문</x:v>
      </x:c>
      <x:c r="D8" t="str">
        <x:v>“최근 주요국의 AI 윤리정책은 단순한 선언적 원칙에서 벗어나, 고위험 AI 관리, 생성형 AI 투명성, AI 생성물 표시, 인간 감독, 개인정보 보호, 알고리즘 책임성 등 실무적 의무로 전환되고 있다. EU와 한국은 포괄 법제화를 통해 AI 신뢰성 확보를 추진하고 있으며, 중국은 생성형 AI와 콘텐츠 표시를 중심으로 강한 행정규제를 적용하고 있다. 반면 미국, 영국, 일본, 싱가포르 등은 혁신 촉진과 자율적 위험관리 프레임워크를 병행하는 접근을 취하고 있다.”
---</x:v>
      </x:c>
    </x:row>
    <x:row r="9">
      <x:c r="A9" t="n">
        <x:v>6</x:v>
      </x:c>
      <x:c r="B9" t="str">
        <x:v>3. 최종 결과물 카테고리 정리</x:v>
      </x:c>
      <x:c r="C9" t="str">
        <x:v>사용자</x:v>
      </x:c>
      <x:c r="D9" t="str">
        <x:v>우리가 최종적으로 만들어야 할 결과물 = 현황들을 아래 카테고리에 따라 정리하는 거야 . 1) 국가별 2) 기관별 (EX. EU OECD) 3) 한국 기본법 4) ISO 5) ESG 목적은 강사를 양성함에 있어서 AI 윤리의 중요성에 대해 이야기할 거고 글로벌 환경으로 나아갔을 때 문제가 생기지 않도록 경각심을 가지게 하기 위함이야</x:v>
      </x:c>
    </x:row>
    <x:row r="10">
      <x:c r="A10" t="n">
        <x:v>6</x:v>
      </x:c>
      <x:c r="B10" t="str">
        <x:v>3. 최종 결과물 카테고리 정리</x:v>
      </x:c>
      <x:c r="C10" t="str">
        <x:v>ChatGPT</x:v>
      </x:c>
      <x:c r="D10" t="str">
        <x:v>좋아. 그러면 최종 결과물의 방향은 **“강사 양성용 AI 윤리 글로벌 현황 정리자료”**로 잡으면 됩니다. 단순히 법 이름을 나열하는 게 아니라, **왜 강사가 AI 윤리를 알아야 하는지**, **해외·공공·기업 환경에서 어떤 리스크가 생기는지**까지 연결하는 구조가 좋습니다.
# 최종 자료 구성안</x:v>
      </x:c>
    </x:row>
    <x:row r="11">
      <x:c r="A11" t="n">
        <x:v>7</x:v>
      </x:c>
      <x:c r="B11" t="str">
        <x:v>1) 국가별 AI 윤리·규제 현황</x:v>
      </x:c>
      <x:c r="C11" t="str">
        <x:v>본문</x:v>
      </x:c>
      <x:c r="D11" t="str">
        <x:v>| 국가/권역 | 최신 현황 | 강사 양성 관점에서 봐야 할 포인트 |
|---|---|---|
| **EU** | AI Act가 2024년 8월 1일 발효됐고, 2026년 8월 2일부터 본격 적용됩니다. 금지 AI, 고위험 AI, 범용 AI, 생성형 AI 투명성 의무를 단계적으로 적용합니다. | 해외 기업·교육·공공 프로젝트에서 **투명성, 설명가능성, 고위험 AI 판단**이 매우 중요함. |
| **미국** | 2023년 바이든 AI 행정명령 중심에서 2025년 트럼프 행정부의 **America’s AI Action Plan** 중심으로 방향이 바뀌었습니다. 현재는 혁신 촉진, 인프라 확대, 국제 AI 경쟁력 강화가 강조됩니다. 다만 NIST AI RMF는 2023년 공개 이후 생성형 AI 프로파일까지 확장되어 실무형 위험관리 기준으로 계속 활용됩니다. | 미국은 “강한 단일법”보다 **자율 위험관리, 기업 책임, 산업별 규제** 성격이 강함. |
| **중국** | 2023년 생성형 AI 관리잠행방법을 시행했고, 2025년에는 AI 생성·합성 콘텐츠 표시방법을 발표했습니다. 이 표시방법은 AI 생성 텍스트·이미지·음성·영상 등에 명시적·비명시적 표시를 요구합니다. | 중국은 **콘텐츠 통제, 허위정보 방지, 생성물 표시, 미성년자 보호** 중심. |
| **영국** | EU식 단일 포괄법보다 “pro-innovation approach”를 택하고, 기존 규제기관이 5대 원칙을 각 분야에 적용하는 방식입니다. | 강사는 “AI 활용을 막는 규제”가 아니라 **상황별 책임 있는 활용 원칙**으로 설명해야 함. |
| **일본** | 법적 강제보다 기업 가이드라인 중심입니다. 일본 정부는 AI Guidelines for Business를 통해 인간중심 AI, 안전성, 공정성, 투명성, 책임성 등을 기업 실무에 반영하도록 안내합니다. | 일본형 접근은 **자율 거버넌스와 기업 내부통제**를 이해하는 데 유용함. |
| **싱가포르** | IMDA와 AI Verify Foundation을 중심으로 AI Verify, 생성형 AI 거버넌스 프레임워크, Agentic AI 프레임워크를 운영합니다. 싱가포르는 테스트·검증·프레임워크 기반의 실무형 AI 거버넌스가 강합니다. | AI 윤리를 “철학”이 아니라 **검증 가능한 운영체계**로 교육하기 좋음. |
| **호주** | AI Ethics Principles를 기반으로 하되, 2025년에는 Guidance for AI Adoption으로 안전하고 책임 있는 AI 거버넌스 실무를 단순화했습니다. | 공공·민간 조직에서 **안전성, 신뢰성, 공정성, 책임성**을 어떻게 적용할지 설명 가능. |
| **캐나다** | AIDA가 포함된 Bill C-27은 44대 의회에서 제안됐으나, 보고단계와 3독회에 도달하지 못했습니다. 현재는 공공부문 자동화 의사결정 지침, 자율 행동강령 중심으로 운영되는 과도기적 상황입니다. | 포괄법이 없어도 **AI 윤리 기준과 위험관리는 이미 요구된다**는 사례로 활용 가능. |
| **한국** | AI 기본법이 2025년 제정되어 2026년 1월 22일부터 시행됩니다. 고영향 AI, 생성형 AI, 투명성, 안전성, 사업자 책무, 영향평가 등이 포함됩니다. | 국내 강사 양성에서는 가장 중요. **AI 활용 교육 자체가 법·윤리 리스크와 연결됨.** |</x:v>
      </x:c>
    </x:row>
    <x:row r="12">
      <x:c r="A12" t="n">
        <x:v>8</x:v>
      </x:c>
      <x:c r="B12" t="str">
        <x:v>2) 기관별 / 국제기구별 AI 윤리 기준</x:v>
      </x:c>
      <x:c r="C12" t="str">
        <x:v>본문</x:v>
      </x:c>
      <x:c r="D12" t="str">
        <x:v>| 기관 | 핵심 자료 | 핵심 내용 |
|---|---|---|
| **OECD** | OECD AI Principles | 2019년 채택, 2024년 업데이트. 신뢰할 수 있는 AI를 위해 인권, 민주적 가치, 투명성, 설명가능성, 안전성, 책임성을 강조합니다. |
| **UNESCO** | Recommendation on the Ethics of AI | 194개 회원국에 적용되는 글로벌 AI 윤리 권고입니다. AI 윤리를 인권, 포용성, 지속가능성, 차별 방지와 연결합니다. |
| **G7** | Hiroshima AI Process Code of Conduct | 고도 AI 시스템 개발 조직을 대상으로 안전하고 신뢰할 수 있는 AI 개발을 위한 자율 행동강령을 제시합니다. |
| **Council of Europe** | Framework Convention on AI | 2024년 9월 서명 개시. AI 활동이 인권, 민주주의, 법치주의와 일치해야 한다는 최초의 국제적 법적 구속력 있는 AI 조약입니다. |
| **EU** | AI Act | 위험 기반 AI 규제의 대표 모델입니다. 금지 AI, 고위험 AI, 범용 AI, 생성형 AI 투명성 등 실무 의무가 구체적입니다. |
강사 양성 관점에서는 이렇게 말하면 좋습니다.
&gt; “AI 윤리는 각국의 선택사항이 아니라, 국제기구와 주요 국가들이 공통적으로 요구하는 글로벌 역량이 되고 있다. 특히 교육·강의·컨설팅 영역에서는 AI가 만든 결과물을 그대로 전달할 경우, 허위정보·차별·저작권·개인정보·투명성 문제가 발생할 수 있다.”</x:v>
      </x:c>
    </x:row>
    <x:row r="13">
      <x:c r="A13" t="n">
        <x:v>9</x:v>
      </x:c>
      <x:c r="B13" t="str">
        <x:v>3) 한국 AI 기본법 정리</x:v>
      </x:c>
      <x:c r="C13" t="str">
        <x:v>본문</x:v>
      </x:c>
      <x:c r="D13" t="str">
        <x:v>| 항목 | 내용 |
|---|---|
| 법 명칭 | **인공지능 발전과 신뢰 기반 조성 등에 관한 기본법** |
| 시행일 | 2026년 1월 22일 시행 |
| 입법 목적 | AI의 건전한 발전과 신뢰 기반 조성을 통해 국민의 권익과 존엄성 보호, 삶의 질 향상, 국가경쟁력 강화 |
| 주요 정의 | 인공지능, 고영향 인공지능, 생성형 인공지능, 인공지능윤리, 인공지능사업자 |
| 주요 제도 | AI 기본계획, 국가AI전략위원회, AI정책센터, AI안전연구소, AI 신뢰성 검증·인증, AI 영향평가 |
| 사업자 의무 | 고영향 AI와 생성형 AI 관련 투명성 확보, 안전성 확보, 사업자 책무 |
| 교육적 의미 | AI를 가르치는 강사도 단순 도구 사용법만 가르칠 것이 아니라, **AI 결과물 검증, 출처 확인, 개인정보 보호, 생성물 표시, 편향 방지**를 함께 교육해야 함 |</x:v>
      </x:c>
    </x:row>
    <x:row r="14">
      <x:c r="A14" t="n">
        <x:v>10</x:v>
      </x:c>
      <x:c r="B14" t="str">
        <x:v>4) ISO 기준</x:v>
      </x:c>
      <x:c r="C14" t="str">
        <x:v>본문</x:v>
      </x:c>
      <x:c r="D14" t="str">
        <x:v>ISO는 “법”은 아니지만, 기업·기관·공공 프로젝트에서는 **감사, 인증, 내부통제, 리스크 관리 기준**으로 중요합니다.
| ISO 기준 | 내용 | 강사 양성 활용 포인트 |
|---|---|---|
| **ISO/IEC 42001:2023** | 세계 최초의 AI 경영시스템 표준. 조직이 AI를 책임 있게 개발·제공·사용하기 위한 관리체계를 요구합니다. | AI 윤리를 조직 운영 프로세스로 설명할 때 핵심 기준 |
| **ISO/IEC 23894:2023** | AI 관련 위험관리에 대한 지침입니다. AI 제품·서비스를 개발·배포·사용하는 조직이 AI 리스크를 관리하는 방법을 제시합니다. | 교육생에게 “AI 사용 전 위험 식별표”를 만들게 할 때 활용 |
| **ISO/IEC 42005:2025** | AI 시스템 영향평가 기준. 개별 AI 시스템의 영향을 식별·분석·문서화하는 데 초점이 있습니다. | 고위험 AI, 교육 AI, 채용 AI, 평가 AI 사례에 적용 가능 |
| **ISO/IEC 22989 / 23053** | AI 개념·용어와 ML 기반 AI 시스템 설명 프레임워크입니다. | 강사들이 AI 용어를 제각각 쓰지 않도록 표준 용어 기반 교육 가능 |
핵심 문장:
&gt; “ISO 기준은 AI 윤리를 선언이 아니라 조직의 관리체계로 바꾸는 도구다. 강사는 AI 활용법뿐 아니라, AI를 도입·운영·검증·개선하는 책임 있는 절차를 설명할 수 있어야 한다.”</x:v>
      </x:c>
    </x:row>
    <x:row r="15">
      <x:c r="A15" t="n">
        <x:v>11</x:v>
      </x:c>
      <x:c r="B15" t="str">
        <x:v>5) ESG와 AI 윤리 연결</x:v>
      </x:c>
      <x:c r="C15" t="str">
        <x:v>본문</x:v>
      </x:c>
      <x:c r="D15" t="str">
        <x:v>| ESG 영역 | AI 윤리와의 연결 |
|---|---|
| **E: Environmental** | 대규모 AI 모델 학습·운영에는 전력, 데이터센터, 냉각수, 탄소배출 문제가 발생할 수 있음. AI 활용 교육에서도 “편리함”뿐 아니라 환경 비용을 설명해야 함. |
| **S: Social** | AI 편향, 차별, 개인정보 침해, 허위정보, 딥페이크, 노동 대체, 디지털 격차 문제가 포함됨. 강사 양성 목적과 가장 직접적으로 연결됨. |
| **G: Governance** | AI 사용 기준, 승인 절차, 책임자 지정, 로그 관리, 검증 체계, 생성물 표시, 저작권 관리, 내부 교육이 포함됨. ISO/IEC 42001과 직접 연결 가능. |</x:v>
      </x:c>
    </x:row>
    <x:row r="16">
      <x:c r="A16" t="n">
        <x:v>12</x:v>
      </x:c>
      <x:c r="B16" t="str">
        <x:v>최종 교육자료의 핵심 메시지</x:v>
      </x:c>
      <x:c r="C16" t="str">
        <x:v>본문</x:v>
      </x:c>
      <x:c r="D16" t="str">
        <x:v>&gt; **AI 윤리는 선택 과목이 아니라 글로벌 환경에서 활동하기 위한 기본 안전장치다.**  
&gt; 강사가 AI를 활용해 교육자료를 만들고, 학습자를 평가하고, 콘텐츠를 배포하고, 기업·기관 교육을 수행하는 순간 개인정보, 저작권, 차별, 허위정보, 생성물 표시, 설명책임 문제가 발생할 수 있다. 따라서 AI 강사는 단순히 “AI를 잘 쓰는 사람”이 아니라, “AI를 안전하고 책임 있게 쓰도록 가르치는 사람”이어야 한다.
최종 산출물 순서:
1. AI 윤리가 왜 중요한가
2. 국가별 AI 윤리·규제 현황
3. 국제기구별 AI 윤리 기준
4. 한국 AI 기본법 핵심 정리
5. ISO 기반 AI 거버넌스 기준
6. ESG 관점에서 본 AI 윤리 리스크
7. 강사가 반드시 지켜야 할 AI 활용 원칙
8. 교육 현장 체크리스트
---</x:v>
      </x:c>
    </x:row>
    <x:row r="17">
      <x:c r="A17" t="n">
        <x:v>13</x:v>
      </x:c>
      <x:c r="B17" t="str">
        <x:v>4. 결과물 1과 2 정의</x:v>
      </x:c>
      <x:c r="C17" t="str">
        <x:v>사용자</x:v>
      </x:c>
      <x:c r="D17" t="str">
        <x:v>만들어야 하는 결과물 1 : 최대한 많은 AI 윤리 관련 자료조사 (공식 링크 또는 다운로드 문서 포함) 2: 강사 커리큘럼 + 교재 개요</x:v>
      </x:c>
    </x:row>
    <x:row r="18">
      <x:c r="A18" t="n">
        <x:v>13</x:v>
      </x:c>
      <x:c r="B18" t="str">
        <x:v>4. 결과물 1과 2 정의</x:v>
      </x:c>
      <x:c r="C18" t="str">
        <x:v>ChatGPT</x:v>
      </x:c>
      <x:c r="D18" t="str">
        <x:v>좋아. 최종 산출물은 아래처럼 **2개 결과물**로 분리하면 됩니다.
1. **AI 윤리 관련 공식자료 조사 DB**
2. **강사 양성 커리큘럼 + 교재 개요**</x:v>
      </x:c>
    </x:row>
    <x:row r="19">
      <x:c r="A19" t="n">
        <x:v>14</x:v>
      </x:c>
      <x:c r="B19" t="str">
        <x:v>결과물 1. AI 윤리 관련 공식자료 조사 DB 초안</x:v>
      </x:c>
      <x:c r="C19" t="str">
        <x:v>본문</x:v>
      </x:c>
      <x:c r="D19" t="str">
        <x:v>### 1) 국가별 AI 윤리·규제 자료
| 국가/권역 | 공식자료 | 핵심 내용 | 강사 교육 활용 포인트 |
|---|---|---|---|
| **EU** | **EU AI Act 원문 / EU AI Act 공식 설명자료** | 2024년 8월 1일 AI Act가 발효되었고, 위험 기반으로 금지 AI, 고위험 AI, 범용 AI, 생성형 AI 투명성 의무를 다룹니다. | 글로벌 기준에서 가장 강한 AI 규제 사례. 강사에게 “AI 윤리는 선택이 아니라 법적 리스크”라는 메시지를 주기 좋음. |
| **EU** | **General-Purpose AI Code of Practice** | 범용 AI 모델 제공자가 AI Act 의무를 준수하도록 돕는 실무 코드이며, 투명성, 저작권, 안전·보안 장으로 구성됩니다. | 생성형 AI를 활용하는 강사에게 저작권, 출처, 안전성, 설명책임을 교육할 때 활용. |
| **EU** | **AI 생성 콘텐츠 표시 관련 Code of Practice** | AI 생성 콘텐츠 식별·표시와 관련된 투명성 의무를 지원하는 자료입니다. | 교육자료, 이미지, 영상, 음성 제작 시 “AI 생성물 표시” 필요성을 설명하기 좋음. |
| **미국** | **NIST AI Risk Management Framework 1.0** | AI 위험을 관리하기 위한 미국 NIST의 대표 프레임워크입니다. Govern, Map, Measure, Manage 구조로 AI 위험을 체계적으로 다룹니다. | 강사에게 AI 윤리를 감성적 구호가 아니라 “위험관리 절차”로 설명 가능. |
| **미국** | **NIST Generative AI Profile** | 생성형 AI의 위험을 식별하고 관리하기 위한 NIST AI RMF의 보완 자료입니다. 2024년 7월 공개되었습니다. | 환각, 허위정보, 유해 콘텐츠, 개인정보, 저작권 리스크를 사례 기반으로 교육 가능. |
| **미국** | **America’s AI Action Plan / AI 관련 행정명령 변화** | 2025년 이후 미국은 바이든 행정부의 AI 행정명령을 폐기하고, AI 혁신·인프라·국제경쟁력 중심으로 정책 방향을 전환했습니다. | 미국은 EU처럼 포괄규제보다 산업 경쟁력과 자율 위험관리 중심이라는 차이를 설명. |
| **미국** | **AI Education 행정명령** | 2025년 4월 행정명령은 AI 리터러시와 교육자 대상 AI 훈련을 강조합니다. | “AI 강사 양성” 주제와 직접 연결 가능. |
| **중국** | **생성형 AI 서비스 관리잠행방법** | 2023년부터 생성형 AI 서비스 제공자의 책임, 개인정보 보호, 생성물 표시, 사회질서 보호 등을 규정합니다. | 중국은 콘텐츠 통제, 허위정보 방지, 공공질서 중심의 AI 윤리 규제 사례. |
| **중국** | **AI 생성·합성 콘텐츠 표시방법** | 텍스트, 음성, 이미지, 영상, 가상 장면 등 AI 생성·합성 콘텐츠에 대해 명시적·비명시적 표시를 요구하며 2025년 9월 1일부터 시행되었습니다. | 강사가 AI 이미지·영상·음성을 사용할 때 표시 의무와 딥페이크 위험을 설명하기 좋음. |
| **한국** | **인공지능 발전과 신뢰 기반 조성 등에 관한 기본법** | 2025년 제정, 2026년 1월 22일 시행. AI 발전과 신뢰 기반 조성, 국민 권익과 존엄성 보호를 목적으로 합니다. | 국내 강사 양성에서 가장 핵심. 생성형 AI, 고영향 AI, 투명성, 안전성, 신뢰성 교육과 연결. |
| **한국** | **사람이 중심이 되는 AI 윤리기준** | 인간 존엄성, 사회의 공공선, 기술의 합목적성을 3대 기본원칙으로 제시하고, 인권보장, 프라이버시, 다양성 존중, 책임성, 안전성, 투명성 등 10대 요건을 제시합니다. | 강사 윤리교육의 기본 철학 파트에 활용. |
| **한국** | **AI 윤리기준 실천을 위한 자율점검표** | AI 윤리기준의 10대 핵심요건을 현장에서 점검할 수 있도록 만든 체크리스트 자료입니다. | 강의 말미에 “강사용 AI 윤리 체크리스트”로 변환하기 좋음. |
| **영국** | **AI Regulation: A pro-innovation approach** | 영국은 EU식 포괄 단일법보다 기존 규제기관이 AI 원칙을 분야별로 적용하는 친혁신 접근을 취합니다. | “국가마다 AI 윤리 접근 방식이 다르다”는 비교 사례. |
| **일본** | **AI Guidelines for Business Ver.1.2** | 일본은 기업이 AI를 개발·제공·사용할 때 혁신 촉진과 위험 완화를 함께 추구하도록 AI 사업자 가이드라인을 운영합니다. | 법적 강제보다 자율 거버넌스와 기업 내부통제 중심 사례. |
| **싱가포르** | **Model AI Governance Framework / Generative AI Framework / Agentic AI Framework** | 싱가포르는 AI Verify, 생성형 AI 거버넌스, 에이전트형 AI 거버넌스 등 실무형 검증·운영 프레임워크를 운영합니다. | AI 윤리를 실제 조직 운영·검증 체계로 설명하기 좋음. |
| **캐나다** | **Voluntary Code of Conduct for Advanced Generative AI Systems** | 첨단 생성형 AI 시스템의 책임 있는 개발·관리를 위한 자율 행동강령입니다. | 포괄법이 없어도 자율 윤리기준과 산업계 책임이 요구된다는 사례. |
| **호주** | **Australia’s AI Ethics Principles** | 인간·사회·환경의 웰빙, 인간 중심 가치, 공정성, 개인정보 보호, 신뢰성, 투명성, 책임성 등을 원칙으로 제시합니다. | ESG와 AI 윤리를 연결하는 데 적합. |
| **인도** | **India AI Governance Guidelines / IndiaAI Mission** | 인도는 안전하고 책임 있으며 포용적인 AI 개발을 위해 AI 거버넌스 가이드라인과 IndiaAI Mission을 추진하고 있습니다. | AI 윤리를 포용성, 국가 AI 전략, 디지털 전환과 연결하는 사례. |
| **브라질** | **PL 2338/2023 AI 법안** | 브라질은 AI 사용에 관한 법안을 추진 중이며, 기본권, 책임, 윤리적·책임 있는 AI 사용을 핵심으로 다룹니다. | 남미권도 AI 윤리·책임 규제로 이동 중이라는 글로벌 확산 사례. |
### 2) 기관별 / 국제기구별 AI 윤리 자료
| 기관 | 공식자료 | 핵심 내용 | 강사 교육 활용 포인트 |
|---|---|---|---|
| **OECD** | **OECD AI Principles** | 2019년 채택, 2024년 업데이트. 신뢰할 수 있는 AI를 위해 포용성, 인권, 투명성, 안전성, 책임성을 강조합니다. | 글로벌 AI 윤리 원칙의 기본 뼈대. |
| **OECD.AI** | **AI Policy Observatory** | 900개 이상의 국가 AI 정책·이니셔티브를 제공하는 글로벌 정책 관측 플랫폼입니다. | 국가별 정책 비교 자료로 활용 가능. |
| **UNESCO** | **Recommendation on the Ethics of AI** | 2021년 채택된 AI 윤리 글로벌 권고로, 인권, 존엄성, 공정성, 투명성, 환경 지속가능성, 인간 감독을 강조합니다. | 강의의 “AI 윤리 기본원칙” 파트에 가장 적합. |
| **UNESCO** | **Guidance for Generative AI in Education and Research** | 생성형 AI를 교육·연구 현장에서 어떻게 책임 있게 사용할지 안내하는 글로벌 가이드입니다. | 강사 양성 목적과 직접 연결. |
| **UNESCO** | **AI Competency Framework for Teachers** | 교사·강사를 위한 AI 역량 프레임워크로, 인간중심 사고, AI 윤리, AI 기초, AI 교수법, 전문성 개발 등 5개 영역을 제시합니다. | 강사 커리큘럼 설계의 핵심 참고자료. |
| **Council of Europe** | **Framework Convention on AI** | 인권, 민주주의, 법치주의와 AI 활동을 일치시키기 위한 최초의 국제적 법적 구속력 있는 AI 조약입니다. | AI 윤리를 인권·민주주의·법치와 연결해 설명 가능. |
| **ASEAN** | **ASEAN Guide on AI Governance and Ethics** | ASEAN 지역 조직들이 책임 있는 AI를 설계·개발·배포할 수 있도록 돕는 실무 가이드입니다. | 동남아 시장 진출 또는 글로벌 교육에서 활용. |
| **UN Global Compact** | **Responsible AI Navigator** | 기업이 AI를 개발·구매·배포할 때 인권, 국제기준, 책임 있는 경영 원칙을 반영하도록 돕는 도구입니다. | ESG, 기업교육, 임직원 AI 윤리 교육에 적합. |
| **World Economic Forum** | **AI Governance Alliance / Responsible AI Innovation Playbook** | 책임 있는 AI 도입과 거버넌스를 위한 전략, 조직 운영, 리스크 관리 자료를 제공합니다. | 기업·공공기관 대상 AI 윤리 강의에 활용 가능. |
| **NIST** | **AI RMF / Generative AI Profile** | 미국의 대표 AI 위험관리 프레임워크와 생성형 AI 위험관리 보완자료입니다. | 강사용 체크리스트, 위험평가표, 사례분석 도구로 변환하기 좋음. |
### 3) 한국 기본법 및 국내 AI 윤리 자료
| 구분 | 공식자료 | 교육에서 다룰 핵심 |
|---|---|---|
| **한국 AI 기본법** | **인공지능 발전과 신뢰 기반 조성 등에 관한 기본법** | AI 발전과 신뢰 기반 조성, 국민 권익·존엄성 보호, AI 산업 경쟁력 강화를 목적으로 합니다. 2026년 1월 22일부터 시행됩니다. |
| **국내 AI 윤리기준** | **사람이 중심이 되는 AI 윤리기준** | 인간 존엄성, 사회의 공공선, 기술의 합목적성이라는 3대 원칙과 10대 핵심요건을 제시합니다. |
| **국내 실천자료** | **AI 윤리기준 실천을 위한 자율점검표** | AI 윤리기준을 실제 조직·교육·서비스에 적용하기 위한 점검표입니다. |
| **공공부문 참고자료** | **NIA 생성형 AI 윤리 가이드북 / 공공부문 AI 활용 자료** | 생성형 AI 활용 시 윤리적 유의사항, 조직 가이드라인, 공공부문 활용 기준을 정리한 자료로 활용할 수 있습니다. |
### 4) ISO AI 윤리·거버넌스 자료
| ISO 자료 | 핵심 내용 | 강사 교육 활용 포인트 |
|---|---|---|
| **ISO/IEC 42001:2023** | 세계 최초의 AI 경영시스템 표준으로, 조직이 AI를 책임 있게 개발·제공·사용하기 위한 관리체계를 제시합니다. | AI 윤리를 조직 운영체계로 설명할 때 핵심. |
| **ISO/IEC 23894:2023** | AI를 개발·배포·사용하는 조직이 AI 위험관리를 수행하는 방법을 안내합니다. | AI 리스크 식별표, 위험평가 실습에 활용. |
| **ISO/IEC 42005:2025** | AI 시스템이 개인, 집단, 사회에 미치는 영향을 평가하고 문서화하는 지침입니다. | 교육, 채용, 평가, 상담 등 고영향 AI 사례 분석에 적합. |
| **ISO/IEC 42006:2025** | AI 경영시스템 인증기관의 감사·인증 요구사항을 다루며, 일관되고 신뢰 가능한 인증을 목표로 합니다. | 기업 교육에서 “AI 윤리 인증과 감사” 개념 설명. |
| **ISO/IEC 22989:2022** | AI 개념과 용어 표준입니다. | 강사마다 용어를 다르게 쓰는 문제 방지. |
| **ISO/IEC 38507:2022** | 조직의 AI 사용이 거버넌스에 미치는 영향을 다룹니다. | 경영진·관리자 대상 강의에 활용. |
| **ISO/IEC TR 24027** | AI 시스템의 편향 문제를 다룹니다. | 차별, 편향, 공정성 교육의 근거 자료. |
| **ISO/IEC TR 24028** | AI 신뢰성 개요를 다룹니다. | 신뢰 가능한 AI의 구성요소 설명. |
| **ISO/IEC TR 24368** | AI의 윤리적·사회적 우려사항을 개관합니다. | AI 윤리 개론 파트에 활용. |
| **ISO/IEC TR 20226** | AI 시스템의 환경 지속가능성 측면을 다룹니다. | ESG의 E, 즉 에너지·탄소·환경 리스크와 연결. |
| **ISO/IEC 12792** | AI 시스템 투명성에 관한 분류체계를 다룹니다. | 설명가능성, 고지, 표시 의무 교육에 활용. |
### 5) ESG 관점의 AI 윤리 자료
| ESG 영역 | AI 윤리 이슈 |
|---|---|
| **E: 환경** | 대규모 AI 모델과 데이터센터는 전력, 냉각수, 탄소배출, 자원 사용 문제와 연결됩니다. |
| **S: 사회** | AI 편향, 차별, 개인정보 침해, 허위정보, 딥페이크, 디지털 격차, 노동 대체 문제가 포함됩니다. |
| **G: 거버넌스** | AI 사용 승인 절차, 책임자 지정, 로그 관리, 생성물 표시, 리스크 평가, 내부 교육, 감사 체계가 포함됩니다. |
| **기업 책임** | UN Global Compact는 Responsible AI Navigator를 통해 기업이 AI를 책임 있게 개발·구매·배포하도록 안내합니다. |
| **투자·경영 관점** | WEF는 책임 있는 AI 혁신과 AI 거버넌스를 기업 전략, 리스크 관리, 신뢰 확보와 연결합니다. |</x:v>
      </x:c>
    </x:row>
    <x:row r="20">
      <x:c r="A20" t="n">
        <x:v>15</x:v>
      </x:c>
      <x:c r="B20" t="str">
        <x:v>결과물 2. 강사 양성 커리큘럼 + 교재 개요</x:v>
      </x:c>
      <x:c r="C20" t="str">
        <x:v>본문</x:v>
      </x:c>
      <x:c r="D20" t="str">
        <x:v>### 교육 목표
이 과정의 목표는 단순히 “AI를 잘 쓰는 강사”를 만드는 것이 아니라, **AI를 안전하고 책임 있게 사용하도록 가르칠 수 있는 강사**를 양성하는 것입니다.
| 역량 | 설명 |
|---|---|
| AI 윤리 중요성 설명 | AI 윤리가 왜 글로벌 규제, 기업 리스크, 교육 신뢰성과 연결되는지 설명 |
| 국가별 규제 비교 | EU, 미국, 중국, 한국, 영국, 일본 등 주요국 AI 윤리·규제 차이 설명 |
| 국내 법 이해 | 한국 AI 기본법, AI 윤리기준, 자율점검표의 핵심 이해 |
| 생성형 AI 리스크 식별 | 환각, 편향, 개인정보, 저작권, 딥페이크, 생성물 표시 문제 식별 |
| 교육자료 검증 | AI가 만든 자료의 사실성, 출처, 저작권, 편향 여부 점검 |
| ISO/ESG 연결 | AI 윤리를 조직 거버넌스, ESG, 리스크 관리와 연결 |
| 강의 설계 | AI 윤리를 포함한 강의안, 체크리스트, 실습과제 설계 |
### 16시간 커리큘럼
| 차시 | 시간 | 주제 | 핵심 내용 | 실습/산출물 |
|---|---:|---|---|---|
| 1 | 1.5h | AI 윤리가 왜 중요한가 | AI 활용 확산, 생성형 AI 리스크, 강사의 책임, 글로벌 규제 흐름 | AI 윤리 사고사례 토론 |
| 2 | 2h | 국가별 AI 윤리·규제 현황 | EU AI Act, 미국 NIST, 중국 생성형 AI 규제, 영국·일본·싱가포르 접근 비교 | 국가별 규제 비교표 작성 |
| 3 | 2h | 국제기구 AI 윤리 원칙 | OECD, UNESCO, Council of Europe, ASEAN, UNGC, WEF 자료 분석 | 국제원칙 5개 키워드 정리 |
| 4 | 2h | 한국 AI 기본법과 국내 윤리기준 | 한국 AI 기본법, 사람이 중심이 되는 AI 윤리기준, 자율점검표 | 국내 강의용 체크리스트 만들기 |
| 5 | 2h | 생성형 AI 활용 리스크 | 환각, 허위정보, 개인정보, 저작권, 딥페이크, AI 생성물 표시 | 잘못된 AI 교육자료 수정 실습 |
| 6 | 2h | ISO 기반 AI 거버넌스 | ISO/IEC 42001, 23894, 42005, 42006, 편향·신뢰성·투명성 표준 | AI 위험평가표 작성 |
| 7 | 1.5h | ESG와 AI 윤리 | 환경, 사회, 거버넌스 관점에서 AI 리스크 분석 | ESG 관점 AI 리스크 매핑 |
| 8 | 3h | 책임 있는 AI 강의 설계 | 강사용 윤리 원칙, 교육자료 검증법, 수강생 주의사항, 강의안 설계 | 최종 강의안 + 윤리 체크리스트 발표 |
### 교재 목차안
- Part 1. AI 윤리의 기본 이해
- Part 2. 국가별 AI 윤리·규제 현황
- Part 3. 국제기구별 AI 윤리 원칙
- Part 4. 한국 AI 기본법과 국내 윤리기준
- Part 5. 생성형 AI 활용 리스크
- Part 6. ISO 기반 AI 거버넌스
- Part 7. ESG와 AI 윤리
- Part 8. 강사용 AI 윤리 실무 가이드
- Part 9. 사례와 실습
- 부록: 공식자료 목록, ISO 목록, 체크리스트, 생성물 표시 문구 예시, 용어집
---</x:v>
      </x:c>
    </x:row>
    <x:row r="21">
      <x:c r="A21" t="n">
        <x:v>16</x:v>
      </x:c>
      <x:c r="B21" t="str">
        <x:v>5. 결과물 1을 엑셀 파일로 만들기</x:v>
      </x:c>
      <x:c r="C21" t="str">
        <x:v>사용자</x:v>
      </x:c>
      <x:c r="D21" t="str">
        <x:v>가장 먼저</x:v>
      </x:c>
    </x:row>
    <x:row r="22">
      <x:c r="A22" t="n">
        <x:v>16</x:v>
      </x:c>
      <x:c r="B22" t="str">
        <x:v>5. 결과물 1을 엑셀 파일로 만들기</x:v>
      </x:c>
      <x:c r="C22" t="str">
        <x:v>사용자</x:v>
      </x:c>
      <x:c r="D22" t="str">
        <x:v>우리가 찾았던 결과물 1. AI 윤리 관련 공식자료 조사 DB 초안 이것 먼저 파일로 만들자. 파일은 빡빡하게 구성해야 해. 아까 만들었던 표에서 더 타이트하게 만들고, 강사 교육 활용 포인트는 빼고 그 자리에 링크 바로 누를 수 있도록 구성해줘</x:v>
      </x:c>
    </x:row>
    <x:row r="23">
      <x:c r="A23" t="n">
        <x:v>16</x:v>
      </x:c>
      <x:c r="B23" t="str">
        <x:v>5. 결과물 1을 엑셀 파일로 만들기</x:v>
      </x:c>
      <x:c r="C23" t="str">
        <x:v>ChatGPT</x:v>
      </x:c>
      <x:c r="D23" t="str">
        <x:v>엑셀형 DB 파일로 만들겠습니다. 표는 빡빡하게 보이도록 열 폭·글자 크기·줄바꿈을 조정하고, 마지막 열에 공식 링크를 바로 클릭할 수 있게 넣겠습니다.
표 구성은 `대분류 / 국가·기관 / 자료명 / 연도·상태 / 핵심내용 / 링크` 6열로 줄이겠습니다. 링크는 긴 URL을 그대로 늘어뜨리지 않고 `열기` 형태로 클릭되게 넣겠습니다.
파일 만들었습니다.  
메인 시트는 **빡빡한 6열 구성**으로 정리했고, `공식링크` 열은 `열기` 형태로 바로 클릭되게 넣었습니다.
구성:
- `AI윤리_DB` : 최종 조사 DB
- `URL_원문` : 전체 공식 URL 원문 목록
- `README` : 파일 기준 정보
총 **101개 공식자료**를 넣었습니다.
파일명: `AI_윤리_공식자료_조사_DB.xlsx`
---</x:v>
      </x:c>
    </x:row>
    <x:row r="24">
      <x:c r="A24" t="n">
        <x:v>17</x:v>
      </x:c>
      <x:c r="B24" t="str">
        <x:v>6. 2025~2026 최신자료, 권역별 누락, 링크 문제, hu-tec 페이지 확인</x:v>
      </x:c>
      <x:c r="C24" t="str">
        <x:v>사용자</x:v>
      </x:c>
      <x:c r="D24" t="str">
        <x:v>1. 생각보다 최신 자료들이 없어서 2025-2026년 기준 자료들 추가로 조사해줄래? 2. 북유럽이나 남미, 아시아, 북태평양 이렇게 대륙별로 나눠서 빠진 자료 없는지 확인해줘. 독일 같은 나라는 EU 소속이긴 한데 자체적으로 시행하는 거 없는지 봐주고, 지금 자료들에서 링크 다 접근 불가능하다고 뜨는데 왜 그런거야? 3. https://hu-tec.github.io/ai-ethics/#/fields 이 페이지 읽을 수 있어? 각 국가가 이렇게 산업별 등등 카테고리 별로는 어떻게 AI 윤리를 도입하고 있는지 궁금해</x:v>
      </x:c>
    </x:row>
    <x:row r="25">
      <x:c r="A25" t="n">
        <x:v>17</x:v>
      </x:c>
      <x:c r="B25" t="str">
        <x:v>6. 2025~2026 최신자료, 권역별 누락, 링크 문제, hu-tec 페이지 확인</x:v>
      </x:c>
      <x:c r="C25" t="str">
        <x:v>ChatGPT</x:v>
      </x:c>
      <x:c r="D25" t="str">
        <x:v>맞습니다. 이전 파일은 “공식자료 모음”으로는 시작점이지만, 최신성·지역 커버리지·링크 접근성까지 보려면 한 번 더 정리해야 합니다. 이번에는 **2025~2026 최신자료**, **대륙/권역별 누락 점검**, **산업별·분야별 AI 윤리 적용**까지 반영해서 파일을 보강하겠습니다.
먼저 한 가지 원인부터 짚으면, 이전 파일 링크는 일부 셀에서 `열기`만 보이게 처리되어 사용자 PC/엑셀 환경에 따라 하이퍼링크가 제대로 살아나지 않았을 가능성이 큽니다. 이번 버전은 **클릭용 링크 + URL 원문 열을 둘 다 넣어서** 접근 불가 문제를 줄이겠습니다.
조사 방향을 넓히면서 보니 보강해야 할 핵심은 세 가지입니다. EU 단위 자료만으로 끝내면 독일·프랑스·북유럽처럼 **국가별 이행/감독/분야별 가이드**가 빠지고, 2025~2026년에는 생성형 AI·공공부문·AI 표시·AI 안전기관 자료가 크게 늘었습니다.
보강해서 **v2 파일로 다시 만들었습니다.**  
이번 버전은 이전보다 최신성·권역 구분·분야별 적용을 더 보강했고, 링크 문제 때문에 **`클릭` 열 + `URL원문` 열을 둘 다 넣었습니다.**
파일명: `AI_윤리_공식자료_조사_DB_v2_2025_2026.xlsx`</x:v>
      </x:c>
    </x:row>
    <x:row r="26">
      <x:c r="A26" t="n">
        <x:v>18</x:v>
      </x:c>
      <x:c r="B26" t="str">
        <x:v>반영한 내용</x:v>
      </x:c>
      <x:c r="C26" t="str">
        <x:v>본문</x:v>
      </x:c>
      <x:c r="D26" t="str">
        <x:v>1. **2025~2026년 최신자료 추가**
   - 총 공식자료 **98개**
   - 그중 **2025~2026년 자료 69개**
   - EU GPAI Code of Practice, AI 생성 콘텐츠 투명성 Code, 미국 AI Action Plan, 캐나다 AI for All, 호주 National AI Plan, 스웨덴 AI Strategy 2026, 일본 AI Guidelines for Business Ver.1.2, 싱가포르 Agentic AI Framework, 중국 AI 생성·합성 콘텐츠 표시방법 등을 추가했습니다.
2. **대륙·권역별 재분류**
   - 유럽 / 북유럽 / 남미 / 아시아 / 북미·북태평양 / 오세아니아·북태평양 / 중동 / 아프리카로 나눴습니다.
   - 독일처럼 EU 소속이지만 자체적으로 운영하는 자료도 별도로 넣었습니다. 예를 들어 독일 BSI의 **금융 분야 AI 시스템 테스트 기준**, 프랑스 CNIL의 **AI·GDPR 권고**, 영국의 **공공부문 AI Playbook**, 북유럽의 노르웨이·스웨덴·아이슬란드 자료를 분리했습니다.
3. **산업·분야별 AI 윤리 도입 방식 추가**
   - 별도 시트 `04_산업분야매핑`을 만들었습니다.
   - 교육, 공공부문, 금융, 개인정보, 생성형 AI, 딥페이크/콘텐츠 표시, 에이전트 AI, 보건, 데이터센터/ESG 등으로 정리했습니다.
   - UNESCO의 교사 AI 역량 프레임워크, ASEAN 생성형 AI 가이드, ISO/IEC 42005·42006 같은 2025년 표준도 반영했습니다.</x:v>
      </x:c>
    </x:row>
    <x:row r="27">
      <x:c r="A27" t="n">
        <x:v>19</x:v>
      </x:c>
      <x:c r="B27" t="str">
        <x:v>링크가 접근 불가능하게 보였던 이유</x:v>
      </x:c>
      <x:c r="C27" t="str">
        <x:v>본문</x:v>
      </x:c>
      <x:c r="D27" t="str">
        <x:v>이전 파일은 링크가 `열기` 형태로만 보이도록 구성되어 있어서, 엑셀 보호 보기·구글시트 변환·외부 링크 차단 설정에 따라 링크가 죽어 보였을 가능성이 큽니다. 이번 파일은 `클릭` 열이 안 되더라도 바로 옆 `URL원문`을 복사해서 접속할 수 있게 했습니다.</x:v>
      </x:c>
    </x:row>
    <x:row r="28">
      <x:c r="A28" t="n">
        <x:v>20</x:v>
      </x:c>
      <x:c r="B28" t="str">
        <x:v>hu-tec 페이지 관련</x:v>
      </x:c>
      <x:c r="C28" t="str">
        <x:v>본문</x:v>
      </x:c>
      <x:c r="D28" t="str">
        <x:v>해당 페이지는 열리긴 하지만, 제가 읽는 텍스트 추출 환경에서는 본문이 비어 있는 **GitHub Pages SPA 형태**로 잡힙니다. 그래서 페이지 내용 자체를 안정적으로 긁어오기는 어렵습니다. 다만 연결된 GitHub 저장소는 확인되며, “인공지능 관련 윤리적 이슈와 가이드 모음” 형태의 프로젝트로 보입니다.
그래서 hu-tec처럼 **분야별/산업별로 보는 방식**은 이번 파일에 별도 시트로 재구성했습니다.  
다음 단계는 이 v2 파일을 바탕으로 **중복 제거 + 공식자료 중요도 등급 + 강사 교육용 우선순위**까지 정리하면 됩니다.
---</x:v>
      </x:c>
    </x:row>
    <x:row r="29">
      <x:c r="A29" t="n">
        <x:v>21</x:v>
      </x:c>
      <x:c r="B29" t="str">
        <x:v>7. 콘텐츠 유형별 AI 윤리 분류 요청</x:v>
      </x:c>
      <x:c r="C29" t="str">
        <x:v>사용자</x:v>
      </x:c>
      <x:c r="D29" t="str">
        <x:v>산업 관련 내가 궁금했던 거는 글로벌 국가에서는 AI 문서윤리
문서, 보고서, 기획서, 안내문 작성 과정에서 필요한 신뢰와 출처의 기준
핵심 이슈
허위정보 / 표절 / 저작권
대표 문제
검증되지 않은 내용, 출처 불명, 자동 작성 남용
교육
시험
보고서
AI 음성윤리
음성 생성과 복제, 안내 음성 활용 시 필요한 동의와 책임의 기준
핵심 이슈
동의 / 사칭 / 도용
대표 문제
음성 클로닝, 신원 오인, 보이스피싱
교육
컨설팅
보고서
AI 영상윤리
합성영상과 딥페이크 시대에 필요한 초상권과 조작 방지 기준
핵심 이슈
딥페이크 / 초상권 / 표시책임
대표 문제
얼굴 합성, 가짜 영상, 신뢰 훼손
교육
인증
컨설팅
AI 이미지윤리
생성 이미지와 시각 자료 활용에 필요한 작가 권리와 출처의 기준
핵심 이슈
스타일모방 / 출처 / 저작권
대표 문제
작가풍 모방, 이미지 재가공, 상업적 사용 책임
교육
보고서
AI 광고·홍보윤리
광고문구와 홍보물에서 과장과 오인을 막기 위한 AI 윤리 기준
핵심 이슈
허위표현 / 소비자오인 / 책임광고
대표 문제
과장 홍보, 자동 생성 광고문구, 신뢰 저하
교육
컨설팅
보고서
AI툴 윤리
다양한 AI 도구 활용 시의 도덕적 책임과 오남용 방지를 위한 가이드
핵심 이슈
도구남용 / 책임소재 / 결과편향
대표 문제
비전문적 AI 활용, 편향된 결과물 무단 배포
교육
인증 이런 식으로 나눠서 AI윤리를 규제하고 있는지</x:v>
      </x:c>
    </x:row>
    <x:row r="30">
      <x:c r="A30" t="n">
        <x:v>21</x:v>
      </x:c>
      <x:c r="B30" t="str">
        <x:v>7. 콘텐츠 유형별 AI 윤리 분류 요청</x:v>
      </x:c>
      <x:c r="C30" t="str">
        <x:v>ChatGPT</x:v>
      </x:c>
      <x:c r="D30" t="str">
        <x:v>맞아. 네가 말한 방식이 **강사 교육용 분류로 훨씬 맞습니다.**  
다만 글로벌 규제는 보통 “AI 문서윤리 / 음성윤리 / 영상윤리”라는 이름으로 직접 나누기보다는, **AI 생성 콘텐츠 유형 + 활용 맥락 + 위험 이슈**로 나눠 관리합니다.
즉 구조는 이렇게 보는 게 정확합니다.
&gt; **문서·음성·영상·이미지·광고·AI툴 사용**  
&gt; → 각 콘텐츠 유형별로  
&gt; **허위정보, 표절, 저작권, 동의, 사칭, 딥페이크, 출처, 표시책임, 소비자 오인**을 관리하는 방식
특히 EU와 중국은 네가 말한 분류에 가장 가깝습니다. EU는 AI Act 제50조와 2026년 AI 생성 콘텐츠 표시 Code of Practice에서 **AI 생성 콘텐츠 표시, 딥페이크 표시, 공익 관련 AI 생성 텍스트 표시**를 다루고, 중국은 2025년 「AI 생성·합성 콘텐츠 표시방법」에서 **텍스트, 이미지, 음성, 영상, 가상 장면**을 명시적으로 분류합니다.
# 1. 네 분류는 이렇게 공식자료와 연결하면 됨
| 분류 | 글로벌 규제·가이드에서 실제로 다루는 방식 | 핵심 이슈 | 대표 공식근거 |
|---|---|---|---|
| **AI 문서윤리** | AI 생성 텍스트, 보고서, 교육자료, 공익 정보, 학술·연구 문서의 신뢰성 문제로 다룸 | 허위정보, 표절, 저작권, 출처 불명, 자동 작성 남용 | UNESCO 생성형 AI 교육·연구 가이드, 미국 Copyright Office AI 보고서, NIST 생성형 AI 프로파일 |
| **AI 음성윤리** | 음성 생성, 음성 복제, AI 보이스콜, 사칭·보이스피싱·동의 문제로 다룸 | 동의, 사칭, 도용, 보이스피싱 | 미국 FCC는 AI 생성 음성도 TCPA상 “artificial or prerecorded voice”에 해당해 사전 동의가 필요하다고 봤고, FTC도 AI 사칭·음성복제 위험을 소비자보호 이슈로 다룹니다. |
| **AI 영상윤리** | 딥페이크, 합성영상, 조작 영상, 선거·공공정보·사회적 신뢰 훼손 문제로 다룸 | 딥페이크, 초상권, 표시책임, 조작 방지 | EU AI Act 투명성 의무와 중국 AI 생성·합성 콘텐츠 표시방법이 영상·딥페이크 표시를 직접 다룹니다. |
| **AI 이미지윤리** | 생성 이미지, 스타일 모방, 작가 권리, 저작권, 출처, 상업적 활용 책임으로 다룸 | 스타일 모방, 출처, 저작권, 초상권 | 미국 Copyright Office는 AI 산출물의 저작권성과 디지털 복제 문제를 별도 보고서로 다루고, 한국저작권위원회도 2025년 생성형 AI 저작권 등록·분쟁 예방 안내서를 발간했습니다. |
| **AI 광고·홍보윤리** | AI 광고문구, AI 후기, AI 인플루언서, 소비자 오인, 허위·과장 표시 문제로 다룸 | 허위표현, 소비자 오인, 과장광고, 책임소재 | 미국 FTC는 2024년 Operation AI Comply를 통해 AI를 활용한 기만적 광고·마케팅 행위 단속을 발표했고, AI로 생성한 가짜 후기·추천도 소비자보호 이슈로 봅니다. |
| **AI툴 윤리** | 특정 콘텐츠가 아니라 AI 도구를 쓰는 조직·사용자의 책임, 리스크 관리, 검증, 감독 문제로 다룸 | 도구남용, 책임소재, 편향, 검증 부족 | NIST AI RMF, 호주 AI Ethics Principles·Guidance for AI Adoption, 싱가포르 생성형 AI 거버넌스 프레임워크가 AI 도구 사용 전반의 위험관리 기준으로 활용됩니다. |
# 2. 네가 원하는 분류로 정리하면 이렇게 잡으면 됨</x:v>
      </x:c>
    </x:row>
    <x:row r="31">
      <x:c r="A31" t="n">
        <x:v>22</x:v>
      </x:c>
      <x:c r="B31" t="str">
        <x:v>AI 문서윤리</x:v>
      </x:c>
      <x:c r="C31" t="str">
        <x:v>본문</x:v>
      </x:c>
      <x:c r="D31" t="str">
        <x:v>| 항목 | 내용 |
|---|---|
| 대상 | 보고서, 기획서, 안내문, 교육자료, 시험 답안, 학술문서, 공공문서 |
| 핵심 이슈 | 허위정보, 표절, 저작권, 출처 불명, 자동 작성 남용 |
| 대표 문제 | 검증되지 않은 내용, 존재하지 않는 출처, AI가 만든 문장을 사람 작성물처럼 제출, 보고서 대필 |
| 글로벌 관리 방식 | 교육·연구 가이드, 저작권 가이드, 생성형 AI 위험관리 프레임워크, 학문윤리 기준 |
| 연결 자료 | UNESCO 생성형 AI 교육·연구 가이드, UNESCO 교사 AI 역량 프레임워크, 미국 Copyright Office AI 보고서, NIST GenAI Profile |
| 활용 분야 | 교육, 시험, 보고서, 컨설팅, 교재 제작 |
교육 메시지:
&gt; “AI가 작성한 문서는 초안일 뿐이며, 강사는 사실 검증·출처 확인·저작권 확인 없이 교육자료나 보고서에 넣어서는 안 된다.”</x:v>
      </x:c>
    </x:row>
    <x:row r="32">
      <x:c r="A32" t="n">
        <x:v>23</x:v>
      </x:c>
      <x:c r="B32" t="str">
        <x:v>AI 음성윤리</x:v>
      </x:c>
      <x:c r="C32" t="str">
        <x:v>본문</x:v>
      </x:c>
      <x:c r="D32" t="str">
        <x:v>| 항목 | 내용 |
|---|---|
| 대상 | AI 내레이션, 안내 음성, 상담 음성, 음성 복제, 보이스봇, 콜센터 AI |
| 핵심 이슈 | 동의, 사칭, 도용, 보이스피싱, 신원 오인 |
| 대표 문제 | 유명인·임직원·강사 음성 복제, 허락 없는 안내음성 사용, AI 음성으로 사람인 척 응대 |
| 글로벌 관리 방식 | 사전 동의, AI 음성 사용 고지, 사칭 금지, 소비자보호, 통신규제 |
| 연결 자료 | 미국 FCC AI 음성 로보콜 규제, FTC AI 사칭·음성복제 대응, 중국 AI 생성·합성 콘텐츠 표시방법 |
| 활용 분야 | 교육, 컨설팅, 보고서, 콜센터, 안내방송, 상담서비스 |
교육 메시지:
&gt; “AI 음성은 편리하지만, 실제 사람의 목소리처럼 들리기 때문에 동의·고지·사칭 방지가 핵심이다.”</x:v>
      </x:c>
    </x:row>
    <x:row r="33">
      <x:c r="A33" t="n">
        <x:v>24</x:v>
      </x:c>
      <x:c r="B33" t="str">
        <x:v>AI 영상윤리</x:v>
      </x:c>
      <x:c r="C33" t="str">
        <x:v>본문</x:v>
      </x:c>
      <x:c r="D33" t="str">
        <x:v>| 항목 | 내용 |
|---|---|
| 대상 | 딥페이크 영상, 합성 강의영상, 홍보영상, 인터뷰 영상, 가상인간 영상 |
| 핵심 이슈 | 딥페이크, 초상권, 표시책임, 조작 방지 |
| 대표 문제 | 얼굴 합성, 가짜 인터뷰, 허위 강의영상, 실제 발언처럼 보이는 조작 영상 |
| 글로벌 관리 방식 | AI 생성·조작 영상 표시, 딥페이크 고지, 공익 정보 조작 방지, 선거·미디어 신뢰 보호 |
| 연결 자료 | EU AI Act 제50조, EU AI 생성 콘텐츠 표시 Code of Practice, 중국 AI 생성·합성 콘텐츠 표시방법 |
| 활용 분야 | 교육, 인증, 컨설팅, 홍보, 언론, 선거, 공공 캠페인 |
교육 메시지:
&gt; “AI 영상은 시청자가 실제 장면으로 오인할 가능성이 높기 때문에, 표시와 동의가 없으면 신뢰 훼손 리스크가 크다.”</x:v>
      </x:c>
    </x:row>
    <x:row r="34">
      <x:c r="A34" t="n">
        <x:v>25</x:v>
      </x:c>
      <x:c r="B34" t="str">
        <x:v>AI 이미지윤리</x:v>
      </x:c>
      <x:c r="C34" t="str">
        <x:v>본문</x:v>
      </x:c>
      <x:c r="D34" t="str">
        <x:v>| 항목 | 내용 |
|---|---|
| 대상 | 생성 이미지, 삽화, 광고 이미지, 교재 이미지, 썸네일, 인포그래픽 |
| 핵심 이슈 | 스타일 모방, 출처, 저작권, 초상권, 상업적 사용 책임 |
| 대표 문제 | 특정 작가풍 모방, 타인 이미지 재가공, 출처 없는 이미지 사용, 상업 홍보물 무단 활용 |
| 글로벌 관리 방식 | 저작권성 판단, 인간 창작 기여도 판단, 생성물 표시, 출처·라이선스 관리 |
| 연결 자료 | 미국 Copyright Office AI 보고서, 한국저작권위원회 생성형 AI 저작권 안내서, 중국 AI 생성·합성 콘텐츠 표시방법 |
| 활용 분야 | 교육, 보고서, 광고, 홍보, 교재 제작, 디자인 |
교육 메시지:
&gt; “AI 이미지는 무료 이미지가 아니며, 상업적으로 쓰는 순간 저작권·초상권·출처 책임이 생긴다.”</x:v>
      </x:c>
    </x:row>
    <x:row r="35">
      <x:c r="A35" t="n">
        <x:v>26</x:v>
      </x:c>
      <x:c r="B35" t="str">
        <x:v>AI 광고·홍보윤리</x:v>
      </x:c>
      <x:c r="C35" t="str">
        <x:v>본문</x:v>
      </x:c>
      <x:c r="D35" t="str">
        <x:v>| 항목 | 내용 |
|---|---|
| 대상 | 광고문구, 제품 설명, 후기, 리뷰, 상세페이지, 홍보 이미지, AI 인플루언서 |
| 핵심 이슈 | 허위표현, 소비자 오인, 과장광고, 책임소재 |
| 대표 문제 | AI가 만든 가짜 후기, 과장된 효능 표현, 실제 이용자처럼 보이는 AI 모델, 자동 생성 광고문구 무검증 사용 |
| 글로벌 관리 방식 | 소비자보호법, 허위·기만 광고 규제, AI 사용 고지, 책임 있는 마케팅 |
| 연결 자료 | 미국 FTC Operation AI Comply, FTC AI 사칭 규제, EU AI 생성 콘텐츠 표시 의무 |
| 활용 분야 | 교육, 컨설팅, 보고서, 마케팅, 브랜딩, 상세페이지 제작 |
교육 메시지:
&gt; “AI가 만든 광고문구라도 책임은 AI가 아니라 광고주와 사용자에게 있다.”</x:v>
      </x:c>
    </x:row>
    <x:row r="36">
      <x:c r="A36" t="n">
        <x:v>27</x:v>
      </x:c>
      <x:c r="B36" t="str">
        <x:v>AI툴 윤리</x:v>
      </x:c>
      <x:c r="C36" t="str">
        <x:v>본문</x:v>
      </x:c>
      <x:c r="D36" t="str">
        <x:v>| 항목 | 내용 |
|---|---|
| 대상 | ChatGPT, Claude, Gemini, Copilot, Midjourney, 이미지·음성·영상 생성툴, 자동화 도구 |
| 핵심 이슈 | 도구남용, 책임소재, 결과편향, 개인정보 입력, 검증 부족 |
| 대표 문제 | 비전문가가 AI 결과를 검증 없이 배포, 기업 내부자료 입력, 편향된 결과물 사용, AI 결과를 전문가 의견처럼 제시 |
| 글로벌 관리 방식 | 위험관리 프레임워크, 조직 거버넌스, 투명성, 인간 감독, 기록관리, 영향평가 |
| 연결 자료 | NIST AI RMF, 호주 Guidance for AI Adoption, 싱가포르 생성형 AI 거버넌스 프레임워크, 캐나다 생성형 AI 자율 행동강령 |
| 활용 분야 | 교육, 인증, 컨설팅, 조직 내부교육, 공공기관 교육 |
교육 메시지:
&gt; “AI툴을 잘 쓰는 것보다 중요한 것은, 언제 쓰면 안 되는지 알고 검증 절차를 두는 것이다.”
# 3. DB에는 이렇게 새 시트를 추가하는 게 맞음
기존 `산업분야매핑`보다 더 정확하게는 아래 이름으로 바꾸는 게 좋습니다.
**`콘텐츠유형별_AI윤리`**
열 구성:
| 대분류 | 세부분류 | 대상 콘텐츠 | 핵심 이슈 | 대표 문제 | 관련 공식자료 | 적용 분야 | 교육 포인트 |
|---|---|---|---|---|---|---|---|
예시:
| 대분류 | 세부분류 | 대상 콘텐츠 | 핵심 이슈 | 대표 문제 | 관련 공식자료 | 적용 분야 |
|---|---|---|---|---|---|---|
| 콘텐츠 윤리 | AI 문서윤리 | 보고서, 기획서, 안내문, 시험답안 | 허위정보, 표절, 저작권 | 출처 불명, 자동 작성 남용 | UNESCO, NIST, Copyright Office | 교육, 시험, 보고서 |
| 콘텐츠 윤리 | AI 음성윤리 | 안내음성, 음성복제, 보이스봇 | 동의, 사칭, 도용 | 음성 클로닝, 보이스피싱 | FCC, FTC, China CAC | 교육, 컨설팅, 보고서 |
| 콘텐츠 윤리 | AI 영상윤리 | 딥페이크, 합성영상 | 딥페이크, 초상권, 표시책임 | 얼굴 합성, 가짜 영상 | EU AI Act, China CAC | 교육, 인증, 컨설팅 |
| 콘텐츠 윤리 | AI 이미지윤리 | 생성 이미지, 시각자료 | 스타일모방, 출처, 저작권 | 작가풍 모방, 이미지 재가공 | Copyright Office, KCC, China CAC | 교육, 보고서 |
| 마케팅 윤리 | AI 광고·홍보윤리 | 광고문구, 홍보물, 리뷰 | 허위표현, 소비자오인 | 과장광고, 가짜후기 | FTC, EU AI Act | 교육, 컨설팅, 보고서 |
| 도구 활용 윤리 | AI툴 윤리 | 생성형 AI 도구 전반 | 도구남용, 책임소재, 편향 | 검증 없는 배포 | NIST, Australia, Singapore | 교육, 인증 |
정리하면, **각국이 네가 쓴 명칭 그대로 규제하는 것은 아니지만**, 실제 내용은 이미 그 방향으로 가고 있습니다. 특히 2025~2026년 최신 흐름은 “AI 전체 윤리”보다 **AI 생성 콘텐츠의 유형별 표시·동의·출처·저작권·사칭 방지**로 더 세분화되는 중입니다.
---</x:v>
      </x:c>
    </x:row>
    <x:row r="37">
      <x:c r="A37" t="n">
        <x:v>28</x:v>
      </x:c>
      <x:c r="B37" t="str">
        <x:v>8. 기능별 + 산업별 AI 윤리 표 요청</x:v>
      </x:c>
      <x:c r="C37" t="str">
        <x:v>사용자</x:v>
      </x:c>
      <x:c r="D37" t="str">
        <x:v>그 측면 하나 그리고 AI 조선·반도체 윤리
조선 및 반도체 산업 현장의 안전, 자동화, 기술 보안 및 공정 정확성에 필요한 AI 윤리 기준
핵심 이슈
기술보안 / 현장안전 / 공정정확성
적용 장면
조선소 및 반도체 팹 교육, 직무 이해, 기술 유출 방지 특강
교육
컨설팅
보고서
AI 에너지 윤리
에너지와 환경, 지속가능성과 공공성을 함께 고려하며 자원 효율성을 극대화하는 AI 윤리 기준
핵심 이슈
공공책임 / 환경정보 / 지속가능성
적용 장면
에너지 공공기관, 시민 강좌, 탄소 중립 및 에너지 효율 교육
교육
컨설팅
보고서
AI 자율주행 윤리
긴급 상황에서의 인명 보호 우선순위 결정 및 사고 시 책임 소재를 명확히 하는 윤리 기준
핵심 이슈
사고책임 / 의사결정윤리 / 안전확보
적용 장면
자율주행 알고리즘 설계 가이드, 제조사 및 운영자 안전 교육
교육
컨설팅
보고서
AI 금융 윤리
신용평가, 대출 심사 및 투자 알고리즘의 공정성을 확보하고 데이터 오남용을 방지하는 기준
핵심 이슈
알고리즘편향 / 자동화책임 / 데이터보호
적용 장면
금융권 AI 거버넌스 수립, 신용평가 공정성 진단 및 임직원 교육
교육
인증
보고서
AI 공공행정 윤리
공공 서비스 자동화 과정에서 발생할 수 있는 인권 침해를 방지하고 투명성을 확보하는 기준
핵심 이슈
시민감시방지 / 인권보호 / 투명한행정
적용 장면
정부 및 지자체 AI 가이드라인 수립, 공무원 대상 AI 윤리 교육
교육
컨설팅
보고서
AI 이커머스·통신 윤리
알고리즘 기반 추천 시스템의 공정성과 통신 데이터의 프라이버시 보호를 위한 윤리 기준
핵심 이슈
알고리즘담합 / 정보비대칭 / 개인정보보호
적용 장면
이커머스 추천 알고리즘 진단, 통신사 고객 데이터 활용 가이드 수립
교육
보고서
컨설팅 산업별 적용이 따로 따로 되고 있는지도 검색해서 기능별 / 산업별 공식 링크 포함 DB에 넣을 표하나만 만들어줘</x:v>
      </x:c>
    </x:row>
    <x:row r="38">
      <x:c r="A38" t="n">
        <x:v>28</x:v>
      </x:c>
      <x:c r="B38" t="str">
        <x:v>8. 기능별 + 산업별 AI 윤리 표 요청</x:v>
      </x:c>
      <x:c r="C38" t="str">
        <x:v>ChatGPT</x:v>
      </x:c>
      <x:c r="D38" t="str">
        <x:v>네가 말한 건 “콘텐츠 유형별 윤리”에 더해서 **산업 현장별 AI 윤리**를 붙이는 구조입니다. 이번 표는 DB에 그대로 넣을 수 있게 `기능별/산업별`을 한 표 안에서 구분하고, 각 행마다 공식 근거 링크를 붙여 정리하겠습니다.
맞습니다. 이건 **“기능별 AI 윤리 + 산업별 AI 윤리”**를 한 표로 따로 빼는 게 좋습니다.  
조사해보면 글로벌 규제는 보통 “AI 조선윤리”처럼 이름을 붙여 따로 법을 만들기보다는, **콘텐츠 유형 / 고위험 산업 / 공공성 / 안전 / 데이터보호 / 기술보안** 기준으로 나눠 적용하고 있습니다.
DB에 넣을 표는 아래처럼 쓰면 됩니다.
| 구분 | 세부분류 | 윤리 기준 정의 | 핵심 이슈 | 적용 장면 | 글로벌 규제·가이드 적용 방식 | 대표 공식자료 / 링크 | 별도 규제 여부 |
|---|---|---|---|---|---|---|---|
| 기능별 | **AI 문서윤리** | 문서, 보고서, 기획서, 안내문 작성 과정에서 필요한 신뢰와 출처의 기준 | 허위정보, 표절, 저작권, 출처 불명 | 교육, 시험, 보고서, 컨설팅 | 교육·연구 분야에서는 생성형 AI 활용 가이드, 저작권 분야에서는 AI 산출물의 저작권성·인간 창작 기여도 기준으로 관리 | UNESCO 생성형 AI 교육·연구 가이드, NIST GenAI Profile, U.S. Copyright Office AI Report | 부분 적용 |
| 기능별 | **AI 음성윤리** | 음성 생성·복제·안내 음성 활용 시 필요한 동의와 책임 기준 | 동의, 사칭, 도용, 보이스피싱 | 교육, 상담, 안내방송, 컨설팅, 보고서 | AI 음성은 사칭·로보콜·디지털 복제 문제로 관리. 미국 FCC는 AI 생성 음성도 TCPA상 인공/녹음 음성 규제 대상이라고 해석 | FCC AI 생성 음성 로보콜 결정, FTC Voice Cloning Challenge, U.S. Copyright Office Digital Replicas | 비교적 명확 |
| 기능별 | **AI 영상윤리** | 합성영상·딥페이크 시대에 필요한 초상권과 조작 방지 기준 | 딥페이크, 초상권, 표시책임, 신뢰 훼손 | 교육, 인증, 컨설팅, 홍보영상 | EU AI Act와 2026년 AI 생성 콘텐츠 투명성 Code는 AI 생성·조작 콘텐츠 표시 의무를 다룸. 중국도 텍스트·이미지·음성·영상·가상장면 표시를 명시 | EU AI Act Article 50 / AI 생성 콘텐츠 투명성 Code, 중국 AI 생성·합성 콘텐츠 표시방법 | 명확 |
| 기능별 | **AI 이미지윤리** | 생성 이미지와 시각자료 활용에 필요한 작가 권리와 출처 기준 | 스타일 모방, 출처, 저작권, 초상권 | 교육, 보고서, 광고, 홍보, 디자인 | 저작권성, 인간 창작 기여도, 디지털 복제, 생성물 표시 기준으로 관리. 중국은 이미지도 AI 생성·합성 콘텐츠 표시 대상에 포함 | U.S. Copyright Office AI Report, 중국 AI 생성·합성 콘텐츠 표시방법, EU AI 생성 콘텐츠 투명성 Code | 명확 |
| 기능별 | **AI 광고·홍보윤리** | 광고문구와 홍보물에서 과장과 소비자 오인을 막기 위한 기준 | 허위표현, 소비자 오인, 책임광고, 가짜 후기 | 교육, 컨설팅, 보고서, 마케팅 | AI 광고 자체를 별도 산업법으로 묶기보다 소비자보호·기만광고·가짜 리뷰·플랫폼 투명성 기준으로 관리 | FTC Operation AI Comply, EU Digital Services Act, OECD Algorithmic Pricing and Competition | 부분 적용 |
| 기능별 | **AI툴 윤리** | 다양한 AI 도구 활용 시 도덕적 책임과 오남용 방지를 위한 기준 | 도구 남용, 책임소재, 결과 편향, 개인정보 입력, 검증 부족 | 교육, 인증, 컨설팅, 조직 내부교육 | 특정 도구별 규제보다 AI 위험관리 프레임워크, 조직 거버넌스, 생성형 AI 위험관리 기준으로 적용 | NIST AI RMF, NIST GenAI Profile, OECD AI Principles | 횡단 적용 |
| 산업별 | **AI 조선·반도체 윤리** | 조선 및 반도체 산업 현장의 안전, 자동화, 기술보안, 공정 정확성에 필요한 기준 | 기술보안, 현장안전, 공정정확성, 사이버보안 | 조선소, 반도체 팹 교육, 직무 이해, 기술 유출 방지 특강 | 조선은 자율운항선박 안전·사이버복원력 중심, 반도체는 국가핵심기술·공급망·기술보안 중심으로 관리. 아직 “AI 조선·반도체 윤리”라는 단일 규제는 드묾 | IMO MASS Code, KR Autonomous Ships Guidance, 한국 산업기술보호법, NIST CHIPS for America | 산업별 부분 적용 |
| 산업별 | **AI 에너지 윤리** | 에너지·환경·지속가능성·공공성을 고려하며 자원 효율성을 높이는 기준 | 공공책임, 환경정보, 지속가능성, 전력·물 사용 | 에너지 공공기관, 시민강좌, 탄소중립·에너지 효율 교육 | AI 자체의 전력·데이터센터 부담과 AI를 통한 에너지 효율화 효과를 함께 관리. EU AI Act는 전기·수도·가스 등 핵심 인프라 관련 AI를 고위험 영역으로 다룸 | IEA Energy and AI, OECD AI Footprint, UNEP AI 환경 영향 자료, EU AI Act | 산업별 부분 적용 |
| 산업별 | **AI 자율주행 윤리** | 긴급 상황에서의 인명 보호, 안전 우선순위, 사고 시 책임 소재 기준 | 사고책임, 의사결정윤리, 안전확보, 인간개입 | 자율주행 알고리즘 설계, 제조사·운영자 안전교육 | 자율주행은 별도 안전규제와 윤리 권고가 비교적 명확함. UNECE, NHTSA, 독일 윤리위원회, EU CAV 윤리보고서 등이 존재 | UNECE Automated Driving, NHTSA Automated Vehicle Safety, 독일 Automated Driving Ethics Commission, EU CAV Ethics Report | 명확 |
| 산업별 | **AI 금융 윤리** | 신용평가, 대출심사, 투자 알고리즘의 공정성과 데이터 오남용 방지 기준 | 알고리즘 편향, 자동화 책임, 데이터보호, 설명가능성 | 금융권 AI 거버넌스, 신용평가 공정성 진단, 임직원 교육 | 금융은 EU AI Act상 신용평가·신용도 평가는 고위험 AI와 연결되고, 금융감독기관들이 AI 리스크·소비자보호·공정성 기준을 별도 검토 | EBA AI Act banking mapping, EBA AI in banking/payments, UK FCA AI approach | 명확 |
| 산업별 | **AI 공공행정 윤리** | 공공서비스 자동화 과정의 인권침해 방지와 투명한 행정 기준 | 시민감시 방지, 인권보호, 투명행정, 설명책임 | 정부·지자체 AI 가이드라인, 공무원 AI 윤리교육 | 공공부문은 알고리즘 투명성 등록, 자동화 의사결정 영향평가, AI 사용기록 공개 방식으로 관리 | UK Algorithmic Transparency Recording Standard, OECD Governing with AI, Canada Directive on Automated Decision-Making, UK AI Playbook | 명확 |
| 산업별 | **AI 이커머스·통신 윤리** | 추천시스템 공정성, 알고리즘 가격설정, 통신 데이터 프라이버시 보호 기준 | 알고리즘 담합, 정보비대칭, 개인정보보호, 추천 편향 | 이커머스 추천 알고리즘 진단, 통신사 고객 데이터 활용 가이드 | 이커머스는 DSA의 추천·광고 투명성과 OECD의 알고리즘 가격·담합 논의로 관리. 통신은 BEREC·ITU 중심으로 AI 네트워크 운영, 프라이버시, 규제 영향 검토 | EU Digital Services Act, OECD Algorithmic Pricing and Competition, BEREC AI in Telecommunications, ITU AI Standards for Global Impact | 부분 적용 |
정리하면, **금융·공공행정·자율주행은 산업별로 꽤 명확하게 AI 윤리/규제가 적용**되고 있고, **조선·반도체·에너지·이커머스·통신은 별도 “AI 윤리법”보다는 안전, 보안, 기술유출, 환경, 개인정보, 소비자보호, 플랫폼 투명성 규제로 나뉘어 적용**되는 구조입니다. 이 표를 DB에는 `기능산업별_AI윤리` 시트로 넣으면 가장 깔끔합니다.
---</x:v>
      </x:c>
    </x:row>
    <x:row r="39">
      <x:c r="A39" t="n">
        <x:v>29</x:v>
      </x:c>
      <x:c r="B39" t="str">
        <x:v>9. 워드 파일 요청</x:v>
      </x:c>
      <x:c r="C39" t="str">
        <x:v>사용자</x:v>
      </x:c>
      <x:c r="D39" t="str">
        <x:v>너랑 지금까지 이야기를 다 다운할수있도록 워드파일을 만들어줘</x:v>
      </x:c>
    </x:row>
    <x:row r="40">
      <x:c r="A40" t="n">
        <x:v>29</x:v>
      </x:c>
      <x:c r="B40" t="str">
        <x:v>9. 워드 파일 요청</x:v>
      </x:c>
      <x:c r="C40" t="str">
        <x:v>ChatGPT 작업 방향</x:v>
      </x:c>
      <x:c r="D40" t="str">
        <x:v>현재 대화창에서 확인 가능한 AI 윤리 자료조사·DB 구성·강사 커리큘럼·콘텐츠/산업별 AI 윤리 분류 관련 대화를 워드 파일로 정리했습니다.</x:v>
      </x:c>
    </x:row>
  </x:sheetData>
  <x:pageMargins left="0.7" right="0.7" top="0.75" bottom="0.75" header="0.3" footer="0.3"/>
  <x:tableParts count="1">
    <x:tablePart xmlns:r="http://schemas.openxmlformats.org/officeDocument/2006/relationships" r:id="R0b6a306ed68a483f"/>
  </x:tableParts>
</x:worksheet>
</file>

<file path=xl/worksheets/sheet3.xml><?xml version="1.0" encoding="utf-8"?>
<x:worksheet xmlns:x="http://schemas.openxmlformats.org/spreadsheetml/2006/main">
  <x:sheetFormatPr defaultRowHeight="15"/>
  <x:cols>
    <x:col min="1" max="1" width="6" hidden="0" customWidth="1"/>
    <x:col min="2" max="2" width="40" hidden="0" customWidth="1"/>
    <x:col min="3" max="3" width="10" hidden="0" customWidth="1"/>
    <x:col min="4" max="4" width="90" hidden="0" customWidth="1"/>
  </x:cols>
  <x:sheetData>
    <x:row r="1">
      <x:c r="A1" s="28" t="str">
        <x:v>No</x:v>
      </x:c>
      <x:c r="B1" s="28" t="str">
        <x:v>섹션</x:v>
      </x:c>
      <x:c r="C1" s="28" t="str">
        <x:v>클릭</x:v>
      </x:c>
      <x:c r="D1" s="28" t="str">
        <x:v>URL원문</x:v>
      </x:c>
    </x:row>
    <x:row r="2">
      <x:c r="A2" t="n">
        <x:v>1</x:v>
      </x:c>
      <x:c r="B2" t="str">
        <x:v>1. 공식자료 확인 요청</x:v>
      </x:c>
      <x:c r="C2" t="e">
        <x:f>HYPERLINK("https://eur-lex.europa.eu/eli/reg/2024/1689/oj/eng","열기")</x:f>
      </x:c>
      <x:c r="D2" t="str">
        <x:v>https://eur-lex.europa.eu/eli/reg/2024/1689/oj/eng</x:v>
      </x:c>
    </x:row>
    <x:row r="3">
      <x:c r="A3" t="n">
        <x:v>2</x:v>
      </x:c>
      <x:c r="B3" t="str">
        <x:v>1. 공식자료 확인 요청</x:v>
      </x:c>
      <x:c r="C3" t="e">
        <x:f>HYPERLINK("https://commission.europa.eu/news-and-media/news/ai-act-enters-force-2024-08-01_en","열기")</x:f>
      </x:c>
      <x:c r="D3" t="str">
        <x:v>https://commission.europa.eu/news-and-media/news/ai-act-enters-force-2024-08-01_en</x:v>
      </x:c>
    </x:row>
    <x:row r="4">
      <x:c r="A4" t="n">
        <x:v>3</x:v>
      </x:c>
      <x:c r="B4" t="str">
        <x:v>1. 공식자료 확인 요청</x:v>
      </x:c>
      <x:c r="C4" t="e">
        <x:f>HYPERLINK("https://www.federalregister.gov/documents/2023/11/01/2023-24283/safe-secure-and-trustworthy-development-and-use-of-artificial-intelligence","열기")</x:f>
      </x:c>
      <x:c r="D4" t="str">
        <x:v>https://www.federalregister.gov/documents/2023/11/01/2023-24283/safe-secure-and-trustworthy-development-and-use-of-artificial-intelligence</x:v>
      </x:c>
    </x:row>
    <x:row r="5">
      <x:c r="A5" t="n">
        <x:v>4</x:v>
      </x:c>
      <x:c r="B5" t="str">
        <x:v>1. 공식자료 확인 요청</x:v>
      </x:c>
      <x:c r="C5" t="e">
        <x:f>HYPERLINK("https://bidenwhitehouse.archives.gov/briefing-room/statements-releases/2023/10/30/fact-sheet-president-biden-issues-executive-order-on-safe-secure-and-trustworthy-artificial-intelligence/","열기")</x:f>
      </x:c>
      <x:c r="D5" t="str">
        <x:v>https://bidenwhitehouse.archives.gov/briefing-room/statements-releases/2023/10/30/fact-sheet-president-biden-issues-executive-order-on-safe-secure-and-trustworthy-artificial-intelligence/</x:v>
      </x:c>
    </x:row>
    <x:row r="6">
      <x:c r="A6" t="n">
        <x:v>5</x:v>
      </x:c>
      <x:c r="B6" t="str">
        <x:v>1. 공식자료 확인 요청</x:v>
      </x:c>
      <x:c r="C6" t="e">
        <x:f>HYPERLINK("https://www.cac.gov.cn/2023-07/13/c_1690898327029107.htm","열기")</x:f>
      </x:c>
      <x:c r="D6" t="str">
        <x:v>https://www.cac.gov.cn/2023-07/13/c_1690898327029107.htm</x:v>
      </x:c>
    </x:row>
    <x:row r="7">
      <x:c r="A7" t="n">
        <x:v>6</x:v>
      </x:c>
      <x:c r="B7" t="str">
        <x:v>1. 공식자료 확인 요청</x:v>
      </x:c>
      <x:c r="C7" t="e">
        <x:f>HYPERLINK("https://world.moleg.go.kr/web/wli/lgslXmlViewerPage.do?DLD_CFM_NO=AT8SRAKAT6MNUCMMT6BQ&amp;FL_SEQ=100558","열기")</x:f>
      </x:c>
      <x:c r="D7" t="str">
        <x:v>https://world.moleg.go.kr/web/wli/lgslXmlViewerPage.do?DLD_CFM_NO=AT8SRAKAT6MNUCMMT6BQ&amp;FL_SEQ=100558</x:v>
      </x:c>
    </x:row>
    <x:row r="8">
      <x:c r="A8" t="n">
        <x:v>7</x:v>
      </x:c>
      <x:c r="B8" t="str">
        <x:v>1. 공식자료 확인 요청</x:v>
      </x:c>
      <x:c r="C8" t="e">
        <x:f>HYPERLINK("https://www.whitehouse.gov/presidential-actions/2025/01/removing-barriers-to-american-leadership-in-artificial-intelligence/","열기")</x:f>
      </x:c>
      <x:c r="D8" t="str">
        <x:v>https://www.whitehouse.gov/presidential-actions/2025/01/removing-barriers-to-american-leadership-in-artificial-intelligence/</x:v>
      </x:c>
    </x:row>
    <x:row r="9">
      <x:c r="A9" t="n">
        <x:v>8</x:v>
      </x:c>
      <x:c r="B9" t="str">
        <x:v>6. 2025~2026 최신자료, 권역별 누락, 링크 문제, hu-tec 페이지 확인</x:v>
      </x:c>
      <x:c r="C9" t="e">
        <x:f>HYPERLINK("https://hu-tec.github.io/ai-ethics/#/fields","열기")</x:f>
      </x:c>
      <x:c r="D9" t="str">
        <x:v>https://hu-tec.github.io/ai-ethics/#/fields</x:v>
      </x:c>
    </x:row>
  </x:sheetData>
  <x:pageMargins left="0.7" right="0.7" top="0.75" bottom="0.75" header="0.3" footer="0.3"/>
  <x:tableParts count="1">
    <x:tablePart xmlns:r="http://schemas.openxmlformats.org/officeDocument/2006/relationships" r:id="Rd2f9bbd7c04748ea"/>
  </x:tableParts>
</x:worksheet>
</file>

<file path=xl/worksheets/sheet4.xml><?xml version="1.0" encoding="utf-8"?>
<x:worksheet xmlns:x="http://schemas.openxmlformats.org/spreadsheetml/2006/main">
  <x:sheetFormatPr defaultRowHeight="15"/>
  <x:cols>
    <x:col min="1" max="1" width="18" hidden="0" customWidth="1"/>
    <x:col min="2" max="2" width="42" hidden="0" customWidth="1"/>
    <x:col min="3" max="3" width="42" hidden="0" customWidth="1"/>
  </x:cols>
  <x:sheetData>
    <x:row r="1" ht="24" customHeight="1">
      <x:c r="A1" s="32" t="str">
        <x:v>표 01. 1. 공식자료 확인 요청</x:v>
      </x:c>
    </x:row>
    <x:row r="3">
      <x:c r="A3" s="40" t="str">
        <x:v>구분</x:v>
      </x:c>
      <x:c r="B3" s="40" t="str">
        <x:v>공식자료</x:v>
      </x:c>
      <x:c r="C3" s="40" t="str">
        <x:v>확인되는 내용</x:v>
      </x:c>
    </x:row>
    <x:row r="4">
      <x:c r="A4" s="16" t="str">
        <x:v>EU</x:v>
      </x:c>
      <x:c r="B4" s="16" t="str">
        <x:v>EUR-Lex: Regulation (EU) 2024/1689, Artificial Intelligence Act</x:v>
      </x:c>
      <x:c r="C4" s="16" t="str">
        <x:v>AI Act 원문. Article 113에서 “관보 게재 후 20일째 발효” 및 2026년 8월 2일부터 적용, 일부 조항은 단계 적용이라고 규정합니다. URL: https://eur-lex.europa.eu/eli/reg/2024/1689/oj/eng</x:v>
      </x:c>
    </x:row>
    <x:row r="5">
      <x:c r="A5" s="16" t="str">
        <x:v>EU</x:v>
      </x:c>
      <x:c r="B5" s="16" t="str">
        <x:v>European Commission: AI Act enters into force</x:v>
      </x:c>
      <x:c r="C5" s="16" t="str">
        <x:v>2024년 8월 1일 EU AI Act가 발효됐다는 공식 설명자료입니다. URL: https://commission.europa.eu/news-and-media/news/ai-act-enters-force-2024-08-01_en</x:v>
      </x:c>
    </x:row>
    <x:row r="6">
      <x:c r="A6" s="16" t="str">
        <x:v>미국</x:v>
      </x:c>
      <x:c r="B6" s="16" t="str">
        <x:v>Federal Register: Executive Order 14110</x:v>
      </x:c>
      <x:c r="C6" s="16" t="str">
        <x:v>2023년 10월 30일자 바이든 행정부 AI 행정명령 원문입니다. 제목은 *Safe, Secure, and Trustworthy Development and Use of Artificial Intelligence*입니다. URL: https://www.federalregister.gov/documents/2023/11/01/2023-24283/safe-secure-and-trustworthy-development-and-use-of-artificial-intelligence</x:v>
      </x:c>
    </x:row>
    <x:row r="7">
      <x:c r="A7" s="16" t="str">
        <x:v>미국</x:v>
      </x:c>
      <x:c r="B7" s="16" t="str">
        <x:v>Archived White House Fact Sheet</x:v>
      </x:c>
      <x:c r="C7" s="16" t="str">
        <x:v>해당 행정명령이 AI 안전·보안 기준, 개인정보 보호, 시민권, 소비자·노동자 보호, 혁신·경쟁 촉진 등을 다뤘다는 백악관 공식 설명자료입니다. URL: https://bidenwhitehouse.archives.gov/briefing-room/statements-releases/2023/10/30/fact-sheet-president-biden-issues-executive-order-on-safe-secure-and-trustworthy-artificial-intelligence/</x:v>
      </x:c>
    </x:row>
    <x:row r="8">
      <x:c r="A8" s="16" t="str">
        <x:v>중국</x:v>
      </x:c>
      <x:c r="B8" s="16" t="str">
        <x:v>중국 국가인터넷정보판공실(CAC): 生成式人工智能服务管理暂行办法</x:v>
      </x:c>
      <x:c r="C8" s="16" t="str">
        <x:v>「생성형 AI 서비스 관리 잠행방법」 공식 원문. 2023년 7월 10일 공포, 2023년 8월 15일부터 시행한다고 명시되어 있습니다. URL: https://www.cac.gov.cn/2023-07/13/c_1690898327029107.htm</x:v>
      </x:c>
    </x:row>
    <x:row r="9">
      <x:c r="A9" s="16" t="str">
        <x:v>중국</x:v>
      </x:c>
      <x:c r="B9" s="16" t="str">
        <x:v>한국 법제처 세계법제정보센터 번역본</x:v>
      </x:c>
      <x:c r="C9" s="16" t="str">
        <x:v>같은 중국 규정의 한국어 참고 번역입니다. 제24조에도 2023년 8월 15일부터 시행한다고 번역되어 있습니다. URL: https://world.moleg.go.kr/web/wli/lgslXmlViewerPage.do?DLD_CFM_NO=AT8SRAKAT6MNUCMMT6BQ&amp;FL_SEQ=100558</x:v>
      </x:c>
    </x:row>
  </x:sheetData>
  <x:mergeCells>
    <x:mergeCell ref="A1:C1"/>
  </x:mergeCells>
  <x:pageMargins left="0.7" right="0.7" top="0.75" bottom="0.75" header="0.3" footer="0.3"/>
  <x:tableParts count="1">
    <x:tablePart xmlns:r="http://schemas.openxmlformats.org/officeDocument/2006/relationships" r:id="Rb5e767fd2e1d4449"/>
  </x:tableParts>
</x:worksheet>
</file>

<file path=xl/worksheets/sheet5.xml><?xml version="1.0" encoding="utf-8"?>
<x:worksheet xmlns:x="http://schemas.openxmlformats.org/spreadsheetml/2006/main">
  <x:sheetFormatPr defaultRowHeight="15"/>
  <x:cols>
    <x:col min="1" max="1" width="18" hidden="0" customWidth="1"/>
    <x:col min="2" max="2" width="42" hidden="0" customWidth="1"/>
    <x:col min="3" max="3" width="18" hidden="0" customWidth="1"/>
  </x:cols>
  <x:sheetData>
    <x:row r="1" ht="24" customHeight="1">
      <x:c r="A1" s="32" t="str">
        <x:v>표 02. 국가·권역별 AI 윤리 현황</x:v>
      </x:c>
    </x:row>
    <x:row r="3">
      <x:c r="A3" s="40" t="str">
        <x:v>구분</x:v>
      </x:c>
      <x:c r="B3" s="40" t="str">
        <x:v>최신 현황</x:v>
      </x:c>
      <x:c r="C3" s="40" t="str">
        <x:v>윤리·규제 핵심</x:v>
      </x:c>
    </x:row>
    <x:row r="4">
      <x:c r="A4" s="16" t="str">
        <x:v>EU</x:v>
      </x:c>
      <x:c r="B4" s="16" t="str">
        <x:v>가장 강한 법제화 모델. 「AI Act」가 2024년 8월 1일 발효됐고, 원칙적으로 2026년 8월 2일부터 전면 적용됩니다. 범용 AI 모델 의무는 2025년 8월 2일부터 적용되며, GPAI Code of Practice가 투명성·저작권·안전/보안 준수 도구로 마련됐습니다.</x:v>
      </x:c>
      <x:c r="C4" s="16" t="str">
        <x:v>위험 기반 규제, 금지 AI, 고위험 AI 의무, 생성형 AI 투명성, 범용 AI 안전성</x:v>
      </x:c>
    </x:row>
    <x:row r="5">
      <x:c r="A5" s="16" t="str">
        <x:v>미국</x:v>
      </x:c>
      <x:c r="B5" s="16" t="str">
        <x:v>2023년 바이든 AI 행정명령 중심 체계는 2025년 트럼프 행정부에서 폐기·전환됐습니다. 현재는 규제 완화·AI 혁신·국가경쟁력 중심의 「America’s AI Action Plan」과 NIST AI RMF가 병행되는 구조입니다. 2026년 6월에는 첨단 AI 혁신·보안을 위한 행정명령도 나왔고, 프런티어 모델에 대해 자발적 프레임워크를 추진합니다.</x:v>
      </x:c>
      <x:c r="C5" s="16" t="str">
        <x:v>연방 차원의 포괄 AI법은 부재. NIST 중심 자율 위험관리, 주별 규제와 연방정책 간 조정</x:v>
      </x:c>
    </x:row>
    <x:row r="6">
      <x:c r="A6" s="16" t="str">
        <x:v>중국</x:v>
      </x:c>
      <x:c r="B6" s="16" t="str">
        <x:v>생성형 AI는 이미 별도 규제로 관리 중입니다. 2023년 「생성형 AI 서비스 관리잠행방법」이 시행됐고, 2025년에는 AI 생성·합성 콘텐츠 표시방법이 발표되어 2025년 9월 1일부터 시행됐습니다. 2026년에는 「AI 응용 윤리안전 지침 1.0」과 AI 의인화 상호작용 서비스 관리규정도 추가됐습니다.</x:v>
      </x:c>
      <x:c r="C6" s="16" t="str">
        <x:v>콘텐츠 통제, 생성물 표시, 개인정보·미성년자 보호, 사회질서·공공이익 중심</x:v>
      </x:c>
    </x:row>
    <x:row r="7">
      <x:c r="A7" s="16" t="str">
        <x:v>한국</x:v>
      </x:c>
      <x:c r="B7" s="16" t="str">
        <x:v>「인공지능 발전과 신뢰 기반 조성 등에 관한 기본법」이 2025년 제정되어 2026년 1월 22일부터 시행됐습니다. 정부는 AI 안전성·신뢰성 검증·인증 지원, AI 영향평가, 고영향 AI 투명성 확보 등을 법적 틀 안에 넣었습니다.</x:v>
      </x:c>
      <x:c r="C7" s="16" t="str">
        <x:v>산업 진흥 + 신뢰성 확보 병행. 고영향 AI, 투명성, 생성물 표시, 영향평가</x:v>
      </x:c>
    </x:row>
    <x:row r="8">
      <x:c r="A8" s="16" t="str">
        <x:v>영국</x:v>
      </x:c>
      <x:c r="B8" s="16" t="str">
        <x:v>EU식 단일 포괄법보다는 친혁신·부문별 규제 접근입니다. 기존 AI 규제 백서의 5대 원칙을 기반으로, 2025년 AI Opportunities Action Plan과 공공부문 AI Playbook, 2025년 Data and AI Ethics Framework를 통해 정부·공공부문 책임 사용을 강화하고 있습니다.</x:v>
      </x:c>
      <x:c r="C8" s="16" t="str">
        <x:v>안전성, 투명성, 공정성, 책임성, 기존 규제기관별 적용</x:v>
      </x:c>
    </x:row>
    <x:row r="9">
      <x:c r="A9" s="16" t="str">
        <x:v>일본</x:v>
      </x:c>
      <x:c r="B9" s="16" t="str">
        <x:v>법률로 강하게 묶기보다는 가이드라인·자율거버넌스 중심입니다. 2026년 3월 「AI Guidelines for Business Ver.1.2」가 공개됐고, 2026년 6월에는 일본 정부의 생성형 AI 조달·활용 가이드라인도 갱신됐습니다.</x:v>
      </x:c>
      <x:c r="C9" s="16" t="str">
        <x:v>인간중심 AI, 기업 자율거버넌스, 정부 조달 단계의 리스크 관리</x:v>
      </x:c>
    </x:row>
    <x:row r="10">
      <x:c r="A10" s="16" t="str">
        <x:v>싱가포르</x:v>
      </x:c>
      <x:c r="B10" s="16" t="str">
        <x:v>실무형 AI 거버넌스 선도국입니다. 2024년 생성형 AI 거버넌스 프레임워크에 이어, 2026년에는 Agentic AI를 위한 Model AI Governance Framework를 발표했습니다. AI Verify 등 테스트·검증 도구 중심의 자율·실무형 모델입니다.</x:v>
      </x:c>
      <x:c r="C10" s="16" t="str">
        <x:v>자율 프레임워크, AI 검증도구, 생성형 AI·에이전트 AI 책임 배포</x:v>
      </x:c>
    </x:row>
    <x:row r="11">
      <x:c r="A11" s="16" t="str">
        <x:v>캐나다</x:v>
      </x:c>
      <x:c r="B11" s="16" t="str">
        <x:v>포괄 AI법인 AIDA는 Bill C-27에 포함되어 추진됐으나, 해당 법안은 44대 의회 1회기 안건으로 남아 있었습니다. 현재는 생성형 AI 자율 행동강령, 공공부문 자동화 의사결정 지침, Canadian AI Safety Institute 중심으로 운영됩니다.</x:v>
      </x:c>
      <x:c r="C11" s="16" t="str">
        <x:v>포괄법 공백, 자율 행동강령, 공공부문 알고리즘 책임성</x:v>
      </x:c>
    </x:row>
    <x:row r="12">
      <x:c r="A12" s="16" t="str">
        <x:v>호주</x:v>
      </x:c>
      <x:c r="B12" s="16" t="str">
        <x:v>공공부문은 책임 있는 AI 사용 정책을 의무화하는 방향이고, 민간에는 AI Safety Standard/Guardrails 기반 가이드가 제공됩니다. 2025년 12월 공공부문 정책 업데이트에서 AI 거버넌스, 책임자 지정, 위험 기반 조치를 강화했습니다.</x:v>
      </x:c>
      <x:c r="C12" s="16" t="str">
        <x:v>공공부문 의무정책 + 민간 자율 가드레일. 고위험 AI 의무화 논의 지속</x:v>
      </x:c>
    </x:row>
    <x:row r="13">
      <x:c r="A13" s="16" t="str">
        <x:v>인도</x:v>
      </x:c>
      <x:c r="B13" s="16" t="str">
        <x:v>2025년 「India AI Governance Guidelines」를 통해 안전하고 신뢰할 수 있는 AI 혁신을 추진하고 있습니다. IndiaAI Mission의 Safe &amp; Trusted AI 축은 책임 있는 AI 개발·배포·도입을 위한 가드레일 마련을 목표로 합니다.</x:v>
      </x:c>
      <x:c r="C13" s="16" t="str">
        <x:v>포괄법보다 가이드라인·국가 AI 미션 중심. 포용성, 신뢰성, 현지 맥락 강조</x:v>
      </x:c>
    </x:row>
    <x:row r="14">
      <x:c r="A14" s="16" t="str">
        <x:v>브라질</x:v>
      </x:c>
      <x:c r="B14" s="16" t="str">
        <x:v>AI 규제법안 PL 2338/2023이 상원을 통과했고, 2025년 3월 하원 검토 단계로 넘어갔습니다. 아직 완전 시행된 포괄 AI법이라기보다는 입법 진행 단계입니다.</x:v>
      </x:c>
      <x:c r="C14" s="16" t="str">
        <x:v>기본권 보호, 위험 기반 규제, 창작자 권리, 투명성·책임성 중심</x:v>
      </x:c>
    </x:row>
  </x:sheetData>
  <x:mergeCells>
    <x:mergeCell ref="A1:C1"/>
  </x:mergeCells>
  <x:pageMargins left="0.7" right="0.7" top="0.75" bottom="0.75" header="0.3" footer="0.3"/>
  <x:tableParts count="1">
    <x:tablePart xmlns:r="http://schemas.openxmlformats.org/officeDocument/2006/relationships" r:id="R51b18b5422a44906"/>
  </x:tableParts>
</x:worksheet>
</file>

<file path=xl/worksheets/sheet6.xml><?xml version="1.0" encoding="utf-8"?>
<x:worksheet xmlns:x="http://schemas.openxmlformats.org/spreadsheetml/2006/main">
  <x:sheetFormatPr defaultRowHeight="15"/>
  <x:cols>
    <x:col min="1" max="1" width="18" hidden="0" customWidth="1"/>
    <x:col min="2" max="2" width="42" hidden="0" customWidth="1"/>
    <x:col min="3" max="3" width="42" hidden="0" customWidth="1"/>
  </x:cols>
  <x:sheetData>
    <x:row r="1" ht="24" customHeight="1">
      <x:c r="A1" s="32" t="str">
        <x:v>표 03. 1) 국가별 AI 윤리·규제 현황</x:v>
      </x:c>
    </x:row>
    <x:row r="3">
      <x:c r="A3" s="40" t="str">
        <x:v>국가/권역</x:v>
      </x:c>
      <x:c r="B3" s="40" t="str">
        <x:v>최신 현황</x:v>
      </x:c>
      <x:c r="C3" s="40" t="str">
        <x:v>강사 양성 관점에서 봐야 할 포인트</x:v>
      </x:c>
    </x:row>
    <x:row r="4">
      <x:c r="A4" s="16" t="str">
        <x:v>EU</x:v>
      </x:c>
      <x:c r="B4" s="16" t="str">
        <x:v>AI Act가 2024년 8월 1일 발효됐고, 2026년 8월 2일부터 본격 적용됩니다. 금지 AI, 고위험 AI, 범용 AI, 생성형 AI 투명성 의무를 단계적으로 적용합니다.</x:v>
      </x:c>
      <x:c r="C4" s="16" t="str">
        <x:v>해외 기업·교육·공공 프로젝트에서 투명성, 설명가능성, 고위험 AI 판단이 매우 중요함.</x:v>
      </x:c>
    </x:row>
    <x:row r="5">
      <x:c r="A5" s="16" t="str">
        <x:v>미국</x:v>
      </x:c>
      <x:c r="B5" s="16" t="str">
        <x:v>2023년 바이든 AI 행정명령 중심에서 2025년 트럼프 행정부의 America’s AI Action Plan 중심으로 방향이 바뀌었습니다. 현재는 혁신 촉진, 인프라 확대, 국제 AI 경쟁력 강화가 강조됩니다. 다만 NIST AI RMF는 2023년 공개 이후 생성형 AI 프로파일까지 확장되어 실무형 위험관리 기준으로 계속 활용됩니다.</x:v>
      </x:c>
      <x:c r="C5" s="16" t="str">
        <x:v>미국은 “강한 단일법”보다 자율 위험관리, 기업 책임, 산업별 규제 성격이 강함.</x:v>
      </x:c>
    </x:row>
    <x:row r="6">
      <x:c r="A6" s="16" t="str">
        <x:v>중국</x:v>
      </x:c>
      <x:c r="B6" s="16" t="str">
        <x:v>2023년 생성형 AI 관리잠행방법을 시행했고, 2025년에는 AI 생성·합성 콘텐츠 표시방법을 발표했습니다. 이 표시방법은 AI 생성 텍스트·이미지·음성·영상 등에 명시적·비명시적 표시를 요구합니다.</x:v>
      </x:c>
      <x:c r="C6" s="16" t="str">
        <x:v>중국은 콘텐츠 통제, 허위정보 방지, 생성물 표시, 미성년자 보호 중심.</x:v>
      </x:c>
    </x:row>
    <x:row r="7">
      <x:c r="A7" s="16" t="str">
        <x:v>영국</x:v>
      </x:c>
      <x:c r="B7" s="16" t="str">
        <x:v>EU식 단일 포괄법보다 “pro-innovation approach”를 택하고, 기존 규제기관이 5대 원칙을 각 분야에 적용하는 방식입니다.</x:v>
      </x:c>
      <x:c r="C7" s="16" t="str">
        <x:v>강사는 “AI 활용을 막는 규제”가 아니라 상황별 책임 있는 활용 원칙으로 설명해야 함.</x:v>
      </x:c>
    </x:row>
    <x:row r="8">
      <x:c r="A8" s="16" t="str">
        <x:v>일본</x:v>
      </x:c>
      <x:c r="B8" s="16" t="str">
        <x:v>법적 강제보다 기업 가이드라인 중심입니다. 일본 정부는 AI Guidelines for Business를 통해 인간중심 AI, 안전성, 공정성, 투명성, 책임성 등을 기업 실무에 반영하도록 안내합니다.</x:v>
      </x:c>
      <x:c r="C8" s="16" t="str">
        <x:v>일본형 접근은 자율 거버넌스와 기업 내부통제를 이해하는 데 유용함.</x:v>
      </x:c>
    </x:row>
    <x:row r="9">
      <x:c r="A9" s="16" t="str">
        <x:v>싱가포르</x:v>
      </x:c>
      <x:c r="B9" s="16" t="str">
        <x:v>IMDA와 AI Verify Foundation을 중심으로 AI Verify, 생성형 AI 거버넌스 프레임워크, Agentic AI 프레임워크를 운영합니다. 싱가포르는 테스트·검증·프레임워크 기반의 실무형 AI 거버넌스가 강합니다.</x:v>
      </x:c>
      <x:c r="C9" s="16" t="str">
        <x:v>AI 윤리를 “철학”이 아니라 검증 가능한 운영체계로 교육하기 좋음.</x:v>
      </x:c>
    </x:row>
    <x:row r="10">
      <x:c r="A10" s="16" t="str">
        <x:v>호주</x:v>
      </x:c>
      <x:c r="B10" s="16" t="str">
        <x:v>AI Ethics Principles를 기반으로 하되, 2025년에는 Guidance for AI Adoption으로 안전하고 책임 있는 AI 거버넌스 실무를 단순화했습니다.</x:v>
      </x:c>
      <x:c r="C10" s="16" t="str">
        <x:v>공공·민간 조직에서 안전성, 신뢰성, 공정성, 책임성을 어떻게 적용할지 설명 가능.</x:v>
      </x:c>
    </x:row>
    <x:row r="11">
      <x:c r="A11" s="16" t="str">
        <x:v>캐나다</x:v>
      </x:c>
      <x:c r="B11" s="16" t="str">
        <x:v>AIDA가 포함된 Bill C-27은 44대 의회에서 제안됐으나, 보고단계와 3독회에 도달하지 못했습니다. 현재는 공공부문 자동화 의사결정 지침, 자율 행동강령 중심으로 운영되는 과도기적 상황입니다.</x:v>
      </x:c>
      <x:c r="C11" s="16" t="str">
        <x:v>포괄법이 없어도 AI 윤리 기준과 위험관리는 이미 요구된다는 사례로 활용 가능.</x:v>
      </x:c>
    </x:row>
    <x:row r="12">
      <x:c r="A12" s="16" t="str">
        <x:v>한국</x:v>
      </x:c>
      <x:c r="B12" s="16" t="str">
        <x:v>AI 기본법이 2025년 제정되어 2026년 1월 22일부터 시행됩니다. 고영향 AI, 생성형 AI, 투명성, 안전성, 사업자 책무, 영향평가 등이 포함됩니다.</x:v>
      </x:c>
      <x:c r="C12" s="16" t="str">
        <x:v>국내 강사 양성에서는 가장 중요. AI 활용 교육 자체가 법·윤리 리스크와 연결됨.</x:v>
      </x:c>
    </x:row>
  </x:sheetData>
  <x:mergeCells>
    <x:mergeCell ref="A1:C1"/>
  </x:mergeCells>
  <x:pageMargins left="0.7" right="0.7" top="0.75" bottom="0.75" header="0.3" footer="0.3"/>
  <x:tableParts count="1">
    <x:tablePart xmlns:r="http://schemas.openxmlformats.org/officeDocument/2006/relationships" r:id="R40e307ba752e410d"/>
  </x:tableParts>
</x:worksheet>
</file>

<file path=xl/worksheets/sheet7.xml><?xml version="1.0" encoding="utf-8"?>
<x:worksheet xmlns:x="http://schemas.openxmlformats.org/spreadsheetml/2006/main">
  <x:sheetFormatPr defaultRowHeight="15"/>
  <x:cols>
    <x:col min="1" max="1" width="18" hidden="0" customWidth="1"/>
    <x:col min="2" max="2" width="42" hidden="0" customWidth="1"/>
    <x:col min="3" max="3" width="42" hidden="0" customWidth="1"/>
  </x:cols>
  <x:sheetData>
    <x:row r="1" ht="24" customHeight="1">
      <x:c r="A1" s="32" t="str">
        <x:v>표 04. 2) 기관별 / 국제기구별 AI 윤리 기준</x:v>
      </x:c>
    </x:row>
    <x:row r="3">
      <x:c r="A3" s="40" t="str">
        <x:v>기관</x:v>
      </x:c>
      <x:c r="B3" s="40" t="str">
        <x:v>핵심 자료</x:v>
      </x:c>
      <x:c r="C3" s="40" t="str">
        <x:v>핵심 내용</x:v>
      </x:c>
    </x:row>
    <x:row r="4">
      <x:c r="A4" s="16" t="str">
        <x:v>OECD</x:v>
      </x:c>
      <x:c r="B4" s="16" t="str">
        <x:v>OECD AI Principles</x:v>
      </x:c>
      <x:c r="C4" s="16" t="str">
        <x:v>2019년 채택, 2024년 업데이트. 신뢰할 수 있는 AI를 위해 인권, 민주적 가치, 투명성, 설명가능성, 안전성, 책임성을 강조합니다.</x:v>
      </x:c>
    </x:row>
    <x:row r="5">
      <x:c r="A5" s="16" t="str">
        <x:v>UNESCO</x:v>
      </x:c>
      <x:c r="B5" s="16" t="str">
        <x:v>Recommendation on the Ethics of AI</x:v>
      </x:c>
      <x:c r="C5" s="16" t="str">
        <x:v>194개 회원국에 적용되는 글로벌 AI 윤리 권고입니다. AI 윤리를 인권, 포용성, 지속가능성, 차별 방지와 연결합니다.</x:v>
      </x:c>
    </x:row>
    <x:row r="6">
      <x:c r="A6" s="16" t="str">
        <x:v>G7</x:v>
      </x:c>
      <x:c r="B6" s="16" t="str">
        <x:v>Hiroshima AI Process Code of Conduct</x:v>
      </x:c>
      <x:c r="C6" s="16" t="str">
        <x:v>고도 AI 시스템 개발 조직을 대상으로 안전하고 신뢰할 수 있는 AI 개발을 위한 자율 행동강령을 제시합니다.</x:v>
      </x:c>
    </x:row>
    <x:row r="7">
      <x:c r="A7" s="16" t="str">
        <x:v>Council of Europe</x:v>
      </x:c>
      <x:c r="B7" s="16" t="str">
        <x:v>Framework Convention on AI</x:v>
      </x:c>
      <x:c r="C7" s="16" t="str">
        <x:v>2024년 9월 서명 개시. AI 활동이 인권, 민주주의, 법치주의와 일치해야 한다는 최초의 국제적 법적 구속력 있는 AI 조약입니다.</x:v>
      </x:c>
    </x:row>
    <x:row r="8">
      <x:c r="A8" s="16" t="str">
        <x:v>EU</x:v>
      </x:c>
      <x:c r="B8" s="16" t="str">
        <x:v>AI Act</x:v>
      </x:c>
      <x:c r="C8" s="16" t="str">
        <x:v>위험 기반 AI 규제의 대표 모델입니다. 금지 AI, 고위험 AI, 범용 AI, 생성형 AI 투명성 등 실무 의무가 구체적입니다.</x:v>
      </x:c>
    </x:row>
  </x:sheetData>
  <x:mergeCells>
    <x:mergeCell ref="A1:C1"/>
  </x:mergeCells>
  <x:pageMargins left="0.7" right="0.7" top="0.75" bottom="0.75" header="0.3" footer="0.3"/>
  <x:tableParts count="1">
    <x:tablePart xmlns:r="http://schemas.openxmlformats.org/officeDocument/2006/relationships" r:id="R4d307226170a4ac2"/>
  </x:tableParts>
</x:worksheet>
</file>

<file path=xl/worksheets/sheet8.xml><?xml version="1.0" encoding="utf-8"?>
<x:worksheet xmlns:x="http://schemas.openxmlformats.org/spreadsheetml/2006/main">
  <x:sheetFormatPr defaultRowHeight="15"/>
  <x:cols>
    <x:col min="1" max="1" width="18" hidden="0" customWidth="1"/>
    <x:col min="2" max="2" width="42" hidden="0" customWidth="1"/>
  </x:cols>
  <x:sheetData>
    <x:row r="1" ht="24" customHeight="1">
      <x:c r="A1" s="32" t="str">
        <x:v>표 05. 3) 한국 AI 기본법 정리</x:v>
      </x:c>
    </x:row>
    <x:row r="3">
      <x:c r="A3" s="40" t="str">
        <x:v>항목</x:v>
      </x:c>
      <x:c r="B3" s="40" t="str">
        <x:v>내용</x:v>
      </x:c>
    </x:row>
    <x:row r="4">
      <x:c r="A4" s="16" t="str">
        <x:v>법 명칭</x:v>
      </x:c>
      <x:c r="B4" s="16" t="str">
        <x:v>인공지능 발전과 신뢰 기반 조성 등에 관한 기본법</x:v>
      </x:c>
    </x:row>
    <x:row r="5">
      <x:c r="A5" s="16" t="str">
        <x:v>시행일</x:v>
      </x:c>
      <x:c r="B5" s="16" t="str">
        <x:v>2026년 1월 22일 시행</x:v>
      </x:c>
    </x:row>
    <x:row r="6">
      <x:c r="A6" s="16" t="str">
        <x:v>입법 목적</x:v>
      </x:c>
      <x:c r="B6" s="16" t="str">
        <x:v>AI의 건전한 발전과 신뢰 기반 조성을 통해 국민의 권익과 존엄성 보호, 삶의 질 향상, 국가경쟁력 강화</x:v>
      </x:c>
    </x:row>
    <x:row r="7">
      <x:c r="A7" s="16" t="str">
        <x:v>주요 정의</x:v>
      </x:c>
      <x:c r="B7" s="16" t="str">
        <x:v>인공지능, 고영향 인공지능, 생성형 인공지능, 인공지능윤리, 인공지능사업자</x:v>
      </x:c>
    </x:row>
    <x:row r="8">
      <x:c r="A8" s="16" t="str">
        <x:v>주요 제도</x:v>
      </x:c>
      <x:c r="B8" s="16" t="str">
        <x:v>AI 기본계획, 국가AI전략위원회, AI정책센터, AI안전연구소, AI 신뢰성 검증·인증, AI 영향평가</x:v>
      </x:c>
    </x:row>
    <x:row r="9">
      <x:c r="A9" s="16" t="str">
        <x:v>사업자 의무</x:v>
      </x:c>
      <x:c r="B9" s="16" t="str">
        <x:v>고영향 AI와 생성형 AI 관련 투명성 확보, 안전성 확보, 사업자 책무</x:v>
      </x:c>
    </x:row>
    <x:row r="10">
      <x:c r="A10" s="16" t="str">
        <x:v>교육적 의미</x:v>
      </x:c>
      <x:c r="B10" s="16" t="str">
        <x:v>AI를 가르치는 강사도 단순 도구 사용법만 가르칠 것이 아니라, AI 결과물 검증, 출처 확인, 개인정보 보호, 생성물 표시, 편향 방지를 함께 교육해야 함</x:v>
      </x:c>
    </x:row>
  </x:sheetData>
  <x:mergeCells>
    <x:mergeCell ref="A1:B1"/>
  </x:mergeCells>
  <x:pageMargins left="0.7" right="0.7" top="0.75" bottom="0.75" header="0.3" footer="0.3"/>
  <x:tableParts count="1">
    <x:tablePart xmlns:r="http://schemas.openxmlformats.org/officeDocument/2006/relationships" r:id="R5b8d3ddfb868411b"/>
  </x:tableParts>
</x:worksheet>
</file>

<file path=xl/worksheets/sheet9.xml><?xml version="1.0" encoding="utf-8"?>
<x:worksheet xmlns:x="http://schemas.openxmlformats.org/spreadsheetml/2006/main">
  <x:sheetFormatPr defaultRowHeight="15"/>
  <x:cols>
    <x:col min="1" max="1" width="18" hidden="0" customWidth="1"/>
    <x:col min="2" max="2" width="42" hidden="0" customWidth="1"/>
    <x:col min="3" max="3" width="42" hidden="0" customWidth="1"/>
  </x:cols>
  <x:sheetData>
    <x:row r="1" ht="24" customHeight="1">
      <x:c r="A1" s="32" t="str">
        <x:v>표 06. 4) ISO 기준</x:v>
      </x:c>
    </x:row>
    <x:row r="3">
      <x:c r="A3" s="40" t="str">
        <x:v>ISO 기준</x:v>
      </x:c>
      <x:c r="B3" s="40" t="str">
        <x:v>내용</x:v>
      </x:c>
      <x:c r="C3" s="40" t="str">
        <x:v>강사 양성 활용 포인트</x:v>
      </x:c>
    </x:row>
    <x:row r="4">
      <x:c r="A4" s="16" t="str">
        <x:v>ISO/IEC 42001:2023</x:v>
      </x:c>
      <x:c r="B4" s="16" t="str">
        <x:v>세계 최초의 AI 경영시스템 표준. 조직이 AI를 책임 있게 개발·제공·사용하기 위한 관리체계를 요구합니다.</x:v>
      </x:c>
      <x:c r="C4" s="16" t="str">
        <x:v>AI 윤리를 조직 운영 프로세스로 설명할 때 핵심 기준</x:v>
      </x:c>
    </x:row>
    <x:row r="5">
      <x:c r="A5" s="16" t="str">
        <x:v>ISO/IEC 23894:2023</x:v>
      </x:c>
      <x:c r="B5" s="16" t="str">
        <x:v>AI 관련 위험관리에 대한 지침입니다. AI 제품·서비스를 개발·배포·사용하는 조직이 AI 리스크를 관리하는 방법을 제시합니다.</x:v>
      </x:c>
      <x:c r="C5" s="16" t="str">
        <x:v>교육생에게 “AI 사용 전 위험 식별표”를 만들게 할 때 활용</x:v>
      </x:c>
    </x:row>
    <x:row r="6">
      <x:c r="A6" s="16" t="str">
        <x:v>ISO/IEC 42005:2025</x:v>
      </x:c>
      <x:c r="B6" s="16" t="str">
        <x:v>AI 시스템 영향평가 기준. 개별 AI 시스템의 영향을 식별·분석·문서화하는 데 초점이 있습니다.</x:v>
      </x:c>
      <x:c r="C6" s="16" t="str">
        <x:v>고위험 AI, 교육 AI, 채용 AI, 평가 AI 사례에 적용 가능</x:v>
      </x:c>
    </x:row>
    <x:row r="7">
      <x:c r="A7" s="16" t="str">
        <x:v>ISO/IEC 22989 / 23053</x:v>
      </x:c>
      <x:c r="B7" s="16" t="str">
        <x:v>AI 개념·용어와 ML 기반 AI 시스템 설명 프레임워크입니다.</x:v>
      </x:c>
      <x:c r="C7" s="16" t="str">
        <x:v>강사들이 AI 용어를 제각각 쓰지 않도록 표준 용어 기반 교육 가능</x:v>
      </x:c>
    </x:row>
  </x:sheetData>
  <x:mergeCells>
    <x:mergeCell ref="A1:C1"/>
  </x:mergeCells>
  <x:pageMargins left="0.7" right="0.7" top="0.75" bottom="0.75" header="0.3" footer="0.3"/>
  <x:tableParts count="1">
    <x:tablePart xmlns:r="http://schemas.openxmlformats.org/officeDocument/2006/relationships" r:id="Rc0106cce049e4a10"/>
  </x:tableParts>
</x:worksheet>
</file>

<file path=xl/worksheets/sheet10.xml><?xml version="1.0" encoding="utf-8"?>
<x:worksheet xmlns:x="http://schemas.openxmlformats.org/spreadsheetml/2006/main">
  <x:sheetFormatPr defaultRowHeight="15"/>
  <x:cols>
    <x:col min="1" max="1" width="18" hidden="0" customWidth="1"/>
    <x:col min="2" max="2" width="42" hidden="0" customWidth="1"/>
  </x:cols>
  <x:sheetData>
    <x:row r="1" ht="24" customHeight="1">
      <x:c r="A1" s="32" t="str">
        <x:v>표 07. 5) ESG와 AI 윤리 연결</x:v>
      </x:c>
    </x:row>
    <x:row r="3">
      <x:c r="A3" s="40" t="str">
        <x:v>ESG 영역</x:v>
      </x:c>
      <x:c r="B3" s="40" t="str">
        <x:v>AI 윤리와의 연결</x:v>
      </x:c>
    </x:row>
    <x:row r="4">
      <x:c r="A4" s="16" t="str">
        <x:v>E: Environmental</x:v>
      </x:c>
      <x:c r="B4" s="16" t="str">
        <x:v>대규모 AI 모델 학습·운영에는 전력, 데이터센터, 냉각수, 탄소배출 문제가 발생할 수 있음. AI 활용 교육에서도 “편리함”뿐 아니라 환경 비용을 설명해야 함.</x:v>
      </x:c>
    </x:row>
    <x:row r="5">
      <x:c r="A5" s="16" t="str">
        <x:v>S: Social</x:v>
      </x:c>
      <x:c r="B5" s="16" t="str">
        <x:v>AI 편향, 차별, 개인정보 침해, 허위정보, 딥페이크, 노동 대체, 디지털 격차 문제가 포함됨. 강사 양성 목적과 가장 직접적으로 연결됨.</x:v>
      </x:c>
    </x:row>
    <x:row r="6">
      <x:c r="A6" s="16" t="str">
        <x:v>G: Governance</x:v>
      </x:c>
      <x:c r="B6" s="16" t="str">
        <x:v>AI 사용 기준, 승인 절차, 책임자 지정, 로그 관리, 검증 체계, 생성물 표시, 저작권 관리, 내부 교육이 포함됨. ISO/IEC 42001과 직접 연결 가능.</x:v>
      </x:c>
    </x:row>
  </x:sheetData>
  <x:mergeCells>
    <x:mergeCell ref="A1:B1"/>
  </x:mergeCells>
  <x:pageMargins left="0.7" right="0.7" top="0.75" bottom="0.75" header="0.3" footer="0.3"/>
  <x:tableParts count="1">
    <x:tablePart xmlns:r="http://schemas.openxmlformats.org/officeDocument/2006/relationships" r:id="R51b6a89e1bf547b8"/>
  </x:tableParts>
</x:worksheet>
</file>

<file path=xl/worksheets/sheet11.xml><?xml version="1.0" encoding="utf-8"?>
<x:worksheet xmlns:x="http://schemas.openxmlformats.org/spreadsheetml/2006/main">
  <x:sheetFormatPr defaultRowHeight="15"/>
  <x:cols>
    <x:col min="1" max="1" width="18" hidden="0" customWidth="1"/>
    <x:col min="2" max="2" width="42" hidden="0" customWidth="1"/>
    <x:col min="3" max="3" width="42" hidden="0" customWidth="1"/>
    <x:col min="4" max="4" width="42" hidden="0" customWidth="1"/>
  </x:cols>
  <x:sheetData>
    <x:row r="1" ht="24" customHeight="1">
      <x:c r="A1" s="32" t="str">
        <x:v>표 08. 1) 국가별 AI 윤리·규제 자료</x:v>
      </x:c>
    </x:row>
    <x:row r="3">
      <x:c r="A3" s="40" t="str">
        <x:v>국가/권역</x:v>
      </x:c>
      <x:c r="B3" s="40" t="str">
        <x:v>공식자료</x:v>
      </x:c>
      <x:c r="C3" s="40" t="str">
        <x:v>핵심 내용</x:v>
      </x:c>
      <x:c r="D3" s="40" t="str">
        <x:v>강사 교육 활용 포인트</x:v>
      </x:c>
    </x:row>
    <x:row r="4">
      <x:c r="A4" s="16" t="str">
        <x:v>EU</x:v>
      </x:c>
      <x:c r="B4" s="16" t="str">
        <x:v>EU AI Act 원문 / EU AI Act 공식 설명자료</x:v>
      </x:c>
      <x:c r="C4" s="16" t="str">
        <x:v>2024년 8월 1일 AI Act가 발효되었고, 위험 기반으로 금지 AI, 고위험 AI, 범용 AI, 생성형 AI 투명성 의무를 다룹니다.</x:v>
      </x:c>
      <x:c r="D4" s="16" t="str">
        <x:v>글로벌 기준에서 가장 강한 AI 규제 사례. 강사에게 “AI 윤리는 선택이 아니라 법적 리스크”라는 메시지를 주기 좋음.</x:v>
      </x:c>
    </x:row>
    <x:row r="5">
      <x:c r="A5" s="16" t="str">
        <x:v>EU</x:v>
      </x:c>
      <x:c r="B5" s="16" t="str">
        <x:v>General-Purpose AI Code of Practice</x:v>
      </x:c>
      <x:c r="C5" s="16" t="str">
        <x:v>범용 AI 모델 제공자가 AI Act 의무를 준수하도록 돕는 실무 코드이며, 투명성, 저작권, 안전·보안 장으로 구성됩니다.</x:v>
      </x:c>
      <x:c r="D5" s="16" t="str">
        <x:v>생성형 AI를 활용하는 강사에게 저작권, 출처, 안전성, 설명책임을 교육할 때 활용.</x:v>
      </x:c>
    </x:row>
    <x:row r="6">
      <x:c r="A6" s="16" t="str">
        <x:v>EU</x:v>
      </x:c>
      <x:c r="B6" s="16" t="str">
        <x:v>AI 생성 콘텐츠 표시 관련 Code of Practice</x:v>
      </x:c>
      <x:c r="C6" s="16" t="str">
        <x:v>AI 생성 콘텐츠 식별·표시와 관련된 투명성 의무를 지원하는 자료입니다.</x:v>
      </x:c>
      <x:c r="D6" s="16" t="str">
        <x:v>교육자료, 이미지, 영상, 음성 제작 시 “AI 생성물 표시” 필요성을 설명하기 좋음.</x:v>
      </x:c>
    </x:row>
    <x:row r="7">
      <x:c r="A7" s="16" t="str">
        <x:v>미국</x:v>
      </x:c>
      <x:c r="B7" s="16" t="str">
        <x:v>NIST AI Risk Management Framework 1.0</x:v>
      </x:c>
      <x:c r="C7" s="16" t="str">
        <x:v>AI 위험을 관리하기 위한 미국 NIST의 대표 프레임워크입니다. Govern, Map, Measure, Manage 구조로 AI 위험을 체계적으로 다룹니다.</x:v>
      </x:c>
      <x:c r="D7" s="16" t="str">
        <x:v>강사에게 AI 윤리를 감성적 구호가 아니라 “위험관리 절차”로 설명 가능.</x:v>
      </x:c>
    </x:row>
    <x:row r="8">
      <x:c r="A8" s="16" t="str">
        <x:v>미국</x:v>
      </x:c>
      <x:c r="B8" s="16" t="str">
        <x:v>NIST Generative AI Profile</x:v>
      </x:c>
      <x:c r="C8" s="16" t="str">
        <x:v>생성형 AI의 위험을 식별하고 관리하기 위한 NIST AI RMF의 보완 자료입니다. 2024년 7월 공개되었습니다.</x:v>
      </x:c>
      <x:c r="D8" s="16" t="str">
        <x:v>환각, 허위정보, 유해 콘텐츠, 개인정보, 저작권 리스크를 사례 기반으로 교육 가능.</x:v>
      </x:c>
    </x:row>
    <x:row r="9">
      <x:c r="A9" s="16" t="str">
        <x:v>미국</x:v>
      </x:c>
      <x:c r="B9" s="16" t="str">
        <x:v>America’s AI Action Plan / AI 관련 행정명령 변화</x:v>
      </x:c>
      <x:c r="C9" s="16" t="str">
        <x:v>2025년 이후 미국은 바이든 행정부의 AI 행정명령을 폐기하고, AI 혁신·인프라·국제경쟁력 중심으로 정책 방향을 전환했습니다.</x:v>
      </x:c>
      <x:c r="D9" s="16" t="str">
        <x:v>미국은 EU처럼 포괄규제보다 산업 경쟁력과 자율 위험관리 중심이라는 차이를 설명.</x:v>
      </x:c>
    </x:row>
    <x:row r="10">
      <x:c r="A10" s="16" t="str">
        <x:v>미국</x:v>
      </x:c>
      <x:c r="B10" s="16" t="str">
        <x:v>AI Education 행정명령</x:v>
      </x:c>
      <x:c r="C10" s="16" t="str">
        <x:v>2025년 4월 행정명령은 AI 리터러시와 교육자 대상 AI 훈련을 강조합니다.</x:v>
      </x:c>
      <x:c r="D10" s="16" t="str">
        <x:v>“AI 강사 양성” 주제와 직접 연결 가능.</x:v>
      </x:c>
    </x:row>
    <x:row r="11">
      <x:c r="A11" s="16" t="str">
        <x:v>중국</x:v>
      </x:c>
      <x:c r="B11" s="16" t="str">
        <x:v>생성형 AI 서비스 관리잠행방법</x:v>
      </x:c>
      <x:c r="C11" s="16" t="str">
        <x:v>2023년부터 생성형 AI 서비스 제공자의 책임, 개인정보 보호, 생성물 표시, 사회질서 보호 등을 규정합니다.</x:v>
      </x:c>
      <x:c r="D11" s="16" t="str">
        <x:v>중국은 콘텐츠 통제, 허위정보 방지, 공공질서 중심의 AI 윤리 규제 사례.</x:v>
      </x:c>
    </x:row>
    <x:row r="12">
      <x:c r="A12" s="16" t="str">
        <x:v>중국</x:v>
      </x:c>
      <x:c r="B12" s="16" t="str">
        <x:v>AI 생성·합성 콘텐츠 표시방법</x:v>
      </x:c>
      <x:c r="C12" s="16" t="str">
        <x:v>텍스트, 음성, 이미지, 영상, 가상 장면 등 AI 생성·합성 콘텐츠에 대해 명시적·비명시적 표시를 요구하며 2025년 9월 1일부터 시행되었습니다.</x:v>
      </x:c>
      <x:c r="D12" s="16" t="str">
        <x:v>강사가 AI 이미지·영상·음성을 사용할 때 표시 의무와 딥페이크 위험을 설명하기 좋음.</x:v>
      </x:c>
    </x:row>
    <x:row r="13">
      <x:c r="A13" s="16" t="str">
        <x:v>한국</x:v>
      </x:c>
      <x:c r="B13" s="16" t="str">
        <x:v>인공지능 발전과 신뢰 기반 조성 등에 관한 기본법</x:v>
      </x:c>
      <x:c r="C13" s="16" t="str">
        <x:v>2025년 제정, 2026년 1월 22일 시행. AI 발전과 신뢰 기반 조성, 국민 권익과 존엄성 보호를 목적으로 합니다.</x:v>
      </x:c>
      <x:c r="D13" s="16" t="str">
        <x:v>국내 강사 양성에서 가장 핵심. 생성형 AI, 고영향 AI, 투명성, 안전성, 신뢰성 교육과 연결.</x:v>
      </x:c>
    </x:row>
    <x:row r="14">
      <x:c r="A14" s="16" t="str">
        <x:v>한국</x:v>
      </x:c>
      <x:c r="B14" s="16" t="str">
        <x:v>사람이 중심이 되는 AI 윤리기준</x:v>
      </x:c>
      <x:c r="C14" s="16" t="str">
        <x:v>인간 존엄성, 사회의 공공선, 기술의 합목적성을 3대 기본원칙으로 제시하고, 인권보장, 프라이버시, 다양성 존중, 책임성, 안전성, 투명성 등 10대 요건을 제시합니다.</x:v>
      </x:c>
      <x:c r="D14" s="16" t="str">
        <x:v>강사 윤리교육의 기본 철학 파트에 활용.</x:v>
      </x:c>
    </x:row>
    <x:row r="15">
      <x:c r="A15" s="16" t="str">
        <x:v>한국</x:v>
      </x:c>
      <x:c r="B15" s="16" t="str">
        <x:v>AI 윤리기준 실천을 위한 자율점검표</x:v>
      </x:c>
      <x:c r="C15" s="16" t="str">
        <x:v>AI 윤리기준의 10대 핵심요건을 현장에서 점검할 수 있도록 만든 체크리스트 자료입니다.</x:v>
      </x:c>
      <x:c r="D15" s="16" t="str">
        <x:v>강의 말미에 “강사용 AI 윤리 체크리스트”로 변환하기 좋음.</x:v>
      </x:c>
    </x:row>
    <x:row r="16">
      <x:c r="A16" s="16" t="str">
        <x:v>영국</x:v>
      </x:c>
      <x:c r="B16" s="16" t="str">
        <x:v>AI Regulation: A pro-innovation approach</x:v>
      </x:c>
      <x:c r="C16" s="16" t="str">
        <x:v>영국은 EU식 포괄 단일법보다 기존 규제기관이 AI 원칙을 분야별로 적용하는 친혁신 접근을 취합니다.</x:v>
      </x:c>
      <x:c r="D16" s="16" t="str">
        <x:v>“국가마다 AI 윤리 접근 방식이 다르다”는 비교 사례.</x:v>
      </x:c>
    </x:row>
    <x:row r="17">
      <x:c r="A17" s="16" t="str">
        <x:v>일본</x:v>
      </x:c>
      <x:c r="B17" s="16" t="str">
        <x:v>AI Guidelines for Business Ver.1.2</x:v>
      </x:c>
      <x:c r="C17" s="16" t="str">
        <x:v>일본은 기업이 AI를 개발·제공·사용할 때 혁신 촉진과 위험 완화를 함께 추구하도록 AI 사업자 가이드라인을 운영합니다.</x:v>
      </x:c>
      <x:c r="D17" s="16" t="str">
        <x:v>법적 강제보다 자율 거버넌스와 기업 내부통제 중심 사례.</x:v>
      </x:c>
    </x:row>
    <x:row r="18">
      <x:c r="A18" s="16" t="str">
        <x:v>싱가포르</x:v>
      </x:c>
      <x:c r="B18" s="16" t="str">
        <x:v>Model AI Governance Framework / Generative AI Framework / Agentic AI Framework</x:v>
      </x:c>
      <x:c r="C18" s="16" t="str">
        <x:v>싱가포르는 AI Verify, 생성형 AI 거버넌스, 에이전트형 AI 거버넌스 등 실무형 검증·운영 프레임워크를 운영합니다.</x:v>
      </x:c>
      <x:c r="D18" s="16" t="str">
        <x:v>AI 윤리를 실제 조직 운영·검증 체계로 설명하기 좋음.</x:v>
      </x:c>
    </x:row>
    <x:row r="19">
      <x:c r="A19" s="16" t="str">
        <x:v>캐나다</x:v>
      </x:c>
      <x:c r="B19" s="16" t="str">
        <x:v>Voluntary Code of Conduct for Advanced Generative AI Systems</x:v>
      </x:c>
      <x:c r="C19" s="16" t="str">
        <x:v>첨단 생성형 AI 시스템의 책임 있는 개발·관리를 위한 자율 행동강령입니다.</x:v>
      </x:c>
      <x:c r="D19" s="16" t="str">
        <x:v>포괄법이 없어도 자율 윤리기준과 산업계 책임이 요구된다는 사례.</x:v>
      </x:c>
    </x:row>
    <x:row r="20">
      <x:c r="A20" s="16" t="str">
        <x:v>호주</x:v>
      </x:c>
      <x:c r="B20" s="16" t="str">
        <x:v>Australia’s AI Ethics Principles</x:v>
      </x:c>
      <x:c r="C20" s="16" t="str">
        <x:v>인간·사회·환경의 웰빙, 인간 중심 가치, 공정성, 개인정보 보호, 신뢰성, 투명성, 책임성 등을 원칙으로 제시합니다.</x:v>
      </x:c>
      <x:c r="D20" s="16" t="str">
        <x:v>ESG와 AI 윤리를 연결하는 데 적합.</x:v>
      </x:c>
    </x:row>
    <x:row r="21">
      <x:c r="A21" s="16" t="str">
        <x:v>인도</x:v>
      </x:c>
      <x:c r="B21" s="16" t="str">
        <x:v>India AI Governance Guidelines / IndiaAI Mission</x:v>
      </x:c>
      <x:c r="C21" s="16" t="str">
        <x:v>인도는 안전하고 책임 있으며 포용적인 AI 개발을 위해 AI 거버넌스 가이드라인과 IndiaAI Mission을 추진하고 있습니다.</x:v>
      </x:c>
      <x:c r="D21" s="16" t="str">
        <x:v>AI 윤리를 포용성, 국가 AI 전략, 디지털 전환과 연결하는 사례.</x:v>
      </x:c>
    </x:row>
    <x:row r="22">
      <x:c r="A22" s="16" t="str">
        <x:v>브라질</x:v>
      </x:c>
      <x:c r="B22" s="16" t="str">
        <x:v>PL 2338/2023 AI 법안</x:v>
      </x:c>
      <x:c r="C22" s="16" t="str">
        <x:v>브라질은 AI 사용에 관한 법안을 추진 중이며, 기본권, 책임, 윤리적·책임 있는 AI 사용을 핵심으로 다룹니다.</x:v>
      </x:c>
      <x:c r="D22" s="16" t="str">
        <x:v>남미권도 AI 윤리·책임 규제로 이동 중이라는 글로벌 확산 사례.</x:v>
      </x:c>
    </x:row>
  </x:sheetData>
  <x:mergeCells>
    <x:mergeCell ref="A1:D1"/>
  </x:mergeCells>
  <x:pageMargins left="0.7" right="0.7" top="0.75" bottom="0.75" header="0.3" footer="0.3"/>
  <x:tableParts count="1">
    <x:tablePart xmlns:r="http://schemas.openxmlformats.org/officeDocument/2006/relationships" r:id="Rc4ad469f61cd4315"/>
  </x:tableParts>
</x:worksheet>
</file>

<file path=xl/worksheets/sheet12.xml><?xml version="1.0" encoding="utf-8"?>
<x:worksheet xmlns:x="http://schemas.openxmlformats.org/spreadsheetml/2006/main">
  <x:sheetFormatPr defaultRowHeight="15"/>
  <x:cols>
    <x:col min="1" max="1" width="18" hidden="0" customWidth="1"/>
    <x:col min="2" max="2" width="42" hidden="0" customWidth="1"/>
    <x:col min="3" max="3" width="42" hidden="0" customWidth="1"/>
    <x:col min="4" max="4" width="42" hidden="0" customWidth="1"/>
  </x:cols>
  <x:sheetData>
    <x:row r="1" ht="24" customHeight="1">
      <x:c r="A1" s="32" t="str">
        <x:v>표 09. 2) 기관별 / 국제기구별 AI 윤리 자료</x:v>
      </x:c>
    </x:row>
    <x:row r="3">
      <x:c r="A3" s="40" t="str">
        <x:v>기관</x:v>
      </x:c>
      <x:c r="B3" s="40" t="str">
        <x:v>공식자료</x:v>
      </x:c>
      <x:c r="C3" s="40" t="str">
        <x:v>핵심 내용</x:v>
      </x:c>
      <x:c r="D3" s="40" t="str">
        <x:v>강사 교육 활용 포인트</x:v>
      </x:c>
    </x:row>
    <x:row r="4">
      <x:c r="A4" s="16" t="str">
        <x:v>OECD</x:v>
      </x:c>
      <x:c r="B4" s="16" t="str">
        <x:v>OECD AI Principles</x:v>
      </x:c>
      <x:c r="C4" s="16" t="str">
        <x:v>2019년 채택, 2024년 업데이트. 신뢰할 수 있는 AI를 위해 포용성, 인권, 투명성, 안전성, 책임성을 강조합니다.</x:v>
      </x:c>
      <x:c r="D4" s="16" t="str">
        <x:v>글로벌 AI 윤리 원칙의 기본 뼈대.</x:v>
      </x:c>
    </x:row>
    <x:row r="5">
      <x:c r="A5" s="16" t="str">
        <x:v>OECD.AI</x:v>
      </x:c>
      <x:c r="B5" s="16" t="str">
        <x:v>AI Policy Observatory</x:v>
      </x:c>
      <x:c r="C5" s="16" t="str">
        <x:v>900개 이상의 국가 AI 정책·이니셔티브를 제공하는 글로벌 정책 관측 플랫폼입니다.</x:v>
      </x:c>
      <x:c r="D5" s="16" t="str">
        <x:v>국가별 정책 비교 자료로 활용 가능.</x:v>
      </x:c>
    </x:row>
    <x:row r="6">
      <x:c r="A6" s="16" t="str">
        <x:v>UNESCO</x:v>
      </x:c>
      <x:c r="B6" s="16" t="str">
        <x:v>Recommendation on the Ethics of AI</x:v>
      </x:c>
      <x:c r="C6" s="16" t="str">
        <x:v>2021년 채택된 AI 윤리 글로벌 권고로, 인권, 존엄성, 공정성, 투명성, 환경 지속가능성, 인간 감독을 강조합니다.</x:v>
      </x:c>
      <x:c r="D6" s="16" t="str">
        <x:v>강의의 “AI 윤리 기본원칙” 파트에 가장 적합.</x:v>
      </x:c>
    </x:row>
    <x:row r="7">
      <x:c r="A7" s="16" t="str">
        <x:v>UNESCO</x:v>
      </x:c>
      <x:c r="B7" s="16" t="str">
        <x:v>Guidance for Generative AI in Education and Research</x:v>
      </x:c>
      <x:c r="C7" s="16" t="str">
        <x:v>생성형 AI를 교육·연구 현장에서 어떻게 책임 있게 사용할지 안내하는 글로벌 가이드입니다.</x:v>
      </x:c>
      <x:c r="D7" s="16" t="str">
        <x:v>강사 양성 목적과 직접 연결.</x:v>
      </x:c>
    </x:row>
    <x:row r="8">
      <x:c r="A8" s="16" t="str">
        <x:v>UNESCO</x:v>
      </x:c>
      <x:c r="B8" s="16" t="str">
        <x:v>AI Competency Framework for Teachers</x:v>
      </x:c>
      <x:c r="C8" s="16" t="str">
        <x:v>교사·강사를 위한 AI 역량 프레임워크로, 인간중심 사고, AI 윤리, AI 기초, AI 교수법, 전문성 개발 등 5개 영역을 제시합니다.</x:v>
      </x:c>
      <x:c r="D8" s="16" t="str">
        <x:v>강사 커리큘럼 설계의 핵심 참고자료.</x:v>
      </x:c>
    </x:row>
    <x:row r="9">
      <x:c r="A9" s="16" t="str">
        <x:v>Council of Europe</x:v>
      </x:c>
      <x:c r="B9" s="16" t="str">
        <x:v>Framework Convention on AI</x:v>
      </x:c>
      <x:c r="C9" s="16" t="str">
        <x:v>인권, 민주주의, 법치주의와 AI 활동을 일치시키기 위한 최초의 국제적 법적 구속력 있는 AI 조약입니다.</x:v>
      </x:c>
      <x:c r="D9" s="16" t="str">
        <x:v>AI 윤리를 인권·민주주의·법치와 연결해 설명 가능.</x:v>
      </x:c>
    </x:row>
    <x:row r="10">
      <x:c r="A10" s="16" t="str">
        <x:v>ASEAN</x:v>
      </x:c>
      <x:c r="B10" s="16" t="str">
        <x:v>ASEAN Guide on AI Governance and Ethics</x:v>
      </x:c>
      <x:c r="C10" s="16" t="str">
        <x:v>ASEAN 지역 조직들이 책임 있는 AI를 설계·개발·배포할 수 있도록 돕는 실무 가이드입니다.</x:v>
      </x:c>
      <x:c r="D10" s="16" t="str">
        <x:v>동남아 시장 진출 또는 글로벌 교육에서 활용.</x:v>
      </x:c>
    </x:row>
    <x:row r="11">
      <x:c r="A11" s="16" t="str">
        <x:v>UN Global Compact</x:v>
      </x:c>
      <x:c r="B11" s="16" t="str">
        <x:v>Responsible AI Navigator</x:v>
      </x:c>
      <x:c r="C11" s="16" t="str">
        <x:v>기업이 AI를 개발·구매·배포할 때 인권, 국제기준, 책임 있는 경영 원칙을 반영하도록 돕는 도구입니다.</x:v>
      </x:c>
      <x:c r="D11" s="16" t="str">
        <x:v>ESG, 기업교육, 임직원 AI 윤리 교육에 적합.</x:v>
      </x:c>
    </x:row>
    <x:row r="12">
      <x:c r="A12" s="16" t="str">
        <x:v>World Economic Forum</x:v>
      </x:c>
      <x:c r="B12" s="16" t="str">
        <x:v>AI Governance Alliance / Responsible AI Innovation Playbook</x:v>
      </x:c>
      <x:c r="C12" s="16" t="str">
        <x:v>책임 있는 AI 도입과 거버넌스를 위한 전략, 조직 운영, 리스크 관리 자료를 제공합니다.</x:v>
      </x:c>
      <x:c r="D12" s="16" t="str">
        <x:v>기업·공공기관 대상 AI 윤리 강의에 활용 가능.</x:v>
      </x:c>
    </x:row>
    <x:row r="13">
      <x:c r="A13" s="16" t="str">
        <x:v>NIST</x:v>
      </x:c>
      <x:c r="B13" s="16" t="str">
        <x:v>AI RMF / Generative AI Profile</x:v>
      </x:c>
      <x:c r="C13" s="16" t="str">
        <x:v>미국의 대표 AI 위험관리 프레임워크와 생성형 AI 위험관리 보완자료입니다.</x:v>
      </x:c>
      <x:c r="D13" s="16" t="str">
        <x:v>강사용 체크리스트, 위험평가표, 사례분석 도구로 변환하기 좋음.</x:v>
      </x:c>
    </x:row>
  </x:sheetData>
  <x:mergeCells>
    <x:mergeCell ref="A1:D1"/>
  </x:mergeCells>
  <x:pageMargins left="0.7" right="0.7" top="0.75" bottom="0.75" header="0.3" footer="0.3"/>
  <x:tableParts count="1">
    <x:tablePart xmlns:r="http://schemas.openxmlformats.org/officeDocument/2006/relationships" r:id="Rd26ec5ba2d554f93"/>
  </x:tableParts>
</x:worksheet>
</file>

<file path=xl/worksheets/sheet13.xml><?xml version="1.0" encoding="utf-8"?>
<x:worksheet xmlns:x="http://schemas.openxmlformats.org/spreadsheetml/2006/main">
  <x:sheetFormatPr defaultRowHeight="15"/>
  <x:cols>
    <x:col min="1" max="1" width="18" hidden="0" customWidth="1"/>
    <x:col min="2" max="2" width="42" hidden="0" customWidth="1"/>
    <x:col min="3" max="3" width="18" hidden="0" customWidth="1"/>
  </x:cols>
  <x:sheetData>
    <x:row r="1" ht="24" customHeight="1">
      <x:c r="A1" s="32" t="str">
        <x:v>표 10. 3) 한국 기본법 및 국내 AI 윤리 자료</x:v>
      </x:c>
    </x:row>
    <x:row r="3">
      <x:c r="A3" s="40" t="str">
        <x:v>구분</x:v>
      </x:c>
      <x:c r="B3" s="40" t="str">
        <x:v>공식자료</x:v>
      </x:c>
      <x:c r="C3" s="40" t="str">
        <x:v>교육에서 다룰 핵심</x:v>
      </x:c>
    </x:row>
    <x:row r="4">
      <x:c r="A4" s="16" t="str">
        <x:v>한국 AI 기본법</x:v>
      </x:c>
      <x:c r="B4" s="16" t="str">
        <x:v>인공지능 발전과 신뢰 기반 조성 등에 관한 기본법</x:v>
      </x:c>
      <x:c r="C4" s="16" t="str">
        <x:v>AI 발전과 신뢰 기반 조성, 국민 권익·존엄성 보호, AI 산업 경쟁력 강화를 목적으로 합니다. 2026년 1월 22일부터 시행됩니다.</x:v>
      </x:c>
    </x:row>
    <x:row r="5">
      <x:c r="A5" s="16" t="str">
        <x:v>국내 AI 윤리기준</x:v>
      </x:c>
      <x:c r="B5" s="16" t="str">
        <x:v>사람이 중심이 되는 AI 윤리기준</x:v>
      </x:c>
      <x:c r="C5" s="16" t="str">
        <x:v>인간 존엄성, 사회의 공공선, 기술의 합목적성이라는 3대 원칙과 10대 핵심요건을 제시합니다.</x:v>
      </x:c>
    </x:row>
    <x:row r="6">
      <x:c r="A6" s="16" t="str">
        <x:v>국내 실천자료</x:v>
      </x:c>
      <x:c r="B6" s="16" t="str">
        <x:v>AI 윤리기준 실천을 위한 자율점검표</x:v>
      </x:c>
      <x:c r="C6" s="16" t="str">
        <x:v>AI 윤리기준을 실제 조직·교육·서비스에 적용하기 위한 점검표입니다.</x:v>
      </x:c>
    </x:row>
    <x:row r="7">
      <x:c r="A7" s="16" t="str">
        <x:v>공공부문 참고자료</x:v>
      </x:c>
      <x:c r="B7" s="16" t="str">
        <x:v>NIA 생성형 AI 윤리 가이드북 / 공공부문 AI 활용 자료</x:v>
      </x:c>
      <x:c r="C7" s="16" t="str">
        <x:v>생성형 AI 활용 시 윤리적 유의사항, 조직 가이드라인, 공공부문 활용 기준을 정리한 자료로 활용할 수 있습니다.</x:v>
      </x:c>
    </x:row>
  </x:sheetData>
  <x:mergeCells>
    <x:mergeCell ref="A1:C1"/>
  </x:mergeCells>
  <x:pageMargins left="0.7" right="0.7" top="0.75" bottom="0.75" header="0.3" footer="0.3"/>
  <x:tableParts count="1">
    <x:tablePart xmlns:r="http://schemas.openxmlformats.org/officeDocument/2006/relationships" r:id="Rc4cff145eac74ed1"/>
  </x:tableParts>
</x:worksheet>
</file>

<file path=xl/worksheets/sheet14.xml><?xml version="1.0" encoding="utf-8"?>
<x:worksheet xmlns:x="http://schemas.openxmlformats.org/spreadsheetml/2006/main">
  <x:sheetFormatPr defaultRowHeight="15"/>
  <x:cols>
    <x:col min="1" max="1" width="42" hidden="0" customWidth="1"/>
    <x:col min="2" max="2" width="42" hidden="0" customWidth="1"/>
    <x:col min="3" max="3" width="42" hidden="0" customWidth="1"/>
  </x:cols>
  <x:sheetData>
    <x:row r="1" ht="24" customHeight="1">
      <x:c r="A1" s="32" t="str">
        <x:v>표 11. 4) ISO AI 윤리·거버넌스 자료</x:v>
      </x:c>
    </x:row>
    <x:row r="3">
      <x:c r="A3" s="40" t="str">
        <x:v>ISO 자료</x:v>
      </x:c>
      <x:c r="B3" s="40" t="str">
        <x:v>핵심 내용</x:v>
      </x:c>
      <x:c r="C3" s="40" t="str">
        <x:v>강사 교육 활용 포인트</x:v>
      </x:c>
    </x:row>
    <x:row r="4">
      <x:c r="A4" s="16" t="str">
        <x:v>ISO/IEC 42001:2023</x:v>
      </x:c>
      <x:c r="B4" s="16" t="str">
        <x:v>세계 최초의 AI 경영시스템 표준으로, 조직이 AI를 책임 있게 개발·제공·사용하기 위한 관리체계를 제시합니다.</x:v>
      </x:c>
      <x:c r="C4" s="16" t="str">
        <x:v>AI 윤리를 조직 운영체계로 설명할 때 핵심.</x:v>
      </x:c>
    </x:row>
    <x:row r="5">
      <x:c r="A5" s="16" t="str">
        <x:v>ISO/IEC 23894:2023</x:v>
      </x:c>
      <x:c r="B5" s="16" t="str">
        <x:v>AI를 개발·배포·사용하는 조직이 AI 위험관리를 수행하는 방법을 안내합니다.</x:v>
      </x:c>
      <x:c r="C5" s="16" t="str">
        <x:v>AI 리스크 식별표, 위험평가 실습에 활용.</x:v>
      </x:c>
    </x:row>
    <x:row r="6">
      <x:c r="A6" s="16" t="str">
        <x:v>ISO/IEC 42005:2025</x:v>
      </x:c>
      <x:c r="B6" s="16" t="str">
        <x:v>AI 시스템이 개인, 집단, 사회에 미치는 영향을 평가하고 문서화하는 지침입니다.</x:v>
      </x:c>
      <x:c r="C6" s="16" t="str">
        <x:v>교육, 채용, 평가, 상담 등 고영향 AI 사례 분석에 적합.</x:v>
      </x:c>
    </x:row>
    <x:row r="7">
      <x:c r="A7" s="16" t="str">
        <x:v>ISO/IEC 42006:2025</x:v>
      </x:c>
      <x:c r="B7" s="16" t="str">
        <x:v>AI 경영시스템 인증기관의 감사·인증 요구사항을 다루며, 일관되고 신뢰 가능한 인증을 목표로 합니다.</x:v>
      </x:c>
      <x:c r="C7" s="16" t="str">
        <x:v>기업 교육에서 “AI 윤리 인증과 감사” 개념 설명.</x:v>
      </x:c>
    </x:row>
    <x:row r="8">
      <x:c r="A8" s="16" t="str">
        <x:v>ISO/IEC 22989:2022</x:v>
      </x:c>
      <x:c r="B8" s="16" t="str">
        <x:v>AI 개념과 용어 표준입니다.</x:v>
      </x:c>
      <x:c r="C8" s="16" t="str">
        <x:v>강사마다 용어를 다르게 쓰는 문제 방지.</x:v>
      </x:c>
    </x:row>
    <x:row r="9">
      <x:c r="A9" s="16" t="str">
        <x:v>ISO/IEC 38507:2022</x:v>
      </x:c>
      <x:c r="B9" s="16" t="str">
        <x:v>조직의 AI 사용이 거버넌스에 미치는 영향을 다룹니다.</x:v>
      </x:c>
      <x:c r="C9" s="16" t="str">
        <x:v>경영진·관리자 대상 강의에 활용.</x:v>
      </x:c>
    </x:row>
    <x:row r="10">
      <x:c r="A10" s="16" t="str">
        <x:v>ISO/IEC TR 24027</x:v>
      </x:c>
      <x:c r="B10" s="16" t="str">
        <x:v>AI 시스템의 편향 문제를 다룹니다.</x:v>
      </x:c>
      <x:c r="C10" s="16" t="str">
        <x:v>차별, 편향, 공정성 교육의 근거 자료.</x:v>
      </x:c>
    </x:row>
    <x:row r="11">
      <x:c r="A11" s="16" t="str">
        <x:v>ISO/IEC TR 24028</x:v>
      </x:c>
      <x:c r="B11" s="16" t="str">
        <x:v>AI 신뢰성 개요를 다룹니다.</x:v>
      </x:c>
      <x:c r="C11" s="16" t="str">
        <x:v>신뢰 가능한 AI의 구성요소 설명.</x:v>
      </x:c>
    </x:row>
    <x:row r="12">
      <x:c r="A12" s="16" t="str">
        <x:v>ISO/IEC TR 24368</x:v>
      </x:c>
      <x:c r="B12" s="16" t="str">
        <x:v>AI의 윤리적·사회적 우려사항을 개관합니다.</x:v>
      </x:c>
      <x:c r="C12" s="16" t="str">
        <x:v>AI 윤리 개론 파트에 활용.</x:v>
      </x:c>
    </x:row>
    <x:row r="13">
      <x:c r="A13" s="16" t="str">
        <x:v>ISO/IEC TR 20226</x:v>
      </x:c>
      <x:c r="B13" s="16" t="str">
        <x:v>AI 시스템의 환경 지속가능성 측면을 다룹니다.</x:v>
      </x:c>
      <x:c r="C13" s="16" t="str">
        <x:v>ESG의 E, 즉 에너지·탄소·환경 리스크와 연결.</x:v>
      </x:c>
    </x:row>
    <x:row r="14">
      <x:c r="A14" s="16" t="str">
        <x:v>ISO/IEC 12792</x:v>
      </x:c>
      <x:c r="B14" s="16" t="str">
        <x:v>AI 시스템 투명성에 관한 분류체계를 다룹니다.</x:v>
      </x:c>
      <x:c r="C14" s="16" t="str">
        <x:v>설명가능성, 고지, 표시 의무 교육에 활용.</x:v>
      </x:c>
    </x:row>
  </x:sheetData>
  <x:mergeCells>
    <x:mergeCell ref="A1:C1"/>
  </x:mergeCells>
  <x:pageMargins left="0.7" right="0.7" top="0.75" bottom="0.75" header="0.3" footer="0.3"/>
  <x:tableParts count="1">
    <x:tablePart xmlns:r="http://schemas.openxmlformats.org/officeDocument/2006/relationships" r:id="R597acb4675864470"/>
  </x:tableParts>
</x:worksheet>
</file>

<file path=xl/worksheets/sheet15.xml><?xml version="1.0" encoding="utf-8"?>
<x:worksheet xmlns:x="http://schemas.openxmlformats.org/spreadsheetml/2006/main">
  <x:sheetFormatPr defaultRowHeight="15"/>
  <x:cols>
    <x:col min="1" max="1" width="18" hidden="0" customWidth="1"/>
    <x:col min="2" max="2" width="28" hidden="0" customWidth="1"/>
  </x:cols>
  <x:sheetData>
    <x:row r="1" ht="24" customHeight="1">
      <x:c r="A1" s="32" t="str">
        <x:v>표 12. 5) ESG 관점의 AI 윤리 자료</x:v>
      </x:c>
    </x:row>
    <x:row r="3">
      <x:c r="A3" s="40" t="str">
        <x:v>ESG 영역</x:v>
      </x:c>
      <x:c r="B3" s="40" t="str">
        <x:v>AI 윤리 이슈</x:v>
      </x:c>
    </x:row>
    <x:row r="4">
      <x:c r="A4" s="16" t="str">
        <x:v>E: 환경</x:v>
      </x:c>
      <x:c r="B4" s="16" t="str">
        <x:v>대규모 AI 모델과 데이터센터는 전력, 냉각수, 탄소배출, 자원 사용 문제와 연결됩니다.</x:v>
      </x:c>
    </x:row>
    <x:row r="5">
      <x:c r="A5" s="16" t="str">
        <x:v>S: 사회</x:v>
      </x:c>
      <x:c r="B5" s="16" t="str">
        <x:v>AI 편향, 차별, 개인정보 침해, 허위정보, 딥페이크, 디지털 격차, 노동 대체 문제가 포함됩니다.</x:v>
      </x:c>
    </x:row>
    <x:row r="6">
      <x:c r="A6" s="16" t="str">
        <x:v>G: 거버넌스</x:v>
      </x:c>
      <x:c r="B6" s="16" t="str">
        <x:v>AI 사용 승인 절차, 책임자 지정, 로그 관리, 생성물 표시, 리스크 평가, 내부 교육, 감사 체계가 포함됩니다.</x:v>
      </x:c>
    </x:row>
    <x:row r="7">
      <x:c r="A7" s="16" t="str">
        <x:v>기업 책임</x:v>
      </x:c>
      <x:c r="B7" s="16" t="str">
        <x:v>UN Global Compact는 Responsible AI Navigator를 통해 기업이 AI를 책임 있게 개발·구매·배포하도록 안내합니다.</x:v>
      </x:c>
    </x:row>
    <x:row r="8">
      <x:c r="A8" s="16" t="str">
        <x:v>투자·경영 관점</x:v>
      </x:c>
      <x:c r="B8" s="16" t="str">
        <x:v>WEF는 책임 있는 AI 혁신과 AI 거버넌스를 기업 전략, 리스크 관리, 신뢰 확보와 연결합니다.</x:v>
      </x:c>
    </x:row>
  </x:sheetData>
  <x:mergeCells>
    <x:mergeCell ref="A1:B1"/>
  </x:mergeCells>
  <x:pageMargins left="0.7" right="0.7" top="0.75" bottom="0.75" header="0.3" footer="0.3"/>
  <x:tableParts count="1">
    <x:tablePart xmlns:r="http://schemas.openxmlformats.org/officeDocument/2006/relationships" r:id="Rb4449c58d22b49cf"/>
  </x:tableParts>
</x:worksheet>
</file>

<file path=xl/worksheets/sheet16.xml><?xml version="1.0" encoding="utf-8"?>
<x:worksheet xmlns:x="http://schemas.openxmlformats.org/spreadsheetml/2006/main">
  <x:sheetFormatPr defaultRowHeight="15"/>
  <x:cols>
    <x:col min="1" max="1" width="18" hidden="0" customWidth="1"/>
    <x:col min="2" max="2" width="18" hidden="0" customWidth="1"/>
  </x:cols>
  <x:sheetData>
    <x:row r="1" ht="24" customHeight="1">
      <x:c r="A1" s="32" t="str">
        <x:v>표 13. 교육 목표</x:v>
      </x:c>
    </x:row>
    <x:row r="3">
      <x:c r="A3" s="40" t="str">
        <x:v>역량</x:v>
      </x:c>
      <x:c r="B3" s="40" t="str">
        <x:v>설명</x:v>
      </x:c>
    </x:row>
    <x:row r="4">
      <x:c r="A4" s="16" t="str">
        <x:v>AI 윤리 중요성 설명</x:v>
      </x:c>
      <x:c r="B4" s="16" t="str">
        <x:v>AI 윤리가 왜 글로벌 규제, 기업 리스크, 교육 신뢰성과 연결되는지 설명</x:v>
      </x:c>
    </x:row>
    <x:row r="5">
      <x:c r="A5" s="16" t="str">
        <x:v>국가별 규제 비교</x:v>
      </x:c>
      <x:c r="B5" s="16" t="str">
        <x:v>EU, 미국, 중국, 한국, 영국, 일본 등 주요국 AI 윤리·규제 차이 설명</x:v>
      </x:c>
    </x:row>
    <x:row r="6">
      <x:c r="A6" s="16" t="str">
        <x:v>국내 법 이해</x:v>
      </x:c>
      <x:c r="B6" s="16" t="str">
        <x:v>한국 AI 기본법, AI 윤리기준, 자율점검표의 핵심 이해</x:v>
      </x:c>
    </x:row>
    <x:row r="7">
      <x:c r="A7" s="16" t="str">
        <x:v>생성형 AI 리스크 식별</x:v>
      </x:c>
      <x:c r="B7" s="16" t="str">
        <x:v>환각, 편향, 개인정보, 저작권, 딥페이크, 생성물 표시 문제 식별</x:v>
      </x:c>
    </x:row>
    <x:row r="8">
      <x:c r="A8" s="16" t="str">
        <x:v>교육자료 검증</x:v>
      </x:c>
      <x:c r="B8" s="16" t="str">
        <x:v>AI가 만든 자료의 사실성, 출처, 저작권, 편향 여부 점검</x:v>
      </x:c>
    </x:row>
    <x:row r="9">
      <x:c r="A9" s="16" t="str">
        <x:v>ISO/ESG 연결</x:v>
      </x:c>
      <x:c r="B9" s="16" t="str">
        <x:v>AI 윤리를 조직 거버넌스, ESG, 리스크 관리와 연결</x:v>
      </x:c>
    </x:row>
    <x:row r="10">
      <x:c r="A10" s="16" t="str">
        <x:v>강의 설계</x:v>
      </x:c>
      <x:c r="B10" s="16" t="str">
        <x:v>AI 윤리를 포함한 강의안, 체크리스트, 실습과제 설계</x:v>
      </x:c>
    </x:row>
  </x:sheetData>
  <x:mergeCells>
    <x:mergeCell ref="A1:B1"/>
  </x:mergeCells>
  <x:pageMargins left="0.7" right="0.7" top="0.75" bottom="0.75" header="0.3" footer="0.3"/>
  <x:tableParts count="1">
    <x:tablePart xmlns:r="http://schemas.openxmlformats.org/officeDocument/2006/relationships" r:id="R4946e92932514470"/>
  </x:tableParts>
</x:worksheet>
</file>

<file path=xl/worksheets/sheet17.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42" hidden="0" customWidth="1"/>
    <x:col min="5" max="5" width="18" hidden="0" customWidth="1"/>
  </x:cols>
  <x:sheetData>
    <x:row r="1" ht="24" customHeight="1">
      <x:c r="A1" s="32" t="str">
        <x:v>표 14. 16시간 커리큘럼</x:v>
      </x:c>
    </x:row>
    <x:row r="3">
      <x:c r="A3" s="40" t="str">
        <x:v>차시</x:v>
      </x:c>
      <x:c r="B3" s="40" t="str">
        <x:v>시간</x:v>
      </x:c>
      <x:c r="C3" s="40" t="str">
        <x:v>주제</x:v>
      </x:c>
      <x:c r="D3" s="40" t="str">
        <x:v>핵심 내용</x:v>
      </x:c>
      <x:c r="E3" s="40" t="str">
        <x:v>실습/산출물</x:v>
      </x:c>
    </x:row>
    <x:row r="4">
      <x:c r="A4" s="16" t="str">
        <x:v>1</x:v>
      </x:c>
      <x:c r="B4" s="16" t="str">
        <x:v>1.5h</x:v>
      </x:c>
      <x:c r="C4" s="16" t="str">
        <x:v>AI 윤리가 왜 중요한가</x:v>
      </x:c>
      <x:c r="D4" s="16" t="str">
        <x:v>AI 활용 확산, 생성형 AI 리스크, 강사의 책임, 글로벌 규제 흐름</x:v>
      </x:c>
      <x:c r="E4" s="16" t="str">
        <x:v>AI 윤리 사고사례 토론</x:v>
      </x:c>
    </x:row>
    <x:row r="5">
      <x:c r="A5" s="16" t="str">
        <x:v>2</x:v>
      </x:c>
      <x:c r="B5" s="16" t="str">
        <x:v>2h</x:v>
      </x:c>
      <x:c r="C5" s="16" t="str">
        <x:v>국가별 AI 윤리·규제 현황</x:v>
      </x:c>
      <x:c r="D5" s="16" t="str">
        <x:v>EU AI Act, 미국 NIST, 중국 생성형 AI 규제, 영국·일본·싱가포르 접근 비교</x:v>
      </x:c>
      <x:c r="E5" s="16" t="str">
        <x:v>국가별 규제 비교표 작성</x:v>
      </x:c>
    </x:row>
    <x:row r="6">
      <x:c r="A6" s="16" t="str">
        <x:v>3</x:v>
      </x:c>
      <x:c r="B6" s="16" t="str">
        <x:v>2h</x:v>
      </x:c>
      <x:c r="C6" s="16" t="str">
        <x:v>국제기구 AI 윤리 원칙</x:v>
      </x:c>
      <x:c r="D6" s="16" t="str">
        <x:v>OECD, UNESCO, Council of Europe, ASEAN, UNGC, WEF 자료 분석</x:v>
      </x:c>
      <x:c r="E6" s="16" t="str">
        <x:v>국제원칙 5개 키워드 정리</x:v>
      </x:c>
    </x:row>
    <x:row r="7">
      <x:c r="A7" s="16" t="str">
        <x:v>4</x:v>
      </x:c>
      <x:c r="B7" s="16" t="str">
        <x:v>2h</x:v>
      </x:c>
      <x:c r="C7" s="16" t="str">
        <x:v>한국 AI 기본법과 국내 윤리기준</x:v>
      </x:c>
      <x:c r="D7" s="16" t="str">
        <x:v>한국 AI 기본법, 사람이 중심이 되는 AI 윤리기준, 자율점검표</x:v>
      </x:c>
      <x:c r="E7" s="16" t="str">
        <x:v>국내 강의용 체크리스트 만들기</x:v>
      </x:c>
    </x:row>
    <x:row r="8">
      <x:c r="A8" s="16" t="str">
        <x:v>5</x:v>
      </x:c>
      <x:c r="B8" s="16" t="str">
        <x:v>2h</x:v>
      </x:c>
      <x:c r="C8" s="16" t="str">
        <x:v>생성형 AI 활용 리스크</x:v>
      </x:c>
      <x:c r="D8" s="16" t="str">
        <x:v>환각, 허위정보, 개인정보, 저작권, 딥페이크, AI 생성물 표시</x:v>
      </x:c>
      <x:c r="E8" s="16" t="str">
        <x:v>잘못된 AI 교육자료 수정 실습</x:v>
      </x:c>
    </x:row>
    <x:row r="9">
      <x:c r="A9" s="16" t="str">
        <x:v>6</x:v>
      </x:c>
      <x:c r="B9" s="16" t="str">
        <x:v>2h</x:v>
      </x:c>
      <x:c r="C9" s="16" t="str">
        <x:v>ISO 기반 AI 거버넌스</x:v>
      </x:c>
      <x:c r="D9" s="16" t="str">
        <x:v>ISO/IEC 42001, 23894, 42005, 42006, 편향·신뢰성·투명성 표준</x:v>
      </x:c>
      <x:c r="E9" s="16" t="str">
        <x:v>AI 위험평가표 작성</x:v>
      </x:c>
    </x:row>
    <x:row r="10">
      <x:c r="A10" s="16" t="str">
        <x:v>7</x:v>
      </x:c>
      <x:c r="B10" s="16" t="str">
        <x:v>1.5h</x:v>
      </x:c>
      <x:c r="C10" s="16" t="str">
        <x:v>ESG와 AI 윤리</x:v>
      </x:c>
      <x:c r="D10" s="16" t="str">
        <x:v>환경, 사회, 거버넌스 관점에서 AI 리스크 분석</x:v>
      </x:c>
      <x:c r="E10" s="16" t="str">
        <x:v>ESG 관점 AI 리스크 매핑</x:v>
      </x:c>
    </x:row>
    <x:row r="11">
      <x:c r="A11" s="16" t="str">
        <x:v>8</x:v>
      </x:c>
      <x:c r="B11" s="16" t="str">
        <x:v>3h</x:v>
      </x:c>
      <x:c r="C11" s="16" t="str">
        <x:v>책임 있는 AI 강의 설계</x:v>
      </x:c>
      <x:c r="D11" s="16" t="str">
        <x:v>강사용 윤리 원칙, 교육자료 검증법, 수강생 주의사항, 강의안 설계</x:v>
      </x:c>
      <x:c r="E11" s="16" t="str">
        <x:v>최종 강의안 + 윤리 체크리스트 발표</x:v>
      </x:c>
    </x:row>
  </x:sheetData>
  <x:mergeCells>
    <x:mergeCell ref="A1:E1"/>
  </x:mergeCells>
  <x:pageMargins left="0.7" right="0.7" top="0.75" bottom="0.75" header="0.3" footer="0.3"/>
  <x:tableParts count="1">
    <x:tablePart xmlns:r="http://schemas.openxmlformats.org/officeDocument/2006/relationships" r:id="R5b12e995a5944ad5"/>
  </x:tableParts>
</x:worksheet>
</file>

<file path=xl/worksheets/sheet18.xml><?xml version="1.0" encoding="utf-8"?>
<x:worksheet xmlns:x="http://schemas.openxmlformats.org/spreadsheetml/2006/main">
  <x:sheetFormatPr defaultRowHeight="15"/>
  <x:cols>
    <x:col min="1" max="1" width="18" hidden="0" customWidth="1"/>
    <x:col min="2" max="2" width="42" hidden="0" customWidth="1"/>
    <x:col min="3" max="3" width="28" hidden="0" customWidth="1"/>
    <x:col min="4" max="4" width="36" hidden="0" customWidth="1"/>
  </x:cols>
  <x:sheetData>
    <x:row r="1" ht="24" customHeight="1">
      <x:c r="A1" s="32" t="str">
        <x:v>표 15. 1. 네 분류는 이렇게 공식자료와 연결하면 됨</x:v>
      </x:c>
    </x:row>
    <x:row r="3">
      <x:c r="A3" s="40" t="str">
        <x:v>분류</x:v>
      </x:c>
      <x:c r="B3" s="40" t="str">
        <x:v>글로벌 규제·가이드에서 실제로 다루는 방식</x:v>
      </x:c>
      <x:c r="C3" s="40" t="str">
        <x:v>핵심 이슈</x:v>
      </x:c>
      <x:c r="D3" s="40" t="str">
        <x:v>대표 공식근거</x:v>
      </x:c>
    </x:row>
    <x:row r="4">
      <x:c r="A4" s="16" t="str">
        <x:v>AI 문서윤리</x:v>
      </x:c>
      <x:c r="B4" s="16" t="str">
        <x:v>AI 생성 텍스트, 보고서, 교육자료, 공익 정보, 학술·연구 문서의 신뢰성 문제로 다룸</x:v>
      </x:c>
      <x:c r="C4" s="16" t="str">
        <x:v>허위정보, 표절, 저작권, 출처 불명, 자동 작성 남용</x:v>
      </x:c>
      <x:c r="D4" s="16" t="str">
        <x:v>UNESCO 생성형 AI 교육·연구 가이드, 미국 Copyright Office AI 보고서, NIST 생성형 AI 프로파일</x:v>
      </x:c>
    </x:row>
    <x:row r="5">
      <x:c r="A5" s="16" t="str">
        <x:v>AI 음성윤리</x:v>
      </x:c>
      <x:c r="B5" s="16" t="str">
        <x:v>음성 생성, 음성 복제, AI 보이스콜, 사칭·보이스피싱·동의 문제로 다룸</x:v>
      </x:c>
      <x:c r="C5" s="16" t="str">
        <x:v>동의, 사칭, 도용, 보이스피싱</x:v>
      </x:c>
      <x:c r="D5" s="16" t="str">
        <x:v>미국 FCC는 AI 생성 음성도 TCPA상 “artificial or prerecorded voice”에 해당해 사전 동의가 필요하다고 봤고, FTC도 AI 사칭·음성복제 위험을 소비자보호 이슈로 다룹니다.</x:v>
      </x:c>
    </x:row>
    <x:row r="6">
      <x:c r="A6" s="16" t="str">
        <x:v>AI 영상윤리</x:v>
      </x:c>
      <x:c r="B6" s="16" t="str">
        <x:v>딥페이크, 합성영상, 조작 영상, 선거·공공정보·사회적 신뢰 훼손 문제로 다룸</x:v>
      </x:c>
      <x:c r="C6" s="16" t="str">
        <x:v>딥페이크, 초상권, 표시책임, 조작 방지</x:v>
      </x:c>
      <x:c r="D6" s="16" t="str">
        <x:v>EU AI Act 투명성 의무와 중국 AI 생성·합성 콘텐츠 표시방법이 영상·딥페이크 표시를 직접 다룹니다.</x:v>
      </x:c>
    </x:row>
    <x:row r="7">
      <x:c r="A7" s="16" t="str">
        <x:v>AI 이미지윤리</x:v>
      </x:c>
      <x:c r="B7" s="16" t="str">
        <x:v>생성 이미지, 스타일 모방, 작가 권리, 저작권, 출처, 상업적 활용 책임으로 다룸</x:v>
      </x:c>
      <x:c r="C7" s="16" t="str">
        <x:v>스타일 모방, 출처, 저작권, 초상권</x:v>
      </x:c>
      <x:c r="D7" s="16" t="str">
        <x:v>미국 Copyright Office는 AI 산출물의 저작권성과 디지털 복제 문제를 별도 보고서로 다루고, 한국저작권위원회도 2025년 생성형 AI 저작권 등록·분쟁 예방 안내서를 발간했습니다.</x:v>
      </x:c>
    </x:row>
    <x:row r="8">
      <x:c r="A8" s="16" t="str">
        <x:v>AI 광고·홍보윤리</x:v>
      </x:c>
      <x:c r="B8" s="16" t="str">
        <x:v>AI 광고문구, AI 후기, AI 인플루언서, 소비자 오인, 허위·과장 표시 문제로 다룸</x:v>
      </x:c>
      <x:c r="C8" s="16" t="str">
        <x:v>허위표현, 소비자 오인, 과장광고, 책임소재</x:v>
      </x:c>
      <x:c r="D8" s="16" t="str">
        <x:v>미국 FTC는 2024년 Operation AI Comply를 통해 AI를 활용한 기만적 광고·마케팅 행위 단속을 발표했고, AI로 생성한 가짜 후기·추천도 소비자보호 이슈로 봅니다.</x:v>
      </x:c>
    </x:row>
    <x:row r="9">
      <x:c r="A9" s="16" t="str">
        <x:v>AI툴 윤리</x:v>
      </x:c>
      <x:c r="B9" s="16" t="str">
        <x:v>특정 콘텐츠가 아니라 AI 도구를 쓰는 조직·사용자의 책임, 리스크 관리, 검증, 감독 문제로 다룸</x:v>
      </x:c>
      <x:c r="C9" s="16" t="str">
        <x:v>도구남용, 책임소재, 편향, 검증 부족</x:v>
      </x:c>
      <x:c r="D9" s="16" t="str">
        <x:v>NIST AI RMF, 호주 AI Ethics Principles·Guidance for AI Adoption, 싱가포르 생성형 AI 거버넌스 프레임워크가 AI 도구 사용 전반의 위험관리 기준으로 활용됩니다.</x:v>
      </x:c>
    </x:row>
  </x:sheetData>
  <x:mergeCells>
    <x:mergeCell ref="A1:D1"/>
  </x:mergeCells>
  <x:pageMargins left="0.7" right="0.7" top="0.75" bottom="0.75" header="0.3" footer="0.3"/>
  <x:tableParts count="1">
    <x:tablePart xmlns:r="http://schemas.openxmlformats.org/officeDocument/2006/relationships" r:id="R0e6596445e994a91"/>
  </x:tableParts>
</x:worksheet>
</file>

<file path=xl/worksheets/sheet19.xml><?xml version="1.0" encoding="utf-8"?>
<x:worksheet xmlns:x="http://schemas.openxmlformats.org/spreadsheetml/2006/main">
  <x:sheetFormatPr defaultRowHeight="15"/>
  <x:cols>
    <x:col min="1" max="1" width="18" hidden="0" customWidth="1"/>
    <x:col min="2" max="2" width="42" hidden="0" customWidth="1"/>
  </x:cols>
  <x:sheetData>
    <x:row r="1" ht="24" customHeight="1">
      <x:c r="A1" s="32" t="str">
        <x:v>표 16. AI 문서윤리</x:v>
      </x:c>
    </x:row>
    <x:row r="3">
      <x:c r="A3" s="40" t="str">
        <x:v>항목</x:v>
      </x:c>
      <x:c r="B3" s="40" t="str">
        <x:v>내용</x:v>
      </x:c>
    </x:row>
    <x:row r="4">
      <x:c r="A4" s="16" t="str">
        <x:v>대상</x:v>
      </x:c>
      <x:c r="B4" s="16" t="str">
        <x:v>보고서, 기획서, 안내문, 교육자료, 시험 답안, 학술문서, 공공문서</x:v>
      </x:c>
    </x:row>
    <x:row r="5">
      <x:c r="A5" s="16" t="str">
        <x:v>핵심 이슈</x:v>
      </x:c>
      <x:c r="B5" s="16" t="str">
        <x:v>허위정보, 표절, 저작권, 출처 불명, 자동 작성 남용</x:v>
      </x:c>
    </x:row>
    <x:row r="6">
      <x:c r="A6" s="16" t="str">
        <x:v>대표 문제</x:v>
      </x:c>
      <x:c r="B6" s="16" t="str">
        <x:v>검증되지 않은 내용, 존재하지 않는 출처, AI가 만든 문장을 사람 작성물처럼 제출, 보고서 대필</x:v>
      </x:c>
    </x:row>
    <x:row r="7">
      <x:c r="A7" s="16" t="str">
        <x:v>글로벌 관리 방식</x:v>
      </x:c>
      <x:c r="B7" s="16" t="str">
        <x:v>교육·연구 가이드, 저작권 가이드, 생성형 AI 위험관리 프레임워크, 학문윤리 기준</x:v>
      </x:c>
    </x:row>
    <x:row r="8">
      <x:c r="A8" s="16" t="str">
        <x:v>연결 자료</x:v>
      </x:c>
      <x:c r="B8" s="16" t="str">
        <x:v>UNESCO 생성형 AI 교육·연구 가이드, UNESCO 교사 AI 역량 프레임워크, 미국 Copyright Office AI 보고서, NIST GenAI Profile</x:v>
      </x:c>
    </x:row>
    <x:row r="9">
      <x:c r="A9" s="16" t="str">
        <x:v>활용 분야</x:v>
      </x:c>
      <x:c r="B9" s="16" t="str">
        <x:v>교육, 시험, 보고서, 컨설팅, 교재 제작</x:v>
      </x:c>
    </x:row>
  </x:sheetData>
  <x:mergeCells>
    <x:mergeCell ref="A1:B1"/>
  </x:mergeCells>
  <x:pageMargins left="0.7" right="0.7" top="0.75" bottom="0.75" header="0.3" footer="0.3"/>
  <x:tableParts count="1">
    <x:tablePart xmlns:r="http://schemas.openxmlformats.org/officeDocument/2006/relationships" r:id="R4c961d8ae04c4cc6"/>
  </x:tableParts>
</x:worksheet>
</file>

<file path=xl/worksheets/sheet20.xml><?xml version="1.0" encoding="utf-8"?>
<x:worksheet xmlns:x="http://schemas.openxmlformats.org/spreadsheetml/2006/main">
  <x:sheetFormatPr defaultRowHeight="15"/>
  <x:cols>
    <x:col min="1" max="1" width="18" hidden="0" customWidth="1"/>
    <x:col min="2" max="2" width="42" hidden="0" customWidth="1"/>
  </x:cols>
  <x:sheetData>
    <x:row r="1" ht="24" customHeight="1">
      <x:c r="A1" s="32" t="str">
        <x:v>표 17. AI 음성윤리</x:v>
      </x:c>
    </x:row>
    <x:row r="3">
      <x:c r="A3" s="40" t="str">
        <x:v>항목</x:v>
      </x:c>
      <x:c r="B3" s="40" t="str">
        <x:v>내용</x:v>
      </x:c>
    </x:row>
    <x:row r="4">
      <x:c r="A4" s="16" t="str">
        <x:v>대상</x:v>
      </x:c>
      <x:c r="B4" s="16" t="str">
        <x:v>AI 내레이션, 안내 음성, 상담 음성, 음성 복제, 보이스봇, 콜센터 AI</x:v>
      </x:c>
    </x:row>
    <x:row r="5">
      <x:c r="A5" s="16" t="str">
        <x:v>핵심 이슈</x:v>
      </x:c>
      <x:c r="B5" s="16" t="str">
        <x:v>동의, 사칭, 도용, 보이스피싱, 신원 오인</x:v>
      </x:c>
    </x:row>
    <x:row r="6">
      <x:c r="A6" s="16" t="str">
        <x:v>대표 문제</x:v>
      </x:c>
      <x:c r="B6" s="16" t="str">
        <x:v>유명인·임직원·강사 음성 복제, 허락 없는 안내음성 사용, AI 음성으로 사람인 척 응대</x:v>
      </x:c>
    </x:row>
    <x:row r="7">
      <x:c r="A7" s="16" t="str">
        <x:v>글로벌 관리 방식</x:v>
      </x:c>
      <x:c r="B7" s="16" t="str">
        <x:v>사전 동의, AI 음성 사용 고지, 사칭 금지, 소비자보호, 통신규제</x:v>
      </x:c>
    </x:row>
    <x:row r="8">
      <x:c r="A8" s="16" t="str">
        <x:v>연결 자료</x:v>
      </x:c>
      <x:c r="B8" s="16" t="str">
        <x:v>미국 FCC AI 음성 로보콜 규제, FTC AI 사칭·음성복제 대응, 중국 AI 생성·합성 콘텐츠 표시방법</x:v>
      </x:c>
    </x:row>
    <x:row r="9">
      <x:c r="A9" s="16" t="str">
        <x:v>활용 분야</x:v>
      </x:c>
      <x:c r="B9" s="16" t="str">
        <x:v>교육, 컨설팅, 보고서, 콜센터, 안내방송, 상담서비스</x:v>
      </x:c>
    </x:row>
  </x:sheetData>
  <x:mergeCells>
    <x:mergeCell ref="A1:B1"/>
  </x:mergeCells>
  <x:pageMargins left="0.7" right="0.7" top="0.75" bottom="0.75" header="0.3" footer="0.3"/>
  <x:tableParts count="1">
    <x:tablePart xmlns:r="http://schemas.openxmlformats.org/officeDocument/2006/relationships" r:id="Rb4d42993035743cf"/>
  </x:tableParts>
</x:worksheet>
</file>

<file path=xl/worksheets/sheet21.xml><?xml version="1.0" encoding="utf-8"?>
<x:worksheet xmlns:x="http://schemas.openxmlformats.org/spreadsheetml/2006/main">
  <x:sheetFormatPr defaultRowHeight="15"/>
  <x:cols>
    <x:col min="1" max="1" width="18" hidden="0" customWidth="1"/>
    <x:col min="2" max="2" width="42" hidden="0" customWidth="1"/>
  </x:cols>
  <x:sheetData>
    <x:row r="1" ht="24" customHeight="1">
      <x:c r="A1" s="32" t="str">
        <x:v>표 18. AI 영상윤리</x:v>
      </x:c>
    </x:row>
    <x:row r="3">
      <x:c r="A3" s="40" t="str">
        <x:v>항목</x:v>
      </x:c>
      <x:c r="B3" s="40" t="str">
        <x:v>내용</x:v>
      </x:c>
    </x:row>
    <x:row r="4">
      <x:c r="A4" s="16" t="str">
        <x:v>대상</x:v>
      </x:c>
      <x:c r="B4" s="16" t="str">
        <x:v>딥페이크 영상, 합성 강의영상, 홍보영상, 인터뷰 영상, 가상인간 영상</x:v>
      </x:c>
    </x:row>
    <x:row r="5">
      <x:c r="A5" s="16" t="str">
        <x:v>핵심 이슈</x:v>
      </x:c>
      <x:c r="B5" s="16" t="str">
        <x:v>딥페이크, 초상권, 표시책임, 조작 방지</x:v>
      </x:c>
    </x:row>
    <x:row r="6">
      <x:c r="A6" s="16" t="str">
        <x:v>대표 문제</x:v>
      </x:c>
      <x:c r="B6" s="16" t="str">
        <x:v>얼굴 합성, 가짜 인터뷰, 허위 강의영상, 실제 발언처럼 보이는 조작 영상</x:v>
      </x:c>
    </x:row>
    <x:row r="7">
      <x:c r="A7" s="16" t="str">
        <x:v>글로벌 관리 방식</x:v>
      </x:c>
      <x:c r="B7" s="16" t="str">
        <x:v>AI 생성·조작 영상 표시, 딥페이크 고지, 공익 정보 조작 방지, 선거·미디어 신뢰 보호</x:v>
      </x:c>
    </x:row>
    <x:row r="8">
      <x:c r="A8" s="16" t="str">
        <x:v>연결 자료</x:v>
      </x:c>
      <x:c r="B8" s="16" t="str">
        <x:v>EU AI Act 제50조, EU AI 생성 콘텐츠 표시 Code of Practice, 중국 AI 생성·합성 콘텐츠 표시방법</x:v>
      </x:c>
    </x:row>
    <x:row r="9">
      <x:c r="A9" s="16" t="str">
        <x:v>활용 분야</x:v>
      </x:c>
      <x:c r="B9" s="16" t="str">
        <x:v>교육, 인증, 컨설팅, 홍보, 언론, 선거, 공공 캠페인</x:v>
      </x:c>
    </x:row>
  </x:sheetData>
  <x:mergeCells>
    <x:mergeCell ref="A1:B1"/>
  </x:mergeCells>
  <x:pageMargins left="0.7" right="0.7" top="0.75" bottom="0.75" header="0.3" footer="0.3"/>
  <x:tableParts count="1">
    <x:tablePart xmlns:r="http://schemas.openxmlformats.org/officeDocument/2006/relationships" r:id="R94db118c8abb426a"/>
  </x:tableParts>
</x:worksheet>
</file>

<file path=xl/worksheets/sheet22.xml><?xml version="1.0" encoding="utf-8"?>
<x:worksheet xmlns:x="http://schemas.openxmlformats.org/spreadsheetml/2006/main">
  <x:sheetFormatPr defaultRowHeight="15"/>
  <x:cols>
    <x:col min="1" max="1" width="18" hidden="0" customWidth="1"/>
    <x:col min="2" max="2" width="42" hidden="0" customWidth="1"/>
  </x:cols>
  <x:sheetData>
    <x:row r="1" ht="24" customHeight="1">
      <x:c r="A1" s="32" t="str">
        <x:v>표 19. AI 이미지윤리</x:v>
      </x:c>
    </x:row>
    <x:row r="3">
      <x:c r="A3" s="40" t="str">
        <x:v>항목</x:v>
      </x:c>
      <x:c r="B3" s="40" t="str">
        <x:v>내용</x:v>
      </x:c>
    </x:row>
    <x:row r="4">
      <x:c r="A4" s="16" t="str">
        <x:v>대상</x:v>
      </x:c>
      <x:c r="B4" s="16" t="str">
        <x:v>생성 이미지, 삽화, 광고 이미지, 교재 이미지, 썸네일, 인포그래픽</x:v>
      </x:c>
    </x:row>
    <x:row r="5">
      <x:c r="A5" s="16" t="str">
        <x:v>핵심 이슈</x:v>
      </x:c>
      <x:c r="B5" s="16" t="str">
        <x:v>스타일 모방, 출처, 저작권, 초상권, 상업적 사용 책임</x:v>
      </x:c>
    </x:row>
    <x:row r="6">
      <x:c r="A6" s="16" t="str">
        <x:v>대표 문제</x:v>
      </x:c>
      <x:c r="B6" s="16" t="str">
        <x:v>특정 작가풍 모방, 타인 이미지 재가공, 출처 없는 이미지 사용, 상업 홍보물 무단 활용</x:v>
      </x:c>
    </x:row>
    <x:row r="7">
      <x:c r="A7" s="16" t="str">
        <x:v>글로벌 관리 방식</x:v>
      </x:c>
      <x:c r="B7" s="16" t="str">
        <x:v>저작권성 판단, 인간 창작 기여도 판단, 생성물 표시, 출처·라이선스 관리</x:v>
      </x:c>
    </x:row>
    <x:row r="8">
      <x:c r="A8" s="16" t="str">
        <x:v>연결 자료</x:v>
      </x:c>
      <x:c r="B8" s="16" t="str">
        <x:v>미국 Copyright Office AI 보고서, 한국저작권위원회 생성형 AI 저작권 안내서, 중국 AI 생성·합성 콘텐츠 표시방법</x:v>
      </x:c>
    </x:row>
    <x:row r="9">
      <x:c r="A9" s="16" t="str">
        <x:v>활용 분야</x:v>
      </x:c>
      <x:c r="B9" s="16" t="str">
        <x:v>교육, 보고서, 광고, 홍보, 교재 제작, 디자인</x:v>
      </x:c>
    </x:row>
  </x:sheetData>
  <x:mergeCells>
    <x:mergeCell ref="A1:B1"/>
  </x:mergeCells>
  <x:pageMargins left="0.7" right="0.7" top="0.75" bottom="0.75" header="0.3" footer="0.3"/>
  <x:tableParts count="1">
    <x:tablePart xmlns:r="http://schemas.openxmlformats.org/officeDocument/2006/relationships" r:id="R561f69e55bf74e86"/>
  </x:tableParts>
</x:worksheet>
</file>

<file path=xl/worksheets/sheet23.xml><?xml version="1.0" encoding="utf-8"?>
<x:worksheet xmlns:x="http://schemas.openxmlformats.org/spreadsheetml/2006/main">
  <x:sheetFormatPr defaultRowHeight="15"/>
  <x:cols>
    <x:col min="1" max="1" width="18" hidden="0" customWidth="1"/>
    <x:col min="2" max="2" width="42" hidden="0" customWidth="1"/>
  </x:cols>
  <x:sheetData>
    <x:row r="1" ht="24" customHeight="1">
      <x:c r="A1" s="32" t="str">
        <x:v>표 20. AI 광고·홍보윤리</x:v>
      </x:c>
    </x:row>
    <x:row r="3">
      <x:c r="A3" s="40" t="str">
        <x:v>항목</x:v>
      </x:c>
      <x:c r="B3" s="40" t="str">
        <x:v>내용</x:v>
      </x:c>
    </x:row>
    <x:row r="4">
      <x:c r="A4" s="16" t="str">
        <x:v>대상</x:v>
      </x:c>
      <x:c r="B4" s="16" t="str">
        <x:v>광고문구, 제품 설명, 후기, 리뷰, 상세페이지, 홍보 이미지, AI 인플루언서</x:v>
      </x:c>
    </x:row>
    <x:row r="5">
      <x:c r="A5" s="16" t="str">
        <x:v>핵심 이슈</x:v>
      </x:c>
      <x:c r="B5" s="16" t="str">
        <x:v>허위표현, 소비자 오인, 과장광고, 책임소재</x:v>
      </x:c>
    </x:row>
    <x:row r="6">
      <x:c r="A6" s="16" t="str">
        <x:v>대표 문제</x:v>
      </x:c>
      <x:c r="B6" s="16" t="str">
        <x:v>AI가 만든 가짜 후기, 과장된 효능 표현, 실제 이용자처럼 보이는 AI 모델, 자동 생성 광고문구 무검증 사용</x:v>
      </x:c>
    </x:row>
    <x:row r="7">
      <x:c r="A7" s="16" t="str">
        <x:v>글로벌 관리 방식</x:v>
      </x:c>
      <x:c r="B7" s="16" t="str">
        <x:v>소비자보호법, 허위·기만 광고 규제, AI 사용 고지, 책임 있는 마케팅</x:v>
      </x:c>
    </x:row>
    <x:row r="8">
      <x:c r="A8" s="16" t="str">
        <x:v>연결 자료</x:v>
      </x:c>
      <x:c r="B8" s="16" t="str">
        <x:v>미국 FTC Operation AI Comply, FTC AI 사칭 규제, EU AI 생성 콘텐츠 표시 의무</x:v>
      </x:c>
    </x:row>
    <x:row r="9">
      <x:c r="A9" s="16" t="str">
        <x:v>활용 분야</x:v>
      </x:c>
      <x:c r="B9" s="16" t="str">
        <x:v>교육, 컨설팅, 보고서, 마케팅, 브랜딩, 상세페이지 제작</x:v>
      </x:c>
    </x:row>
  </x:sheetData>
  <x:mergeCells>
    <x:mergeCell ref="A1:B1"/>
  </x:mergeCells>
  <x:pageMargins left="0.7" right="0.7" top="0.75" bottom="0.75" header="0.3" footer="0.3"/>
  <x:tableParts count="1">
    <x:tablePart xmlns:r="http://schemas.openxmlformats.org/officeDocument/2006/relationships" r:id="R1279ba52fe4849f5"/>
  </x:tableParts>
</x:worksheet>
</file>

<file path=xl/worksheets/sheet24.xml><?xml version="1.0" encoding="utf-8"?>
<x:worksheet xmlns:x="http://schemas.openxmlformats.org/spreadsheetml/2006/main">
  <x:sheetFormatPr defaultRowHeight="15"/>
  <x:cols>
    <x:col min="1" max="1" width="18" hidden="0" customWidth="1"/>
    <x:col min="2" max="2" width="42" hidden="0" customWidth="1"/>
  </x:cols>
  <x:sheetData>
    <x:row r="1" ht="24" customHeight="1">
      <x:c r="A1" s="32" t="str">
        <x:v>표 21. AI툴 윤리</x:v>
      </x:c>
    </x:row>
    <x:row r="3">
      <x:c r="A3" s="40" t="str">
        <x:v>항목</x:v>
      </x:c>
      <x:c r="B3" s="40" t="str">
        <x:v>내용</x:v>
      </x:c>
    </x:row>
    <x:row r="4">
      <x:c r="A4" s="16" t="str">
        <x:v>대상</x:v>
      </x:c>
      <x:c r="B4" s="16" t="str">
        <x:v>ChatGPT, Claude, Gemini, Copilot, Midjourney, 이미지·음성·영상 생성툴, 자동화 도구</x:v>
      </x:c>
    </x:row>
    <x:row r="5">
      <x:c r="A5" s="16" t="str">
        <x:v>핵심 이슈</x:v>
      </x:c>
      <x:c r="B5" s="16" t="str">
        <x:v>도구남용, 책임소재, 결과편향, 개인정보 입력, 검증 부족</x:v>
      </x:c>
    </x:row>
    <x:row r="6">
      <x:c r="A6" s="16" t="str">
        <x:v>대표 문제</x:v>
      </x:c>
      <x:c r="B6" s="16" t="str">
        <x:v>비전문가가 AI 결과를 검증 없이 배포, 기업 내부자료 입력, 편향된 결과물 사용, AI 결과를 전문가 의견처럼 제시</x:v>
      </x:c>
    </x:row>
    <x:row r="7">
      <x:c r="A7" s="16" t="str">
        <x:v>글로벌 관리 방식</x:v>
      </x:c>
      <x:c r="B7" s="16" t="str">
        <x:v>위험관리 프레임워크, 조직 거버넌스, 투명성, 인간 감독, 기록관리, 영향평가</x:v>
      </x:c>
    </x:row>
    <x:row r="8">
      <x:c r="A8" s="16" t="str">
        <x:v>연결 자료</x:v>
      </x:c>
      <x:c r="B8" s="16" t="str">
        <x:v>NIST AI RMF, 호주 Guidance for AI Adoption, 싱가포르 생성형 AI 거버넌스 프레임워크, 캐나다 생성형 AI 자율 행동강령</x:v>
      </x:c>
    </x:row>
    <x:row r="9">
      <x:c r="A9" s="16" t="str">
        <x:v>활용 분야</x:v>
      </x:c>
      <x:c r="B9" s="16" t="str">
        <x:v>교육, 인증, 컨설팅, 조직 내부교육, 공공기관 교육</x:v>
      </x:c>
    </x:row>
  </x:sheetData>
  <x:mergeCells>
    <x:mergeCell ref="A1:B1"/>
  </x:mergeCells>
  <x:pageMargins left="0.7" right="0.7" top="0.75" bottom="0.75" header="0.3" footer="0.3"/>
  <x:tableParts count="1">
    <x:tablePart xmlns:r="http://schemas.openxmlformats.org/officeDocument/2006/relationships" r:id="R0d2aac9dc0be49a3"/>
  </x:tableParts>
</x:worksheet>
</file>

<file path=xl/worksheets/sheet25.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28" hidden="0" customWidth="1"/>
    <x:col min="5" max="5" width="28" hidden="0" customWidth="1"/>
    <x:col min="6" max="6" width="42" hidden="0" customWidth="1"/>
    <x:col min="7" max="7" width="18" hidden="0" customWidth="1"/>
    <x:col min="8" max="8" width="42" hidden="0" customWidth="1"/>
  </x:cols>
  <x:sheetData>
    <x:row r="1" ht="24" customHeight="1">
      <x:c r="A1" s="32" t="str">
        <x:v>표 22. 3. DB에는 이렇게 새 시트를 추가하는 게 맞음</x:v>
      </x:c>
    </x:row>
    <x:row r="3">
      <x:c r="A3" s="40" t="str">
        <x:v>대분류</x:v>
      </x:c>
      <x:c r="B3" s="40" t="str">
        <x:v>세부분류</x:v>
      </x:c>
      <x:c r="C3" s="40" t="str">
        <x:v>대상 콘텐츠</x:v>
      </x:c>
      <x:c r="D3" s="40" t="str">
        <x:v>핵심 이슈</x:v>
      </x:c>
      <x:c r="E3" s="40" t="str">
        <x:v>대표 문제</x:v>
      </x:c>
      <x:c r="F3" s="40" t="str">
        <x:v>관련 공식자료</x:v>
      </x:c>
      <x:c r="G3" s="40" t="str">
        <x:v>적용 분야</x:v>
      </x:c>
      <x:c r="H3" s="40" t="str">
        <x:v>교육 포인트</x:v>
      </x:c>
    </x:row>
    <x:row r="4">
      <x:c r="A4" s="16"/>
      <x:c r="B4" s="16"/>
      <x:c r="C4" s="16"/>
      <x:c r="D4" s="16"/>
      <x:c r="E4" s="16"/>
      <x:c r="F4" s="16"/>
      <x:c r="G4" s="16"/>
      <x:c r="H4" s="16"/>
    </x:row>
  </x:sheetData>
  <x:mergeCells>
    <x:mergeCell ref="A1:H1"/>
  </x:mergeCells>
  <x:pageMargins left="0.7" right="0.7" top="0.75" bottom="0.75" header="0.3" footer="0.3"/>
  <x:tableParts count="1">
    <x:tablePart xmlns:r="http://schemas.openxmlformats.org/officeDocument/2006/relationships" r:id="R7d2c541ccb3545a2"/>
  </x:tableParts>
</x:worksheet>
</file>

<file path=xl/worksheets/sheet26.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28" hidden="0" customWidth="1"/>
    <x:col min="5" max="5" width="28" hidden="0" customWidth="1"/>
    <x:col min="6" max="6" width="42" hidden="0" customWidth="1"/>
    <x:col min="7" max="7" width="18" hidden="0" customWidth="1"/>
  </x:cols>
  <x:sheetData>
    <x:row r="1" ht="24" customHeight="1">
      <x:c r="A1" s="32" t="str">
        <x:v>표 23. 3. DB에는 이렇게 새 시트를 추가하는 게 맞음</x:v>
      </x:c>
    </x:row>
    <x:row r="3">
      <x:c r="A3" s="40" t="str">
        <x:v>대분류</x:v>
      </x:c>
      <x:c r="B3" s="40" t="str">
        <x:v>세부분류</x:v>
      </x:c>
      <x:c r="C3" s="40" t="str">
        <x:v>대상 콘텐츠</x:v>
      </x:c>
      <x:c r="D3" s="40" t="str">
        <x:v>핵심 이슈</x:v>
      </x:c>
      <x:c r="E3" s="40" t="str">
        <x:v>대표 문제</x:v>
      </x:c>
      <x:c r="F3" s="40" t="str">
        <x:v>관련 공식자료</x:v>
      </x:c>
      <x:c r="G3" s="40" t="str">
        <x:v>적용 분야</x:v>
      </x:c>
    </x:row>
    <x:row r="4">
      <x:c r="A4" s="16" t="str">
        <x:v>콘텐츠 윤리</x:v>
      </x:c>
      <x:c r="B4" s="16" t="str">
        <x:v>AI 문서윤리</x:v>
      </x:c>
      <x:c r="C4" s="16" t="str">
        <x:v>보고서, 기획서, 안내문, 시험답안</x:v>
      </x:c>
      <x:c r="D4" s="16" t="str">
        <x:v>허위정보, 표절, 저작권</x:v>
      </x:c>
      <x:c r="E4" s="16" t="str">
        <x:v>출처 불명, 자동 작성 남용</x:v>
      </x:c>
      <x:c r="F4" s="16" t="str">
        <x:v>UNESCO, NIST, Copyright Office</x:v>
      </x:c>
      <x:c r="G4" s="16" t="str">
        <x:v>교육, 시험, 보고서</x:v>
      </x:c>
    </x:row>
    <x:row r="5">
      <x:c r="A5" s="16" t="str">
        <x:v>콘텐츠 윤리</x:v>
      </x:c>
      <x:c r="B5" s="16" t="str">
        <x:v>AI 음성윤리</x:v>
      </x:c>
      <x:c r="C5" s="16" t="str">
        <x:v>안내음성, 음성복제, 보이스봇</x:v>
      </x:c>
      <x:c r="D5" s="16" t="str">
        <x:v>동의, 사칭, 도용</x:v>
      </x:c>
      <x:c r="E5" s="16" t="str">
        <x:v>음성 클로닝, 보이스피싱</x:v>
      </x:c>
      <x:c r="F5" s="16" t="str">
        <x:v>FCC, FTC, China CAC</x:v>
      </x:c>
      <x:c r="G5" s="16" t="str">
        <x:v>교육, 컨설팅, 보고서</x:v>
      </x:c>
    </x:row>
    <x:row r="6">
      <x:c r="A6" s="16" t="str">
        <x:v>콘텐츠 윤리</x:v>
      </x:c>
      <x:c r="B6" s="16" t="str">
        <x:v>AI 영상윤리</x:v>
      </x:c>
      <x:c r="C6" s="16" t="str">
        <x:v>딥페이크, 합성영상</x:v>
      </x:c>
      <x:c r="D6" s="16" t="str">
        <x:v>딥페이크, 초상권, 표시책임</x:v>
      </x:c>
      <x:c r="E6" s="16" t="str">
        <x:v>얼굴 합성, 가짜 영상</x:v>
      </x:c>
      <x:c r="F6" s="16" t="str">
        <x:v>EU AI Act, China CAC</x:v>
      </x:c>
      <x:c r="G6" s="16" t="str">
        <x:v>교육, 인증, 컨설팅</x:v>
      </x:c>
    </x:row>
    <x:row r="7">
      <x:c r="A7" s="16" t="str">
        <x:v>콘텐츠 윤리</x:v>
      </x:c>
      <x:c r="B7" s="16" t="str">
        <x:v>AI 이미지윤리</x:v>
      </x:c>
      <x:c r="C7" s="16" t="str">
        <x:v>생성 이미지, 시각자료</x:v>
      </x:c>
      <x:c r="D7" s="16" t="str">
        <x:v>스타일모방, 출처, 저작권</x:v>
      </x:c>
      <x:c r="E7" s="16" t="str">
        <x:v>작가풍 모방, 이미지 재가공</x:v>
      </x:c>
      <x:c r="F7" s="16" t="str">
        <x:v>Copyright Office, KCC, China CAC</x:v>
      </x:c>
      <x:c r="G7" s="16" t="str">
        <x:v>교육, 보고서</x:v>
      </x:c>
    </x:row>
    <x:row r="8">
      <x:c r="A8" s="16" t="str">
        <x:v>마케팅 윤리</x:v>
      </x:c>
      <x:c r="B8" s="16" t="str">
        <x:v>AI 광고·홍보윤리</x:v>
      </x:c>
      <x:c r="C8" s="16" t="str">
        <x:v>광고문구, 홍보물, 리뷰</x:v>
      </x:c>
      <x:c r="D8" s="16" t="str">
        <x:v>허위표현, 소비자오인</x:v>
      </x:c>
      <x:c r="E8" s="16" t="str">
        <x:v>과장광고, 가짜후기</x:v>
      </x:c>
      <x:c r="F8" s="16" t="str">
        <x:v>FTC, EU AI Act</x:v>
      </x:c>
      <x:c r="G8" s="16" t="str">
        <x:v>교육, 컨설팅, 보고서</x:v>
      </x:c>
    </x:row>
    <x:row r="9">
      <x:c r="A9" s="16" t="str">
        <x:v>도구 활용 윤리</x:v>
      </x:c>
      <x:c r="B9" s="16" t="str">
        <x:v>AI툴 윤리</x:v>
      </x:c>
      <x:c r="C9" s="16" t="str">
        <x:v>생성형 AI 도구 전반</x:v>
      </x:c>
      <x:c r="D9" s="16" t="str">
        <x:v>도구남용, 책임소재, 편향</x:v>
      </x:c>
      <x:c r="E9" s="16" t="str">
        <x:v>검증 없는 배포</x:v>
      </x:c>
      <x:c r="F9" s="16" t="str">
        <x:v>NIST, Australia, Singapore</x:v>
      </x:c>
      <x:c r="G9" s="16" t="str">
        <x:v>교육, 인증</x:v>
      </x:c>
    </x:row>
  </x:sheetData>
  <x:mergeCells>
    <x:mergeCell ref="A1:G1"/>
  </x:mergeCells>
  <x:pageMargins left="0.7" right="0.7" top="0.75" bottom="0.75" header="0.3" footer="0.3"/>
  <x:tableParts count="1">
    <x:tablePart xmlns:r="http://schemas.openxmlformats.org/officeDocument/2006/relationships" r:id="Rc4e1e77c890045a2"/>
  </x:tableParts>
</x:worksheet>
</file>

<file path=xl/worksheets/sheet27.xml><?xml version="1.0" encoding="utf-8"?>
<x:worksheet xmlns:x="http://schemas.openxmlformats.org/spreadsheetml/2006/main">
  <x:sheetFormatPr defaultRowHeight="15"/>
  <x:cols>
    <x:col min="1" max="1" width="18" hidden="0" customWidth="1"/>
    <x:col min="2" max="2" width="18" hidden="0" customWidth="1"/>
    <x:col min="3" max="3" width="42" hidden="0" customWidth="1"/>
    <x:col min="4" max="4" width="28" hidden="0" customWidth="1"/>
    <x:col min="5" max="5" width="28" hidden="0" customWidth="1"/>
    <x:col min="6" max="6" width="42" hidden="0" customWidth="1"/>
    <x:col min="7" max="7" width="42" hidden="0" customWidth="1"/>
    <x:col min="8" max="8" width="18" hidden="0" customWidth="1"/>
  </x:cols>
  <x:sheetData>
    <x:row r="1" ht="24" customHeight="1">
      <x:c r="A1" s="32" t="str">
        <x:v>표 24. 8. 기능별 + 산업별 AI 윤리 표 요청</x:v>
      </x:c>
    </x:row>
    <x:row r="3">
      <x:c r="A3" s="40" t="str">
        <x:v>구분</x:v>
      </x:c>
      <x:c r="B3" s="40" t="str">
        <x:v>세부분류</x:v>
      </x:c>
      <x:c r="C3" s="40" t="str">
        <x:v>윤리 기준 정의</x:v>
      </x:c>
      <x:c r="D3" s="40" t="str">
        <x:v>핵심 이슈</x:v>
      </x:c>
      <x:c r="E3" s="40" t="str">
        <x:v>적용 장면</x:v>
      </x:c>
      <x:c r="F3" s="40" t="str">
        <x:v>글로벌 규제·가이드 적용 방식</x:v>
      </x:c>
      <x:c r="G3" s="40" t="str">
        <x:v>대표 공식자료 / 링크</x:v>
      </x:c>
      <x:c r="H3" s="40" t="str">
        <x:v>별도 규제 여부</x:v>
      </x:c>
    </x:row>
    <x:row r="4">
      <x:c r="A4" s="16" t="str">
        <x:v>기능별</x:v>
      </x:c>
      <x:c r="B4" s="16" t="str">
        <x:v>AI 문서윤리</x:v>
      </x:c>
      <x:c r="C4" s="16" t="str">
        <x:v>문서, 보고서, 기획서, 안내문 작성 과정에서 필요한 신뢰와 출처의 기준</x:v>
      </x:c>
      <x:c r="D4" s="16" t="str">
        <x:v>허위정보, 표절, 저작권, 출처 불명</x:v>
      </x:c>
      <x:c r="E4" s="16" t="str">
        <x:v>교육, 시험, 보고서, 컨설팅</x:v>
      </x:c>
      <x:c r="F4" s="16" t="str">
        <x:v>교육·연구 분야에서는 생성형 AI 활용 가이드, 저작권 분야에서는 AI 산출물의 저작권성·인간 창작 기여도 기준으로 관리</x:v>
      </x:c>
      <x:c r="G4" s="16" t="str">
        <x:v>UNESCO 생성형 AI 교육·연구 가이드, NIST GenAI Profile, U.S. Copyright Office AI Report</x:v>
      </x:c>
      <x:c r="H4" s="16" t="str">
        <x:v>부분 적용</x:v>
      </x:c>
    </x:row>
    <x:row r="5">
      <x:c r="A5" s="16" t="str">
        <x:v>기능별</x:v>
      </x:c>
      <x:c r="B5" s="16" t="str">
        <x:v>AI 음성윤리</x:v>
      </x:c>
      <x:c r="C5" s="16" t="str">
        <x:v>음성 생성·복제·안내 음성 활용 시 필요한 동의와 책임 기준</x:v>
      </x:c>
      <x:c r="D5" s="16" t="str">
        <x:v>동의, 사칭, 도용, 보이스피싱</x:v>
      </x:c>
      <x:c r="E5" s="16" t="str">
        <x:v>교육, 상담, 안내방송, 컨설팅, 보고서</x:v>
      </x:c>
      <x:c r="F5" s="16" t="str">
        <x:v>AI 음성은 사칭·로보콜·디지털 복제 문제로 관리. 미국 FCC는 AI 생성 음성도 TCPA상 인공/녹음 음성 규제 대상이라고 해석</x:v>
      </x:c>
      <x:c r="G5" s="16" t="str">
        <x:v>FCC AI 생성 음성 로보콜 결정, FTC Voice Cloning Challenge, U.S. Copyright Office Digital Replicas</x:v>
      </x:c>
      <x:c r="H5" s="16" t="str">
        <x:v>비교적 명확</x:v>
      </x:c>
    </x:row>
    <x:row r="6">
      <x:c r="A6" s="16" t="str">
        <x:v>기능별</x:v>
      </x:c>
      <x:c r="B6" s="16" t="str">
        <x:v>AI 영상윤리</x:v>
      </x:c>
      <x:c r="C6" s="16" t="str">
        <x:v>합성영상·딥페이크 시대에 필요한 초상권과 조작 방지 기준</x:v>
      </x:c>
      <x:c r="D6" s="16" t="str">
        <x:v>딥페이크, 초상권, 표시책임, 신뢰 훼손</x:v>
      </x:c>
      <x:c r="E6" s="16" t="str">
        <x:v>교육, 인증, 컨설팅, 홍보영상</x:v>
      </x:c>
      <x:c r="F6" s="16" t="str">
        <x:v>EU AI Act와 2026년 AI 생성 콘텐츠 투명성 Code는 AI 생성·조작 콘텐츠 표시 의무를 다룸. 중국도 텍스트·이미지·음성·영상·가상장면 표시를 명시</x:v>
      </x:c>
      <x:c r="G6" s="16" t="str">
        <x:v>EU AI Act Article 50 / AI 생성 콘텐츠 투명성 Code, 중국 AI 생성·합성 콘텐츠 표시방법</x:v>
      </x:c>
      <x:c r="H6" s="16" t="str">
        <x:v>명확</x:v>
      </x:c>
    </x:row>
    <x:row r="7">
      <x:c r="A7" s="16" t="str">
        <x:v>기능별</x:v>
      </x:c>
      <x:c r="B7" s="16" t="str">
        <x:v>AI 이미지윤리</x:v>
      </x:c>
      <x:c r="C7" s="16" t="str">
        <x:v>생성 이미지와 시각자료 활용에 필요한 작가 권리와 출처 기준</x:v>
      </x:c>
      <x:c r="D7" s="16" t="str">
        <x:v>스타일 모방, 출처, 저작권, 초상권</x:v>
      </x:c>
      <x:c r="E7" s="16" t="str">
        <x:v>교육, 보고서, 광고, 홍보, 디자인</x:v>
      </x:c>
      <x:c r="F7" s="16" t="str">
        <x:v>저작권성, 인간 창작 기여도, 디지털 복제, 생성물 표시 기준으로 관리. 중국은 이미지도 AI 생성·합성 콘텐츠 표시 대상에 포함</x:v>
      </x:c>
      <x:c r="G7" s="16" t="str">
        <x:v>U.S. Copyright Office AI Report, 중국 AI 생성·합성 콘텐츠 표시방법, EU AI 생성 콘텐츠 투명성 Code</x:v>
      </x:c>
      <x:c r="H7" s="16" t="str">
        <x:v>명확</x:v>
      </x:c>
    </x:row>
    <x:row r="8">
      <x:c r="A8" s="16" t="str">
        <x:v>기능별</x:v>
      </x:c>
      <x:c r="B8" s="16" t="str">
        <x:v>AI 광고·홍보윤리</x:v>
      </x:c>
      <x:c r="C8" s="16" t="str">
        <x:v>광고문구와 홍보물에서 과장과 소비자 오인을 막기 위한 기준</x:v>
      </x:c>
      <x:c r="D8" s="16" t="str">
        <x:v>허위표현, 소비자 오인, 책임광고, 가짜 후기</x:v>
      </x:c>
      <x:c r="E8" s="16" t="str">
        <x:v>교육, 컨설팅, 보고서, 마케팅</x:v>
      </x:c>
      <x:c r="F8" s="16" t="str">
        <x:v>AI 광고 자체를 별도 산업법으로 묶기보다 소비자보호·기만광고·가짜 리뷰·플랫폼 투명성 기준으로 관리</x:v>
      </x:c>
      <x:c r="G8" s="16" t="str">
        <x:v>FTC Operation AI Comply, EU Digital Services Act, OECD Algorithmic Pricing and Competition</x:v>
      </x:c>
      <x:c r="H8" s="16" t="str">
        <x:v>부분 적용</x:v>
      </x:c>
    </x:row>
    <x:row r="9">
      <x:c r="A9" s="16" t="str">
        <x:v>기능별</x:v>
      </x:c>
      <x:c r="B9" s="16" t="str">
        <x:v>AI툴 윤리</x:v>
      </x:c>
      <x:c r="C9" s="16" t="str">
        <x:v>다양한 AI 도구 활용 시 도덕적 책임과 오남용 방지를 위한 기준</x:v>
      </x:c>
      <x:c r="D9" s="16" t="str">
        <x:v>도구 남용, 책임소재, 결과 편향, 개인정보 입력, 검증 부족</x:v>
      </x:c>
      <x:c r="E9" s="16" t="str">
        <x:v>교육, 인증, 컨설팅, 조직 내부교육</x:v>
      </x:c>
      <x:c r="F9" s="16" t="str">
        <x:v>특정 도구별 규제보다 AI 위험관리 프레임워크, 조직 거버넌스, 생성형 AI 위험관리 기준으로 적용</x:v>
      </x:c>
      <x:c r="G9" s="16" t="str">
        <x:v>NIST AI RMF, NIST GenAI Profile, OECD AI Principles</x:v>
      </x:c>
      <x:c r="H9" s="16" t="str">
        <x:v>횡단 적용</x:v>
      </x:c>
    </x:row>
    <x:row r="10">
      <x:c r="A10" s="16" t="str">
        <x:v>산업별</x:v>
      </x:c>
      <x:c r="B10" s="16" t="str">
        <x:v>AI 조선·반도체 윤리</x:v>
      </x:c>
      <x:c r="C10" s="16" t="str">
        <x:v>조선 및 반도체 산업 현장의 안전, 자동화, 기술보안, 공정 정확성에 필요한 기준</x:v>
      </x:c>
      <x:c r="D10" s="16" t="str">
        <x:v>기술보안, 현장안전, 공정정확성, 사이버보안</x:v>
      </x:c>
      <x:c r="E10" s="16" t="str">
        <x:v>조선소, 반도체 팹 교육, 직무 이해, 기술 유출 방지 특강</x:v>
      </x:c>
      <x:c r="F10" s="16" t="str">
        <x:v>조선은 자율운항선박 안전·사이버복원력 중심, 반도체는 국가핵심기술·공급망·기술보안 중심으로 관리. 아직 “AI 조선·반도체 윤리”라는 단일 규제는 드묾</x:v>
      </x:c>
      <x:c r="G10" s="16" t="str">
        <x:v>IMO MASS Code, KR Autonomous Ships Guidance, 한국 산업기술보호법, NIST CHIPS for America</x:v>
      </x:c>
      <x:c r="H10" s="16" t="str">
        <x:v>산업별 부분 적용</x:v>
      </x:c>
    </x:row>
    <x:row r="11">
      <x:c r="A11" s="16" t="str">
        <x:v>산업별</x:v>
      </x:c>
      <x:c r="B11" s="16" t="str">
        <x:v>AI 에너지 윤리</x:v>
      </x:c>
      <x:c r="C11" s="16" t="str">
        <x:v>에너지·환경·지속가능성·공공성을 고려하며 자원 효율성을 높이는 기준</x:v>
      </x:c>
      <x:c r="D11" s="16" t="str">
        <x:v>공공책임, 환경정보, 지속가능성, 전력·물 사용</x:v>
      </x:c>
      <x:c r="E11" s="16" t="str">
        <x:v>에너지 공공기관, 시민강좌, 탄소중립·에너지 효율 교육</x:v>
      </x:c>
      <x:c r="F11" s="16" t="str">
        <x:v>AI 자체의 전력·데이터센터 부담과 AI를 통한 에너지 효율화 효과를 함께 관리. EU AI Act는 전기·수도·가스 등 핵심 인프라 관련 AI를 고위험 영역으로 다룸</x:v>
      </x:c>
      <x:c r="G11" s="16" t="str">
        <x:v>IEA Energy and AI, OECD AI Footprint, UNEP AI 환경 영향 자료, EU AI Act</x:v>
      </x:c>
      <x:c r="H11" s="16" t="str">
        <x:v>산업별 부분 적용</x:v>
      </x:c>
    </x:row>
    <x:row r="12">
      <x:c r="A12" s="16" t="str">
        <x:v>산업별</x:v>
      </x:c>
      <x:c r="B12" s="16" t="str">
        <x:v>AI 자율주행 윤리</x:v>
      </x:c>
      <x:c r="C12" s="16" t="str">
        <x:v>긴급 상황에서의 인명 보호, 안전 우선순위, 사고 시 책임 소재 기준</x:v>
      </x:c>
      <x:c r="D12" s="16" t="str">
        <x:v>사고책임, 의사결정윤리, 안전확보, 인간개입</x:v>
      </x:c>
      <x:c r="E12" s="16" t="str">
        <x:v>자율주행 알고리즘 설계, 제조사·운영자 안전교육</x:v>
      </x:c>
      <x:c r="F12" s="16" t="str">
        <x:v>자율주행은 별도 안전규제와 윤리 권고가 비교적 명확함. UNECE, NHTSA, 독일 윤리위원회, EU CAV 윤리보고서 등이 존재</x:v>
      </x:c>
      <x:c r="G12" s="16" t="str">
        <x:v>UNECE Automated Driving, NHTSA Automated Vehicle Safety, 독일 Automated Driving Ethics Commission, EU CAV Ethics Report</x:v>
      </x:c>
      <x:c r="H12" s="16" t="str">
        <x:v>명확</x:v>
      </x:c>
    </x:row>
    <x:row r="13">
      <x:c r="A13" s="16" t="str">
        <x:v>산업별</x:v>
      </x:c>
      <x:c r="B13" s="16" t="str">
        <x:v>AI 금융 윤리</x:v>
      </x:c>
      <x:c r="C13" s="16" t="str">
        <x:v>신용평가, 대출심사, 투자 알고리즘의 공정성과 데이터 오남용 방지 기준</x:v>
      </x:c>
      <x:c r="D13" s="16" t="str">
        <x:v>알고리즘 편향, 자동화 책임, 데이터보호, 설명가능성</x:v>
      </x:c>
      <x:c r="E13" s="16" t="str">
        <x:v>금융권 AI 거버넌스, 신용평가 공정성 진단, 임직원 교육</x:v>
      </x:c>
      <x:c r="F13" s="16" t="str">
        <x:v>금융은 EU AI Act상 신용평가·신용도 평가는 고위험 AI와 연결되고, 금융감독기관들이 AI 리스크·소비자보호·공정성 기준을 별도 검토</x:v>
      </x:c>
      <x:c r="G13" s="16" t="str">
        <x:v>EBA AI Act banking mapping, EBA AI in banking/payments, UK FCA AI approach</x:v>
      </x:c>
      <x:c r="H13" s="16" t="str">
        <x:v>명확</x:v>
      </x:c>
    </x:row>
    <x:row r="14">
      <x:c r="A14" s="16" t="str">
        <x:v>산업별</x:v>
      </x:c>
      <x:c r="B14" s="16" t="str">
        <x:v>AI 공공행정 윤리</x:v>
      </x:c>
      <x:c r="C14" s="16" t="str">
        <x:v>공공서비스 자동화 과정의 인권침해 방지와 투명한 행정 기준</x:v>
      </x:c>
      <x:c r="D14" s="16" t="str">
        <x:v>시민감시 방지, 인권보호, 투명행정, 설명책임</x:v>
      </x:c>
      <x:c r="E14" s="16" t="str">
        <x:v>정부·지자체 AI 가이드라인, 공무원 AI 윤리교육</x:v>
      </x:c>
      <x:c r="F14" s="16" t="str">
        <x:v>공공부문은 알고리즘 투명성 등록, 자동화 의사결정 영향평가, AI 사용기록 공개 방식으로 관리</x:v>
      </x:c>
      <x:c r="G14" s="16" t="str">
        <x:v>UK Algorithmic Transparency Recording Standard, OECD Governing with AI, Canada Directive on Automated Decision-Making, UK AI Playbook</x:v>
      </x:c>
      <x:c r="H14" s="16" t="str">
        <x:v>명확</x:v>
      </x:c>
    </x:row>
    <x:row r="15">
      <x:c r="A15" s="16" t="str">
        <x:v>산업별</x:v>
      </x:c>
      <x:c r="B15" s="16" t="str">
        <x:v>AI 이커머스·통신 윤리</x:v>
      </x:c>
      <x:c r="C15" s="16" t="str">
        <x:v>추천시스템 공정성, 알고리즘 가격설정, 통신 데이터 프라이버시 보호 기준</x:v>
      </x:c>
      <x:c r="D15" s="16" t="str">
        <x:v>알고리즘 담합, 정보비대칭, 개인정보보호, 추천 편향</x:v>
      </x:c>
      <x:c r="E15" s="16" t="str">
        <x:v>이커머스 추천 알고리즘 진단, 통신사 고객 데이터 활용 가이드</x:v>
      </x:c>
      <x:c r="F15" s="16" t="str">
        <x:v>이커머스는 DSA의 추천·광고 투명성과 OECD의 알고리즘 가격·담합 논의로 관리. 통신은 BEREC·ITU 중심으로 AI 네트워크 운영, 프라이버시, 규제 영향 검토</x:v>
      </x:c>
      <x:c r="G15" s="16" t="str">
        <x:v>EU Digital Services Act, OECD Algorithmic Pricing and Competition, BEREC AI in Telecommunications, ITU AI Standards for Global Impact</x:v>
      </x:c>
      <x:c r="H15" s="16" t="str">
        <x:v>부분 적용</x:v>
      </x:c>
    </x:row>
  </x:sheetData>
  <x:mergeCells>
    <x:mergeCell ref="A1:H1"/>
  </x:mergeCells>
  <x:pageMargins left="0.7" right="0.7" top="0.75" bottom="0.75" header="0.3" footer="0.3"/>
  <x:tableParts count="1">
    <x:tablePart xmlns:r="http://schemas.openxmlformats.org/officeDocument/2006/relationships" r:id="Rc2dc926806ce4788"/>
  </x:tableParts>
</x:worksheet>
</file>