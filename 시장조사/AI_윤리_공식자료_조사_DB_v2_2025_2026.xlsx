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cbae99381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변경요약" sheetId="1" r:id="R05519029d1e24a2f"/>
    <x:sheet xmlns:r="http://schemas.openxmlformats.org/officeDocument/2006/relationships" name="01_DB_v2" sheetId="2" r:id="R9941cbf2eba74327"/>
    <x:sheet xmlns:r="http://schemas.openxmlformats.org/officeDocument/2006/relationships" name="02_2025-26최신" sheetId="3" r:id="R2dd65a8300904d98"/>
    <x:sheet xmlns:r="http://schemas.openxmlformats.org/officeDocument/2006/relationships" name="03_권역별점검" sheetId="4" r:id="Ra6c378d33c3441cb"/>
    <x:sheet xmlns:r="http://schemas.openxmlformats.org/officeDocument/2006/relationships" name="04_산업분야매핑" sheetId="5" r:id="R0d6623d0acdf4690"/>
    <x:sheet xmlns:r="http://schemas.openxmlformats.org/officeDocument/2006/relationships" name="05_링크점검" sheetId="6" r:id="R2be6673e998a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9"/>
      <x:color rgb="FFFFFFFF"/>
      <x:name val="Carlito"/>
    </x:font>
    <x:font>
      <x:sz val="8"/>
      <x:name val="Carlito"/>
    </x:font>
    <x:font>
      <x:sz val="7"/>
      <x:color rgb="FF1D4ED8"/>
      <x:name val="Carlito"/>
    </x:font>
    <x:font>
      <x:sz val="8"/>
      <x:color rgb="FF1D4ED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e39293ecc4b0a" /><Relationship Type="http://schemas.openxmlformats.org/officeDocument/2006/relationships/theme" Target="/xl/theme/theme1.xml" Id="Ra156023c58894e49" /><Relationship Type="http://schemas.openxmlformats.org/officeDocument/2006/relationships/sharedStrings" Target="/xl/sharedStrings.xml" Id="Re9540747b0e646b4" /><Relationship Type="http://schemas.openxmlformats.org/officeDocument/2006/relationships/worksheet" Target="/xl/worksheets/sheet1.xml" Id="R05519029d1e24a2f" /><Relationship Type="http://schemas.openxmlformats.org/officeDocument/2006/relationships/worksheet" Target="/xl/worksheets/sheet2.xml" Id="R9941cbf2eba74327" /><Relationship Type="http://schemas.openxmlformats.org/officeDocument/2006/relationships/worksheet" Target="/xl/worksheets/sheet3.xml" Id="R2dd65a8300904d98" /><Relationship Type="http://schemas.openxmlformats.org/officeDocument/2006/relationships/worksheet" Target="/xl/worksheets/sheet4.xml" Id="Ra6c378d33c3441cb" /><Relationship Type="http://schemas.openxmlformats.org/officeDocument/2006/relationships/worksheet" Target="/xl/worksheets/sheet5.xml" Id="R0d6623d0acdf4690" /><Relationship Type="http://schemas.openxmlformats.org/officeDocument/2006/relationships/worksheet" Target="/xl/worksheets/sheet6.xml" Id="R2be6673e998a4ef4" /></Relationships>
</file>

<file path=xl/tables/table1.xml><?xml version="1.0" encoding="utf-8"?>
<x:table xmlns:x="http://schemas.openxmlformats.org/spreadsheetml/2006/main" id="1" name="SummaryTable" displayName="SummaryTable" ref="A1:B8" headerRowCount="1">
  <x:tableColumns count="2">
    <x:tableColumn id="1" name="구분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OfficialDBTable" displayName="OfficialDBTable" ref="A1:L99" headerRowCount="1">
  <x:tableColumns count="12">
    <x:tableColumn id="1" name="대분류"/>
    <x:tableColumn id="2" name="권역"/>
    <x:tableColumn id="3" name="세부권역"/>
    <x:tableColumn id="4" name="국가/기관"/>
    <x:tableColumn id="5" name="자료명"/>
    <x:tableColumn id="6" name="연도/상태"/>
    <x:tableColumn id="7" name="분야/카테고리"/>
    <x:tableColumn id="8" name="핵심 내용(압축)"/>
    <x:tableColumn id="9" name="최신성"/>
    <x:tableColumn id="10" name="접근성/비고"/>
    <x:tableColumn id="11" name="클릭"/>
    <x:tableColumn id="12" name="URL원문"/>
  </x:tableColumns>
  <x:tableStyleInfo name="TableStyleMedium2" showRowStripes="1"/>
</x:table>
</file>

<file path=xl/tables/table3.xml><?xml version="1.0" encoding="utf-8"?>
<x:table xmlns:x="http://schemas.openxmlformats.org/spreadsheetml/2006/main" id="3" name="LatestTable" displayName="LatestTable" ref="A1:L70" headerRowCount="1">
  <x:tableColumns count="12">
    <x:tableColumn id="1" name="대분류"/>
    <x:tableColumn id="2" name="권역"/>
    <x:tableColumn id="3" name="세부권역"/>
    <x:tableColumn id="4" name="국가/기관"/>
    <x:tableColumn id="5" name="자료명"/>
    <x:tableColumn id="6" name="연도/상태"/>
    <x:tableColumn id="7" name="분야/카테고리"/>
    <x:tableColumn id="8" name="핵심 내용(압축)"/>
    <x:tableColumn id="9" name="최신성"/>
    <x:tableColumn id="10" name="접근성/비고"/>
    <x:tableColumn id="11" name="클릭"/>
    <x:tableColumn id="12" name="URL원문"/>
  </x:tableColumns>
  <x:tableStyleInfo name="TableStyleMedium2" showRowStripes="1"/>
</x:table>
</file>

<file path=xl/tables/table4.xml><?xml version="1.0" encoding="utf-8"?>
<x:table xmlns:x="http://schemas.openxmlformats.org/spreadsheetml/2006/main" id="4" name="RegionTable" displayName="RegionTable" ref="A1:E29" headerRowCount="1">
  <x:tableColumns count="5">
    <x:tableColumn id="1" name="권역"/>
    <x:tableColumn id="2" name="세부권역"/>
    <x:tableColumn id="3" name="수록자료수"/>
    <x:tableColumn id="4" name="주요 포함 국가/기관"/>
    <x:tableColumn id="5" name="보강 메모"/>
  </x:tableColumns>
  <x:tableStyleInfo name="TableStyleMedium2" showRowStripes="1"/>
</x:table>
</file>

<file path=xl/tables/table5.xml><?xml version="1.0" encoding="utf-8"?>
<x:table xmlns:x="http://schemas.openxmlformats.org/spreadsheetml/2006/main" id="5" name="SectorMapTable" displayName="SectorMapTable" ref="A1:H26" headerRowCount="1">
  <x:tableColumns count="8">
    <x:tableColumn id="1" name="권역"/>
    <x:tableColumn id="2" name="국가/기관"/>
    <x:tableColumn id="3" name="산업/분야"/>
    <x:tableColumn id="4" name="도입 방식"/>
    <x:tableColumn id="5" name="대표 공식자료"/>
    <x:tableColumn id="6" name="핵심 윤리 리스크"/>
    <x:tableColumn id="7" name="클릭"/>
    <x:tableColumn id="8" name="URL원문"/>
  </x:tableColumns>
  <x:tableStyleInfo name="TableStyleMedium2" showRowStripes="1"/>
</x:table>
</file>

<file path=xl/tables/table6.xml><?xml version="1.0" encoding="utf-8"?>
<x:table xmlns:x="http://schemas.openxmlformats.org/spreadsheetml/2006/main" id="6" name="LinkCheckTable" displayName="LinkCheckTable" ref="A1:C7" headerRowCount="1">
  <x:tableColumns count="3">
    <x:tableColumn id="1" name="항목"/>
    <x:tableColumn id="2" name="설명"/>
    <x:tableColumn id="3" name="대응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ed4fc05f8b4d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1dd329daa14b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cd48d8e36f4c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75f29863dae4d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630eae6081449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fb4c4e4fa25485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8" customHeight="1">
      <x:c r="A1" s="6" t="str">
        <x:v>구분</x:v>
      </x:c>
      <x:c r="B1" s="6" t="str">
        <x:v>내용</x:v>
      </x:c>
    </x:row>
    <x:row r="2">
      <x:c r="A2" s="14" t="str">
        <x:v>파일명</x:v>
      </x:c>
      <x:c r="B2" s="14" t="str">
        <x:v>AI_윤리_공식자료_조사_DB_v2_2025_2026.xlsx</x:v>
      </x:c>
    </x:row>
    <x:row r="3">
      <x:c r="A3" s="14" t="str">
        <x:v>작성 기준일</x:v>
      </x:c>
      <x:c r="B3" s="14" t="str">
        <x:v>2026-06-22</x:v>
      </x:c>
    </x:row>
    <x:row r="4">
      <x:c r="A4" s="14" t="str">
        <x:v>총 공식자료 수</x:v>
      </x:c>
      <x:c r="B4" s="14" t="n">
        <x:v>98</x:v>
      </x:c>
    </x:row>
    <x:row r="5">
      <x:c r="A5" s="14" t="str">
        <x:v>2025~2026 최신자료 수</x:v>
      </x:c>
      <x:c r="B5" s="14" t="n">
        <x:v>69</x:v>
      </x:c>
    </x:row>
    <x:row r="6">
      <x:c r="A6" s="14" t="str">
        <x:v>주요 보강 방향</x:v>
      </x:c>
      <x:c r="B6" s="14" t="str">
        <x:v>2025~2026 자료, 북유럽/남미/아시아/북태평양 권역 점검, 독일·프랑스 등 EU 회원국별 자료, 산업·분야별 매핑</x:v>
      </x:c>
    </x:row>
    <x:row r="7">
      <x:c r="A7" s="14" t="str">
        <x:v>링크 처리 방식</x:v>
      </x:c>
      <x:c r="B7" s="14" t="str">
        <x:v>클릭용 HYPERLINK 열 + URL원문 열 동시 제공</x:v>
      </x:c>
    </x:row>
    <x:row r="8">
      <x:c r="A8" s="14" t="str">
        <x:v>hu-tec 페이지 결과</x:v>
      </x:c>
      <x:c r="B8" s="14" t="str">
        <x:v>링크는 열리나 SPA라 본문 텍스트 추출이 어려워 산업/분야별 구조를 별도 시트로 재구성</x:v>
      </x:c>
    </x:row>
  </x:sheetData>
  <x:pageMargins left="0.7" right="0.7" top="0.75" bottom="0.75" header="0.3" footer="0.3"/>
  <x:tableParts count="1">
    <x:tablePart xmlns:r="http://schemas.openxmlformats.org/officeDocument/2006/relationships" r:id="Rf7ed4fc05f8b4d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8" hidden="0" customWidth="1"/>
    <x:col min="5" max="5" width="34" hidden="0" customWidth="1"/>
    <x:col min="6" max="6" width="14" hidden="0" customWidth="1"/>
    <x:col min="7" max="7" width="18" hidden="0" customWidth="1"/>
    <x:col min="8" max="8" width="42" hidden="0" customWidth="1"/>
    <x:col min="9" max="9" width="10" hidden="0" customWidth="1"/>
    <x:col min="10" max="10" width="18" hidden="0" customWidth="1"/>
    <x:col min="11" max="11" width="8" hidden="0" customWidth="1"/>
    <x:col min="12" max="12" width="58" hidden="0" customWidth="1"/>
  </x:cols>
  <x:sheetData>
    <x:row r="1" ht="28" customHeight="1">
      <x:c r="A1" s="6" t="str">
        <x:v>대분류</x:v>
      </x:c>
      <x:c r="B1" s="6" t="str">
        <x:v>권역</x:v>
      </x:c>
      <x:c r="C1" s="6" t="str">
        <x:v>세부권역</x:v>
      </x:c>
      <x:c r="D1" s="6" t="str">
        <x:v>국가/기관</x:v>
      </x:c>
      <x:c r="E1" s="6" t="str">
        <x:v>자료명</x:v>
      </x:c>
      <x:c r="F1" s="6" t="str">
        <x:v>연도/상태</x:v>
      </x:c>
      <x:c r="G1" s="6" t="str">
        <x:v>분야/카테고리</x:v>
      </x:c>
      <x:c r="H1" s="6" t="str">
        <x:v>핵심 내용(압축)</x:v>
      </x:c>
      <x:c r="I1" s="6" t="str">
        <x:v>최신성</x:v>
      </x:c>
      <x:c r="J1" s="6" t="str">
        <x:v>접근성/비고</x:v>
      </x:c>
      <x:c r="K1" s="6" t="str">
        <x:v>클릭</x:v>
      </x:c>
      <x:c r="L1" s="6" t="str">
        <x:v>URL원문</x:v>
      </x:c>
    </x:row>
    <x:row r="2" ht="36" customHeight="1">
      <x:c r="A2" s="14" t="str">
        <x:v>기관별</x:v>
      </x:c>
      <x:c r="B2" s="14" t="str">
        <x:v>글로벌</x:v>
      </x:c>
      <x:c r="C2" s="14" t="str">
        <x:v>국제기구</x:v>
      </x:c>
      <x:c r="D2" s="14" t="str">
        <x:v>OECD</x:v>
      </x:c>
      <x:c r="E2" s="14" t="str">
        <x:v>OECD AI Principles</x:v>
      </x:c>
      <x:c r="F2" s="14" t="str">
        <x:v>2019 채택 / 2024 업데이트</x:v>
      </x:c>
      <x:c r="G2" s="14" t="str">
        <x:v>공통 원칙</x:v>
      </x:c>
      <x:c r="H2" s="14" t="str">
        <x:v>인권·민주적 가치·신뢰 가능한 AI를 위한 5대 가치 원칙과 5대 정책 권고</x:v>
      </x:c>
      <x:c r="I2" s="14" t="str">
        <x:v>2024</x:v>
      </x:c>
      <x:c r="J2" s="14" t="str">
        <x:v>공식 페이지</x:v>
      </x:c>
      <x:c r="K2" s="21" t="e">
        <x:f>HYPERLINK("https://www.oecd.org/en/topics/ai-principles.html","열기")</x:f>
      </x:c>
      <x:c r="L2" s="18" t="str">
        <x:v>https://www.oecd.org/en/topics/ai-principles.html</x:v>
      </x:c>
    </x:row>
    <x:row r="3" ht="36" customHeight="1">
      <x:c r="A3" s="14" t="str">
        <x:v>기관별</x:v>
      </x:c>
      <x:c r="B3" s="14" t="str">
        <x:v>글로벌</x:v>
      </x:c>
      <x:c r="C3" s="14" t="str">
        <x:v>국제기구</x:v>
      </x:c>
      <x:c r="D3" s="14" t="str">
        <x:v>OECD</x:v>
      </x:c>
      <x:c r="E3" s="14" t="str">
        <x:v>Recommendation on Artificial Intelligence</x:v>
      </x:c>
      <x:c r="F3" s="14" t="str">
        <x:v>2024 개정</x:v>
      </x:c>
      <x:c r="G3" s="14" t="str">
        <x:v>공통 원칙/정책</x:v>
      </x:c>
      <x:c r="H3" s="14" t="str">
        <x:v>AI 시스템 정의와 신뢰 가능한 AI 정책 기준을 제시하는 OECD 법적 문서</x:v>
      </x:c>
      <x:c r="I3" s="14" t="str">
        <x:v>2024</x:v>
      </x:c>
      <x:c r="J3" s="14" t="str">
        <x:v>공식 법적 문서</x:v>
      </x:c>
      <x:c r="K3" s="21" t="e">
        <x:f>HYPERLINK("https://legalinstruments.oecd.org/en/instruments/oecd-legal-0449","열기")</x:f>
      </x:c>
      <x:c r="L3" s="18" t="str">
        <x:v>https://legalinstruments.oecd.org/en/instruments/oecd-legal-0449</x:v>
      </x:c>
    </x:row>
    <x:row r="4" ht="36" customHeight="1">
      <x:c r="A4" s="14" t="str">
        <x:v>기관별</x:v>
      </x:c>
      <x:c r="B4" s="14" t="str">
        <x:v>글로벌</x:v>
      </x:c>
      <x:c r="C4" s="14" t="str">
        <x:v>국제기구</x:v>
      </x:c>
      <x:c r="D4" s="14" t="str">
        <x:v>UNESCO</x:v>
      </x:c>
      <x:c r="E4" s="14" t="str">
        <x:v>Recommendation on the Ethics of AI</x:v>
      </x:c>
      <x:c r="F4" s="14" t="str">
        <x:v>2021 채택</x:v>
      </x:c>
      <x:c r="G4" s="14" t="str">
        <x:v>인권/교육/사회</x:v>
      </x:c>
      <x:c r="H4" s="14" t="str">
        <x:v>인권·존엄성·공정성·환경·인간 감독을 포함한 글로벌 AI 윤리 권고</x:v>
      </x:c>
      <x:c r="I4" s="14" t="str">
        <x:v>기초자료</x:v>
      </x:c>
      <x:c r="J4" s="14" t="str">
        <x:v>공식 페이지</x:v>
      </x:c>
      <x:c r="K4" s="21" t="e">
        <x:f>HYPERLINK("https://www.unesco.org/en/articles/recommendation-ethics-artificial-intelligence","열기")</x:f>
      </x:c>
      <x:c r="L4" s="18" t="str">
        <x:v>https://www.unesco.org/en/articles/recommendation-ethics-artificial-intelligence</x:v>
      </x:c>
    </x:row>
    <x:row r="5" ht="36" customHeight="1">
      <x:c r="A5" s="14" t="str">
        <x:v>기관별</x:v>
      </x:c>
      <x:c r="B5" s="14" t="str">
        <x:v>글로벌</x:v>
      </x:c>
      <x:c r="C5" s="14" t="str">
        <x:v>교육</x:v>
      </x:c>
      <x:c r="D5" s="14" t="str">
        <x:v>UNESCO</x:v>
      </x:c>
      <x:c r="E5" s="14" t="str">
        <x:v>AI Competency Framework for Teachers</x:v>
      </x:c>
      <x:c r="F5" s="14" t="str">
        <x:v>2024 / 2026 페이지 갱신</x:v>
      </x:c>
      <x:c r="G5" s="14" t="str">
        <x:v>교육/강사역량</x:v>
      </x:c>
      <x:c r="H5" s="14" t="str">
        <x:v>교사가 갖춰야 할 AI 윤리·기초·교수법·전문성 역량 15개 제시</x:v>
      </x:c>
      <x:c r="I5" s="14" t="str">
        <x:v>2026</x:v>
      </x:c>
      <x:c r="J5" s="14" t="str">
        <x:v>공식 페이지</x:v>
      </x:c>
      <x:c r="K5" s="21" t="e">
        <x:f>HYPERLINK("https://www.unesco.org/en/articles/ai-competency-framework-teachers","열기")</x:f>
      </x:c>
      <x:c r="L5" s="18" t="str">
        <x:v>https://www.unesco.org/en/articles/ai-competency-framework-teachers</x:v>
      </x:c>
    </x:row>
    <x:row r="6" ht="36" customHeight="1">
      <x:c r="A6" s="14" t="str">
        <x:v>기관별</x:v>
      </x:c>
      <x:c r="B6" s="14" t="str">
        <x:v>글로벌</x:v>
      </x:c>
      <x:c r="C6" s="14" t="str">
        <x:v>교육</x:v>
      </x:c>
      <x:c r="D6" s="14" t="str">
        <x:v>UNESCO</x:v>
      </x:c>
      <x:c r="E6" s="14" t="str">
        <x:v>AI Competency Framework for Students</x:v>
      </x:c>
      <x:c r="F6" s="14" t="str">
        <x:v>2024 / 2026 페이지 갱신</x:v>
      </x:c>
      <x:c r="G6" s="14" t="str">
        <x:v>교육/학생역량</x:v>
      </x:c>
      <x:c r="H6" s="14" t="str">
        <x:v>학생이 AI를 안전하고 의미 있게 활용하도록 12개 역량 제시</x:v>
      </x:c>
      <x:c r="I6" s="14" t="str">
        <x:v>2026</x:v>
      </x:c>
      <x:c r="J6" s="14" t="str">
        <x:v>공식 페이지</x:v>
      </x:c>
      <x:c r="K6" s="21" t="e">
        <x:f>HYPERLINK("https://www.unesco.org/en/articles/ai-competency-framework-students","열기")</x:f>
      </x:c>
      <x:c r="L6" s="18" t="str">
        <x:v>https://www.unesco.org/en/articles/ai-competency-framework-students</x:v>
      </x:c>
    </x:row>
    <x:row r="7" ht="36" customHeight="1">
      <x:c r="A7" s="14" t="str">
        <x:v>기관별</x:v>
      </x:c>
      <x:c r="B7" s="14" t="str">
        <x:v>유럽</x:v>
      </x:c>
      <x:c r="C7" s="14" t="str">
        <x:v>국제조약</x:v>
      </x:c>
      <x:c r="D7" s="14" t="str">
        <x:v>Council of Europe</x:v>
      </x:c>
      <x:c r="E7" s="14" t="str">
        <x:v>Framework Convention on AI</x:v>
      </x:c>
      <x:c r="F7" s="14" t="str">
        <x:v>2024 서명 개시</x:v>
      </x:c>
      <x:c r="G7" s="14" t="str">
        <x:v>인권/민주주의/법치</x:v>
      </x:c>
      <x:c r="H7" s="14" t="str">
        <x:v>AI 활동을 인권·민주주의·법치주의와 일치시키는 국제 조약</x:v>
      </x:c>
      <x:c r="I7" s="14" t="str">
        <x:v>2024</x:v>
      </x:c>
      <x:c r="J7" s="14" t="str">
        <x:v>공식 페이지</x:v>
      </x:c>
      <x:c r="K7" s="21" t="e">
        <x:f>HYPERLINK("https://www.coe.int/en/web/artificial-intelligence/the-framework-convention-on-artificial-intelligence","열기")</x:f>
      </x:c>
      <x:c r="L7" s="18" t="str">
        <x:v>https://www.coe.int/en/web/artificial-intelligence/the-framework-convention-on-artificial-intelligence</x:v>
      </x:c>
    </x:row>
    <x:row r="8" ht="36" customHeight="1">
      <x:c r="A8" s="14" t="str">
        <x:v>기관별</x:v>
      </x:c>
      <x:c r="B8" s="14" t="str">
        <x:v>아시아</x:v>
      </x:c>
      <x:c r="C8" s="14" t="str">
        <x:v>ASEAN</x:v>
      </x:c>
      <x:c r="D8" s="14" t="str">
        <x:v>ASEAN</x:v>
      </x:c>
      <x:c r="E8" s="14" t="str">
        <x:v>ASEAN Guide on AI Governance and Ethics</x:v>
      </x:c>
      <x:c r="F8" s="14" t="str">
        <x:v>2024</x:v>
      </x:c>
      <x:c r="G8" s="14" t="str">
        <x:v>조직 거버넌스</x:v>
      </x:c>
      <x:c r="H8" s="14" t="str">
        <x:v>ASEAN 조직의 책임 있는 AI 설계·개발·배포를 위한 실무 가이드</x:v>
      </x:c>
      <x:c r="I8" s="14" t="str">
        <x:v>2024</x:v>
      </x:c>
      <x:c r="J8" s="14" t="str">
        <x:v>PDF</x:v>
      </x:c>
      <x:c r="K8" s="21" t="e">
        <x:f>HYPERLINK("https://asean.org/wp-content/uploads/2024/02/ASEAN-Guide-on-AI-Governance-and-Ethics_beautified_201223_v2.pdf","열기")</x:f>
      </x:c>
      <x:c r="L8" s="18" t="str">
        <x:v>https://asean.org/wp-content/uploads/2024/02/ASEAN-Guide-on-AI-Governance-and-Ethics_beautified_201223_v2.pdf</x:v>
      </x:c>
    </x:row>
    <x:row r="9" ht="36" customHeight="1">
      <x:c r="A9" s="14" t="str">
        <x:v>기관별</x:v>
      </x:c>
      <x:c r="B9" s="14" t="str">
        <x:v>아시아</x:v>
      </x:c>
      <x:c r="C9" s="14" t="str">
        <x:v>ASEAN</x:v>
      </x:c>
      <x:c r="D9" s="14" t="str">
        <x:v>ASEAN</x:v>
      </x:c>
      <x:c r="E9" s="14" t="str">
        <x:v>Expanded ASEAN Guide on AI Governance and Ethics – Generative AI</x:v>
      </x:c>
      <x:c r="F9" s="14" t="str">
        <x:v>2025</x:v>
      </x:c>
      <x:c r="G9" s="14" t="str">
        <x:v>생성형 AI</x:v>
      </x:c>
      <x:c r="H9" s="14" t="str">
        <x:v>생성형 AI 리스크와 책임 있는 도입을 위한 정책 권고 및 활용 사례</x:v>
      </x:c>
      <x:c r="I9" s="14" t="str">
        <x:v>2025</x:v>
      </x:c>
      <x:c r="J9" s="14" t="str">
        <x:v>PDF</x:v>
      </x:c>
      <x:c r="K9" s="21" t="e">
        <x:f>HYPERLINK("https://asean.org/wp-content/uploads/2025/01/Expanded-ASEAN-Guide-on-AI-Governance-and-Ethics-Generative-AI.pdf","열기")</x:f>
      </x:c>
      <x:c r="L9" s="18" t="str">
        <x:v>https://asean.org/wp-content/uploads/2025/01/Expanded-ASEAN-Guide-on-AI-Governance-and-Ethics-Generative-AI.pdf</x:v>
      </x:c>
    </x:row>
    <x:row r="10" ht="36" customHeight="1">
      <x:c r="A10" s="14" t="str">
        <x:v>기관별</x:v>
      </x:c>
      <x:c r="B10" s="14" t="str">
        <x:v>아시아</x:v>
      </x:c>
      <x:c r="C10" s="14" t="str">
        <x:v>ASEAN</x:v>
      </x:c>
      <x:c r="D10" s="14" t="str">
        <x:v>ASEAN</x:v>
      </x:c>
      <x:c r="E10" s="14" t="str">
        <x:v>ASEAN Responsible AI Roadmap 2025-2030</x:v>
      </x:c>
      <x:c r="F10" s="14" t="str">
        <x:v>2025</x:v>
      </x:c>
      <x:c r="G10" s="14" t="str">
        <x:v>지역 로드맵</x:v>
      </x:c>
      <x:c r="H10" s="14" t="str">
        <x:v>ASEAN 책임 있는 AI 생태계 조성을 위한 실행 로드맵</x:v>
      </x:c>
      <x:c r="I10" s="14" t="str">
        <x:v>2025</x:v>
      </x:c>
      <x:c r="J10" s="14" t="str">
        <x:v>PDF</x:v>
      </x:c>
      <x:c r="K10" s="21" t="e">
        <x:f>HYPERLINK("https://asean.org/wp-content/uploads/2025/02/ASEAN-Responsible-AI-Roadmap-Final.docx.pdf","열기")</x:f>
      </x:c>
      <x:c r="L10" s="18" t="str">
        <x:v>https://asean.org/wp-content/uploads/2025/02/ASEAN-Responsible-AI-Roadmap-Final.docx.pdf</x:v>
      </x:c>
    </x:row>
    <x:row r="11" ht="36" customHeight="1">
      <x:c r="A11" s="14" t="str">
        <x:v>기관별</x:v>
      </x:c>
      <x:c r="B11" s="14" t="str">
        <x:v>글로벌</x:v>
      </x:c>
      <x:c r="C11" s="14" t="str">
        <x:v>기업/ESG</x:v>
      </x:c>
      <x:c r="D11" s="14" t="str">
        <x:v>UN Global Compact</x:v>
      </x:c>
      <x:c r="E11" s="14" t="str">
        <x:v>Responsible AI Navigator</x:v>
      </x:c>
      <x:c r="F11" s="14" t="str">
        <x:v>운영 중</x:v>
      </x:c>
      <x:c r="G11" s="14" t="str">
        <x:v>ESG/기업책임</x:v>
      </x:c>
      <x:c r="H11" s="14" t="str">
        <x:v>기업이 AI 개발·구매·배포 시 인권·책임 경영을 반영하도록 돕는 도구</x:v>
      </x:c>
      <x:c r="I11" s="14" t="str">
        <x:v>현재</x:v>
      </x:c>
      <x:c r="J11" s="14" t="str">
        <x:v>공식 도구</x:v>
      </x:c>
      <x:c r="K11" s="21" t="e">
        <x:f>HYPERLINK("https://unglobalcompact.org/academy/responsible-ai-navigator","열기")</x:f>
      </x:c>
      <x:c r="L11" s="18" t="str">
        <x:v>https://unglobalcompact.org/academy/responsible-ai-navigator</x:v>
      </x:c>
    </x:row>
    <x:row r="12" ht="36" customHeight="1">
      <x:c r="A12" s="14" t="str">
        <x:v>기관별</x:v>
      </x:c>
      <x:c r="B12" s="14" t="str">
        <x:v>글로벌</x:v>
      </x:c>
      <x:c r="C12" s="14" t="str">
        <x:v>기업/거버넌스</x:v>
      </x:c>
      <x:c r="D12" s="14" t="str">
        <x:v>World Economic Forum</x:v>
      </x:c>
      <x:c r="E12" s="14" t="str">
        <x:v>AI Governance Alliance</x:v>
      </x:c>
      <x:c r="F12" s="14" t="str">
        <x:v>운영 중</x:v>
      </x:c>
      <x:c r="G12" s="14" t="str">
        <x:v>기업거버넌스</x:v>
      </x:c>
      <x:c r="H12" s="14" t="str">
        <x:v>책임 있는 AI 혁신·거버넌스·리스크 관리를 다루는 민관 협력 이니셔티브</x:v>
      </x:c>
      <x:c r="I12" s="14" t="str">
        <x:v>현재</x:v>
      </x:c>
      <x:c r="J12" s="14" t="str">
        <x:v>공식 페이지</x:v>
      </x:c>
      <x:c r="K12" s="21" t="e">
        <x:f>HYPERLINK("https://initiatives.weforum.org/ai-global-alliance/home","열기")</x:f>
      </x:c>
      <x:c r="L12" s="18" t="str">
        <x:v>https://initiatives.weforum.org/ai-global-alliance/home</x:v>
      </x:c>
    </x:row>
    <x:row r="13" ht="36" customHeight="1">
      <x:c r="A13" s="14" t="str">
        <x:v>ISO</x:v>
      </x:c>
      <x:c r="B13" s="14" t="str">
        <x:v>글로벌</x:v>
      </x:c>
      <x:c r="C13" s="14" t="str">
        <x:v>표준</x:v>
      </x:c>
      <x:c r="D13" s="14" t="str">
        <x:v>ISO/IEC</x:v>
      </x:c>
      <x:c r="E13" s="14" t="str">
        <x:v>ISO/IEC 42001:2023 AI Management System</x:v>
      </x:c>
      <x:c r="F13" s="14" t="str">
        <x:v>2023 발간</x:v>
      </x:c>
      <x:c r="G13" s="14" t="str">
        <x:v>경영시스템</x:v>
      </x:c>
      <x:c r="H13" s="14" t="str">
        <x:v>조직의 AI 개발·제공·사용을 책임 있게 관리하는 AI 경영시스템 표준</x:v>
      </x:c>
      <x:c r="I13" s="14" t="str">
        <x:v>기초자료</x:v>
      </x:c>
      <x:c r="J13" s="14" t="str">
        <x:v>공식 표준</x:v>
      </x:c>
      <x:c r="K13" s="21" t="e">
        <x:f>HYPERLINK("https://www.iso.org/standard/42001","열기")</x:f>
      </x:c>
      <x:c r="L13" s="18" t="str">
        <x:v>https://www.iso.org/standard/42001</x:v>
      </x:c>
    </x:row>
    <x:row r="14" ht="36" customHeight="1">
      <x:c r="A14" s="14" t="str">
        <x:v>ISO</x:v>
      </x:c>
      <x:c r="B14" s="14" t="str">
        <x:v>글로벌</x:v>
      </x:c>
      <x:c r="C14" s="14" t="str">
        <x:v>표준</x:v>
      </x:c>
      <x:c r="D14" s="14" t="str">
        <x:v>ISO/IEC</x:v>
      </x:c>
      <x:c r="E14" s="14" t="str">
        <x:v>ISO/IEC 23894:2023 AI Risk Management</x:v>
      </x:c>
      <x:c r="F14" s="14" t="str">
        <x:v>2023 발간</x:v>
      </x:c>
      <x:c r="G14" s="14" t="str">
        <x:v>위험관리</x:v>
      </x:c>
      <x:c r="H14" s="14" t="str">
        <x:v>AI 제품·서비스 개발·배포·사용 단계의 위험관리 지침</x:v>
      </x:c>
      <x:c r="I14" s="14" t="str">
        <x:v>기초자료</x:v>
      </x:c>
      <x:c r="J14" s="14" t="str">
        <x:v>공식 표준</x:v>
      </x:c>
      <x:c r="K14" s="21" t="e">
        <x:f>HYPERLINK("https://www.iso.org/standard/77304.html","열기")</x:f>
      </x:c>
      <x:c r="L14" s="18" t="str">
        <x:v>https://www.iso.org/standard/77304.html</x:v>
      </x:c>
    </x:row>
    <x:row r="15" ht="36" customHeight="1">
      <x:c r="A15" s="14" t="str">
        <x:v>ISO</x:v>
      </x:c>
      <x:c r="B15" s="14" t="str">
        <x:v>글로벌</x:v>
      </x:c>
      <x:c r="C15" s="14" t="str">
        <x:v>표준</x:v>
      </x:c>
      <x:c r="D15" s="14" t="str">
        <x:v>ISO/IEC</x:v>
      </x:c>
      <x:c r="E15" s="14" t="str">
        <x:v>ISO/IEC 42005:2025 AI System Impact Assessment</x:v>
      </x:c>
      <x:c r="F15" s="14" t="str">
        <x:v>2025 발간</x:v>
      </x:c>
      <x:c r="G15" s="14" t="str">
        <x:v>영향평가</x:v>
      </x:c>
      <x:c r="H15" s="14" t="str">
        <x:v>AI 시스템 영향평가를 식별·분석·문서화하는 표준</x:v>
      </x:c>
      <x:c r="I15" s="14" t="str">
        <x:v>2025</x:v>
      </x:c>
      <x:c r="J15" s="14" t="str">
        <x:v>공식 표준</x:v>
      </x:c>
      <x:c r="K15" s="21" t="e">
        <x:f>HYPERLINK("https://www.iso.org/standard/42005","열기")</x:f>
      </x:c>
      <x:c r="L15" s="18" t="str">
        <x:v>https://www.iso.org/standard/42005</x:v>
      </x:c>
    </x:row>
    <x:row r="16" ht="36" customHeight="1">
      <x:c r="A16" s="14" t="str">
        <x:v>ISO</x:v>
      </x:c>
      <x:c r="B16" s="14" t="str">
        <x:v>글로벌</x:v>
      </x:c>
      <x:c r="C16" s="14" t="str">
        <x:v>표준</x:v>
      </x:c>
      <x:c r="D16" s="14" t="str">
        <x:v>ISO/IEC</x:v>
      </x:c>
      <x:c r="E16" s="14" t="str">
        <x:v>ISO/IEC 42006:2025 AIMS Certification Bodies</x:v>
      </x:c>
      <x:c r="F16" s="14" t="str">
        <x:v>2025 발간</x:v>
      </x:c>
      <x:c r="G16" s="14" t="str">
        <x:v>인증/감사</x:v>
      </x:c>
      <x:c r="H16" s="14" t="str">
        <x:v>AI 경영시스템 인증기관의 감사·인증 요구사항</x:v>
      </x:c>
      <x:c r="I16" s="14" t="str">
        <x:v>2025</x:v>
      </x:c>
      <x:c r="J16" s="14" t="str">
        <x:v>공식 표준</x:v>
      </x:c>
      <x:c r="K16" s="21" t="e">
        <x:f>HYPERLINK("https://www.iso.org/standard/42006","열기")</x:f>
      </x:c>
      <x:c r="L16" s="18" t="str">
        <x:v>https://www.iso.org/standard/42006</x:v>
      </x:c>
    </x:row>
    <x:row r="17" ht="36" customHeight="1">
      <x:c r="A17" s="14" t="str">
        <x:v>ISO</x:v>
      </x:c>
      <x:c r="B17" s="14" t="str">
        <x:v>글로벌</x:v>
      </x:c>
      <x:c r="C17" s="14" t="str">
        <x:v>표준</x:v>
      </x:c>
      <x:c r="D17" s="14" t="str">
        <x:v>ISO/IEC</x:v>
      </x:c>
      <x:c r="E17" s="14" t="str">
        <x:v>ISO/IEC 12792:2025 Transparency Taxonomy</x:v>
      </x:c>
      <x:c r="F17" s="14" t="str">
        <x:v>2025 발간</x:v>
      </x:c>
      <x:c r="G17" s="14" t="str">
        <x:v>투명성</x:v>
      </x:c>
      <x:c r="H17" s="14" t="str">
        <x:v>AI 시스템 투명성 분류체계 관련 최신 표준</x:v>
      </x:c>
      <x:c r="I17" s="14" t="str">
        <x:v>2025</x:v>
      </x:c>
      <x:c r="J17" s="14" t="str">
        <x:v>ISO 카탈로그/OBP</x:v>
      </x:c>
      <x:c r="K17" s="21" t="e">
        <x:f>HYPERLINK("https://www.iso.org/obp/ui/en/","열기")</x:f>
      </x:c>
      <x:c r="L17" s="18" t="str">
        <x:v>https://www.iso.org/obp/ui/en/</x:v>
      </x:c>
    </x:row>
    <x:row r="18" ht="36" customHeight="1">
      <x:c r="A18" s="14" t="str">
        <x:v>ISO</x:v>
      </x:c>
      <x:c r="B18" s="14" t="str">
        <x:v>글로벌</x:v>
      </x:c>
      <x:c r="C18" s="14" t="str">
        <x:v>표준</x:v>
      </x:c>
      <x:c r="D18" s="14" t="str">
        <x:v>ISO/IEC</x:v>
      </x:c>
      <x:c r="E18" s="14" t="str">
        <x:v>ISO/IEC TS 42119-2:2025 Testing of AI – Overview</x:v>
      </x:c>
      <x:c r="F18" s="14" t="str">
        <x:v>2025 발간</x:v>
      </x:c>
      <x:c r="G18" s="14" t="str">
        <x:v>테스트/검증</x:v>
      </x:c>
      <x:c r="H18" s="14" t="str">
        <x:v>AI 시스템 테스트 개요 표준</x:v>
      </x:c>
      <x:c r="I18" s="14" t="str">
        <x:v>2025</x:v>
      </x:c>
      <x:c r="J18" s="14" t="str">
        <x:v>ISO 카탈로그</x:v>
      </x:c>
      <x:c r="K18" s="21" t="e">
        <x:f>HYPERLINK("https://www.iso.org/ics/35.020.html","열기")</x:f>
      </x:c>
      <x:c r="L18" s="18" t="str">
        <x:v>https://www.iso.org/ics/35.020.html</x:v>
      </x:c>
    </x:row>
    <x:row r="19" ht="36" customHeight="1">
      <x:c r="A19" s="14" t="str">
        <x:v>ISO</x:v>
      </x:c>
      <x:c r="B19" s="14" t="str">
        <x:v>글로벌</x:v>
      </x:c>
      <x:c r="C19" s="14" t="str">
        <x:v>표준</x:v>
      </x:c>
      <x:c r="D19" s="14" t="str">
        <x:v>ISO/IEC</x:v>
      </x:c>
      <x:c r="E19" s="14" t="str">
        <x:v>ISO/IEC 38507:2022 Governance implications of AI</x:v>
      </x:c>
      <x:c r="F19" s="14" t="str">
        <x:v>2022 발간</x:v>
      </x:c>
      <x:c r="G19" s="14" t="str">
        <x:v>거버넌스</x:v>
      </x:c>
      <x:c r="H19" s="14" t="str">
        <x:v>조직의 AI 사용이 IT 거버넌스에 미치는 영향</x:v>
      </x:c>
      <x:c r="I19" s="14" t="str">
        <x:v>기초자료</x:v>
      </x:c>
      <x:c r="J19" s="14" t="str">
        <x:v>공식 표준</x:v>
      </x:c>
      <x:c r="K19" s="21" t="e">
        <x:f>HYPERLINK("https://www.iso.org/sectors/it-technologies/ai","열기")</x:f>
      </x:c>
      <x:c r="L19" s="18" t="str">
        <x:v>https://www.iso.org/sectors/it-technologies/ai</x:v>
      </x:c>
    </x:row>
    <x:row r="20" ht="36" customHeight="1">
      <x:c r="A20" s="14" t="str">
        <x:v>국가/권역별</x:v>
      </x:c>
      <x:c r="B20" s="14" t="str">
        <x:v>유럽</x:v>
      </x:c>
      <x:c r="C20" s="14" t="str">
        <x:v>EU</x:v>
      </x:c>
      <x:c r="D20" s="14" t="str">
        <x:v>EU</x:v>
      </x:c>
      <x:c r="E20" s="14" t="str">
        <x:v>EU AI Act 공식 설명자료</x:v>
      </x:c>
      <x:c r="F20" s="14" t="str">
        <x:v>2024 발효 / 2025~2026 단계 적용</x:v>
      </x:c>
      <x:c r="G20" s="14" t="str">
        <x:v>포괄법/위험기반</x:v>
      </x:c>
      <x:c r="H20" s="14" t="str">
        <x:v>금지 AI·고위험 AI·범용 AI·투명성 의무를 위험 기반으로 규율</x:v>
      </x:c>
      <x:c r="I20" s="14" t="str">
        <x:v>2026</x:v>
      </x:c>
      <x:c r="J20" s="14" t="str">
        <x:v>공식 페이지</x:v>
      </x:c>
      <x:c r="K20" s="21" t="e">
        <x:f>HYPERLINK("https://digital-strategy.ec.europa.eu/en/policies/regulatory-framework-ai","열기")</x:f>
      </x:c>
      <x:c r="L20" s="18" t="str">
        <x:v>https://digital-strategy.ec.europa.eu/en/policies/regulatory-framework-ai</x:v>
      </x:c>
    </x:row>
    <x:row r="21" ht="36" customHeight="1">
      <x:c r="A21" s="14" t="str">
        <x:v>국가/권역별</x:v>
      </x:c>
      <x:c r="B21" s="14" t="str">
        <x:v>유럽</x:v>
      </x:c>
      <x:c r="C21" s="14" t="str">
        <x:v>EU</x:v>
      </x:c>
      <x:c r="D21" s="14" t="str">
        <x:v>EU</x:v>
      </x:c>
      <x:c r="E21" s="14" t="str">
        <x:v>Regulation (EU) 2024/1689 원문</x:v>
      </x:c>
      <x:c r="F21" s="14" t="str">
        <x:v>2024 발효</x:v>
      </x:c>
      <x:c r="G21" s="14" t="str">
        <x:v>법 원문</x:v>
      </x:c>
      <x:c r="H21" s="14" t="str">
        <x:v>AI Act 법령 원문 및 적용 일정 확인용</x:v>
      </x:c>
      <x:c r="I21" s="14" t="str">
        <x:v>2024</x:v>
      </x:c>
      <x:c r="J21" s="14" t="str">
        <x:v>EUR-Lex</x:v>
      </x:c>
      <x:c r="K21" s="21" t="e">
        <x:f>HYPERLINK("https://eur-lex.europa.eu/eli/reg/2024/1689/oj/eng","열기")</x:f>
      </x:c>
      <x:c r="L21" s="18" t="str">
        <x:v>https://eur-lex.europa.eu/eli/reg/2024/1689/oj/eng</x:v>
      </x:c>
    </x:row>
    <x:row r="22" ht="36" customHeight="1">
      <x:c r="A22" s="14" t="str">
        <x:v>국가/권역별</x:v>
      </x:c>
      <x:c r="B22" s="14" t="str">
        <x:v>유럽</x:v>
      </x:c>
      <x:c r="C22" s="14" t="str">
        <x:v>EU</x:v>
      </x:c>
      <x:c r="D22" s="14" t="str">
        <x:v>EU AI Office</x:v>
      </x:c>
      <x:c r="E22" s="14" t="str">
        <x:v>European AI Office</x:v>
      </x:c>
      <x:c r="F22" s="14" t="str">
        <x:v>2024~현재</x:v>
      </x:c>
      <x:c r="G22" s="14" t="str">
        <x:v>감독/집행</x:v>
      </x:c>
      <x:c r="H22" s="14" t="str">
        <x:v>AI Act 집행과 범용 AI 모델 감독을 지원하는 EU AI Office 자료</x:v>
      </x:c>
      <x:c r="I22" s="14" t="str">
        <x:v>현재</x:v>
      </x:c>
      <x:c r="J22" s="14" t="str">
        <x:v>공식 페이지</x:v>
      </x:c>
      <x:c r="K22" s="21" t="e">
        <x:f>HYPERLINK("https://digital-strategy.ec.europa.eu/en/policies/ai-office","열기")</x:f>
      </x:c>
      <x:c r="L22" s="18" t="str">
        <x:v>https://digital-strategy.ec.europa.eu/en/policies/ai-office</x:v>
      </x:c>
    </x:row>
    <x:row r="23" ht="36" customHeight="1">
      <x:c r="A23" s="14" t="str">
        <x:v>국가/권역별</x:v>
      </x:c>
      <x:c r="B23" s="14" t="str">
        <x:v>유럽</x:v>
      </x:c>
      <x:c r="C23" s="14" t="str">
        <x:v>EU</x:v>
      </x:c>
      <x:c r="D23" s="14" t="str">
        <x:v>EU</x:v>
      </x:c>
      <x:c r="E23" s="14" t="str">
        <x:v>General-Purpose AI Code of Practice</x:v>
      </x:c>
      <x:c r="F23" s="14" t="str">
        <x:v>2025</x:v>
      </x:c>
      <x:c r="G23" s="14" t="str">
        <x:v>범용 AI/저작권/안전</x:v>
      </x:c>
      <x:c r="H23" s="14" t="str">
        <x:v>투명성·저작권·안전/보안 장으로 구성된 GPAI 준수 실무 코드</x:v>
      </x:c>
      <x:c r="I23" s="14" t="str">
        <x:v>2025</x:v>
      </x:c>
      <x:c r="J23" s="14" t="str">
        <x:v>공식 페이지</x:v>
      </x:c>
      <x:c r="K23" s="21" t="e">
        <x:f>HYPERLINK("https://digital-strategy.ec.europa.eu/en/policies/contents-code-gpai","열기")</x:f>
      </x:c>
      <x:c r="L23" s="18" t="str">
        <x:v>https://digital-strategy.ec.europa.eu/en/policies/contents-code-gpai</x:v>
      </x:c>
    </x:row>
    <x:row r="24" ht="36" customHeight="1">
      <x:c r="A24" s="14" t="str">
        <x:v>국가/권역별</x:v>
      </x:c>
      <x:c r="B24" s="14" t="str">
        <x:v>유럽</x:v>
      </x:c>
      <x:c r="C24" s="14" t="str">
        <x:v>EU</x:v>
      </x:c>
      <x:c r="D24" s="14" t="str">
        <x:v>EU</x:v>
      </x:c>
      <x:c r="E24" s="14" t="str">
        <x:v>Guidelines for providers of GPAI models</x:v>
      </x:c>
      <x:c r="F24" s="14" t="str">
        <x:v>2026</x:v>
      </x:c>
      <x:c r="G24" s="14" t="str">
        <x:v>범용 AI</x:v>
      </x:c>
      <x:c r="H24" s="14" t="str">
        <x:v>GPAI 모델 제공자 의무와 적용 범위 관련 가이드라인</x:v>
      </x:c>
      <x:c r="I24" s="14" t="str">
        <x:v>2026</x:v>
      </x:c>
      <x:c r="J24" s="14" t="str">
        <x:v>공식 문서 페이지</x:v>
      </x:c>
      <x:c r="K24" s="21" t="e">
        <x:f>HYPERLINK("https://digital-strategy.ec.europa.eu/en/library/guidelines-providers-general-purpose-ai-models","열기")</x:f>
      </x:c>
      <x:c r="L24" s="18" t="str">
        <x:v>https://digital-strategy.ec.europa.eu/en/library/guidelines-providers-general-purpose-ai-models</x:v>
      </x:c>
    </x:row>
    <x:row r="25" ht="36" customHeight="1">
      <x:c r="A25" s="14" t="str">
        <x:v>국가/권역별</x:v>
      </x:c>
      <x:c r="B25" s="14" t="str">
        <x:v>유럽</x:v>
      </x:c>
      <x:c r="C25" s="14" t="str">
        <x:v>EU</x:v>
      </x:c>
      <x:c r="D25" s="14" t="str">
        <x:v>EU</x:v>
      </x:c>
      <x:c r="E25" s="14" t="str">
        <x:v>Code of Practice on Transparency of AI-Generated Content</x:v>
      </x:c>
      <x:c r="F25" s="14" t="str">
        <x:v>2026</x:v>
      </x:c>
      <x:c r="G25" s="14" t="str">
        <x:v>생성물 표시/딥페이크</x:v>
      </x:c>
      <x:c r="H25" s="14" t="str">
        <x:v>AI 생성 콘텐츠 표시·탐지·라벨링 관련 Article 50 투명성 의무 지원</x:v>
      </x:c>
      <x:c r="I25" s="14" t="str">
        <x:v>2026</x:v>
      </x:c>
      <x:c r="J25" s="14" t="str">
        <x:v>공식 페이지</x:v>
      </x:c>
      <x:c r="K25" s="21" t="e">
        <x:f>HYPERLINK("https://digital-strategy.ec.europa.eu/en/policies/code-practice-ai-generated-content","열기")</x:f>
      </x:c>
      <x:c r="L25" s="18" t="str">
        <x:v>https://digital-strategy.ec.europa.eu/en/policies/code-practice-ai-generated-content</x:v>
      </x:c>
    </x:row>
    <x:row r="26" ht="36" customHeight="1">
      <x:c r="A26" s="14" t="str">
        <x:v>국가/권역별</x:v>
      </x:c>
      <x:c r="B26" s="14" t="str">
        <x:v>유럽</x:v>
      </x:c>
      <x:c r="C26" s="14" t="str">
        <x:v>독일</x:v>
      </x:c>
      <x:c r="D26" s="14" t="str">
        <x:v>BSI</x:v>
      </x:c>
      <x:c r="E26" s="14" t="str">
        <x:v>AI 보안 및 검증 자료 허브</x:v>
      </x:c>
      <x:c r="F26" s="14" t="str">
        <x:v>운영 중</x:v>
      </x:c>
      <x:c r="G26" s="14" t="str">
        <x:v>보안/검증</x:v>
      </x:c>
      <x:c r="H26" s="14" t="str">
        <x:v>AI 시스템 보안 요구사항·테스트 기준·검증 방법론 개발 자료</x:v>
      </x:c>
      <x:c r="I26" s="14" t="str">
        <x:v>현재</x:v>
      </x:c>
      <x:c r="J26" s="14" t="str">
        <x:v>공식 페이지</x:v>
      </x:c>
      <x:c r="K26" s="21" t="e">
        <x:f>HYPERLINK("https://www.bsi.bund.de/EN/Topics/Artificial-Intelligence/artificial-intelligence_node.html","열기")</x:f>
      </x:c>
      <x:c r="L26" s="18" t="str">
        <x:v>https://www.bsi.bund.de/EN/Topics/Artificial-Intelligence/artificial-intelligence_node.html</x:v>
      </x:c>
    </x:row>
    <x:row r="27" ht="36" customHeight="1">
      <x:c r="A27" s="14" t="str">
        <x:v>국가/권역별</x:v>
      </x:c>
      <x:c r="B27" s="14" t="str">
        <x:v>유럽</x:v>
      </x:c>
      <x:c r="C27" s="14" t="str">
        <x:v>독일</x:v>
      </x:c>
      <x:c r="D27" s="14" t="str">
        <x:v>BSI</x:v>
      </x:c>
      <x:c r="E27" s="14" t="str">
        <x:v>Test Criteria Catalogue for AI Systems in Finance</x:v>
      </x:c>
      <x:c r="F27" s="14" t="str">
        <x:v>2025</x:v>
      </x:c>
      <x:c r="G27" s="14" t="str">
        <x:v>금융/테스트</x:v>
      </x:c>
      <x:c r="H27" s="14" t="str">
        <x:v>금융 분야 AI 시스템을 위한 테스트 기준 카탈로그</x:v>
      </x:c>
      <x:c r="I27" s="14" t="str">
        <x:v>2025</x:v>
      </x:c>
      <x:c r="J27" s="14" t="str">
        <x:v>PDF</x:v>
      </x:c>
      <x:c r="K27" s="21" t="e">
        <x:f>HYPERLINK("https://www.bsi.bund.de/SharedDocs/Downloads/EN/BSI/AI/Test_Criteria_Catalogue_AI_Finance.html","열기")</x:f>
      </x:c>
      <x:c r="L27" s="18" t="str">
        <x:v>https://www.bsi.bund.de/SharedDocs/Downloads/EN/BSI/AI/Test_Criteria_Catalogue_AI_Finance.html</x:v>
      </x:c>
    </x:row>
    <x:row r="28" ht="36" customHeight="1">
      <x:c r="A28" s="14" t="str">
        <x:v>국가/권역별</x:v>
      </x:c>
      <x:c r="B28" s="14" t="str">
        <x:v>유럽</x:v>
      </x:c>
      <x:c r="C28" s="14" t="str">
        <x:v>독일</x:v>
      </x:c>
      <x:c r="D28" s="14" t="str">
        <x:v>BSI</x:v>
      </x:c>
      <x:c r="E28" s="14" t="str">
        <x:v>Explainable AI in adversarial context</x:v>
      </x:c>
      <x:c r="F28" s="14" t="str">
        <x:v>2025</x:v>
      </x:c>
      <x:c r="G28" s="14" t="str">
        <x:v>설명가능성/보안</x:v>
      </x:c>
      <x:c r="H28" s="14" t="str">
        <x:v>적대적 환경에서 설명가능 AI의 보안·신뢰성 이슈를 다룸</x:v>
      </x:c>
      <x:c r="I28" s="14" t="str">
        <x:v>2025</x:v>
      </x:c>
      <x:c r="J28" s="14" t="str">
        <x:v>공식 자료</x:v>
      </x:c>
      <x:c r="K28" s="21" t="e">
        <x:f>HYPERLINK("https://www.bsi.bund.de/SharedDocs/Downloads/EN/BSI/AI/Explainable_AI.html","열기")</x:f>
      </x:c>
      <x:c r="L28" s="18" t="str">
        <x:v>https://www.bsi.bund.de/SharedDocs/Downloads/EN/BSI/AI/Explainable_AI.html</x:v>
      </x:c>
    </x:row>
    <x:row r="29" ht="36" customHeight="1">
      <x:c r="A29" s="14" t="str">
        <x:v>국가/권역별</x:v>
      </x:c>
      <x:c r="B29" s="14" t="str">
        <x:v>유럽</x:v>
      </x:c>
      <x:c r="C29" s="14" t="str">
        <x:v>독일</x:v>
      </x:c>
      <x:c r="D29" s="14" t="str">
        <x:v>BMWK/BMWE</x:v>
      </x:c>
      <x:c r="E29" s="14" t="str">
        <x:v>AI 전략·규제 샌드박스 자료</x:v>
      </x:c>
      <x:c r="F29" s="14" t="str">
        <x:v>2025 전후</x:v>
      </x:c>
      <x:c r="G29" s="14" t="str">
        <x:v>혁신/규제실험</x:v>
      </x:c>
      <x:c r="H29" s="14" t="str">
        <x:v>AI Act 이행과 혁신을 병행하기 위한 규제 샌드박스 정책 자료</x:v>
      </x:c>
      <x:c r="I29" s="14" t="str">
        <x:v>2025</x:v>
      </x:c>
      <x:c r="J29" s="14" t="str">
        <x:v>공식 페이지</x:v>
      </x:c>
      <x:c r="K29" s="21" t="e">
        <x:f>HYPERLINK("https://www.bmwk.de/Redaktion/EN/Dossier/artificial-intelligence.html","열기")</x:f>
      </x:c>
      <x:c r="L29" s="18" t="str">
        <x:v>https://www.bmwk.de/Redaktion/EN/Dossier/artificial-intelligence.html</x:v>
      </x:c>
    </x:row>
    <x:row r="30" ht="36" customHeight="1">
      <x:c r="A30" s="14" t="str">
        <x:v>국가/권역별</x:v>
      </x:c>
      <x:c r="B30" s="14" t="str">
        <x:v>유럽</x:v>
      </x:c>
      <x:c r="C30" s="14" t="str">
        <x:v>프랑스</x:v>
      </x:c>
      <x:c r="D30" s="14" t="str">
        <x:v>CNIL</x:v>
      </x:c>
      <x:c r="E30" s="14" t="str">
        <x:v>AI and GDPR recommendations</x:v>
      </x:c>
      <x:c r="F30" s="14" t="str">
        <x:v>2025</x:v>
      </x:c>
      <x:c r="G30" s="14" t="str">
        <x:v>개인정보/데이터</x:v>
      </x:c>
      <x:c r="H30" s="14" t="str">
        <x:v>AI 개발·배포 시 GDPR 준수와 정보주체 권리 보호 지침</x:v>
      </x:c>
      <x:c r="I30" s="14" t="str">
        <x:v>2025</x:v>
      </x:c>
      <x:c r="J30" s="14" t="str">
        <x:v>공식 페이지</x:v>
      </x:c>
      <x:c r="K30" s="21" t="e">
        <x:f>HYPERLINK("https://www.cnil.fr/en/artificial-intelligence","열기")</x:f>
      </x:c>
      <x:c r="L30" s="18" t="str">
        <x:v>https://www.cnil.fr/en/artificial-intelligence</x:v>
      </x:c>
    </x:row>
    <x:row r="31" ht="36" customHeight="1">
      <x:c r="A31" s="14" t="str">
        <x:v>국가/권역별</x:v>
      </x:c>
      <x:c r="B31" s="14" t="str">
        <x:v>유럽</x:v>
      </x:c>
      <x:c r="C31" s="14" t="str">
        <x:v>프랑스</x:v>
      </x:c>
      <x:c r="D31" s="14" t="str">
        <x:v>CNIL</x:v>
      </x:c>
      <x:c r="E31" s="14" t="str">
        <x:v>CNIL Annual Report 2025</x:v>
      </x:c>
      <x:c r="F31" s="14" t="str">
        <x:v>2026 발간</x:v>
      </x:c>
      <x:c r="G31" s="14" t="str">
        <x:v>감독/고위험 AI</x:v>
      </x:c>
      <x:c r="H31" s="14" t="str">
        <x:v>프랑스 개인정보 감독기관의 AI Act 관련 감독 역할과 AI 이슈 정리</x:v>
      </x:c>
      <x:c r="I31" s="14" t="str">
        <x:v>2026</x:v>
      </x:c>
      <x:c r="J31" s="14" t="str">
        <x:v>공식 자료</x:v>
      </x:c>
      <x:c r="K31" s="21" t="e">
        <x:f>HYPERLINK("https://www.cnil.fr/en/annual-report","열기")</x:f>
      </x:c>
      <x:c r="L31" s="18" t="str">
        <x:v>https://www.cnil.fr/en/annual-report</x:v>
      </x:c>
    </x:row>
    <x:row r="32" ht="36" customHeight="1">
      <x:c r="A32" s="14" t="str">
        <x:v>국가/권역별</x:v>
      </x:c>
      <x:c r="B32" s="14" t="str">
        <x:v>유럽</x:v>
      </x:c>
      <x:c r="C32" s="14" t="str">
        <x:v>프랑스</x:v>
      </x:c>
      <x:c r="D32" s="14" t="str">
        <x:v>France</x:v>
      </x:c>
      <x:c r="E32" s="14" t="str">
        <x:v>AI Action Summit – Inclusive and Sustainable AI Statement</x:v>
      </x:c>
      <x:c r="F32" s="14" t="str">
        <x:v>2025</x:v>
      </x:c>
      <x:c r="G32" s="14" t="str">
        <x:v>국제협력/지속가능성</x:v>
      </x:c>
      <x:c r="H32" s="14" t="str">
        <x:v>사람과 지구를 위한 포용적·지속가능 AI 원칙을 담은 파리 AI 정상회의 성명</x:v>
      </x:c>
      <x:c r="I32" s="14" t="str">
        <x:v>2025</x:v>
      </x:c>
      <x:c r="J32" s="14" t="str">
        <x:v>공식 페이지</x:v>
      </x:c>
      <x:c r="K32" s="21" t="e">
        <x:f>HYPERLINK("https://www.elysee.fr/en/sommet-pour-l-action-sur-l-ia/2025/02/11/statement-on-inclusive-and-sustainable-artificial-intelligence-for-people-and-the-planet","열기")</x:f>
      </x:c>
      <x:c r="L32" s="18" t="str">
        <x:v>https://www.elysee.fr/en/sommet-pour-l-action-sur-l-ia/2025/02/11/statement-on-inclusive-and-sustainable-artificial-intelligence-for-people-and-the-planet</x:v>
      </x:c>
    </x:row>
    <x:row r="33" ht="36" customHeight="1">
      <x:c r="A33" s="14" t="str">
        <x:v>국가/권역별</x:v>
      </x:c>
      <x:c r="B33" s="14" t="str">
        <x:v>유럽</x:v>
      </x:c>
      <x:c r="C33" s="14" t="str">
        <x:v>이탈리아</x:v>
      </x:c>
      <x:c r="D33" s="14" t="str">
        <x:v>MIMIT</x:v>
      </x:c>
      <x:c r="E33" s="14" t="str">
        <x:v>ISO standards supporting AI Act</x:v>
      </x:c>
      <x:c r="F33" s="14" t="str">
        <x:v>2025</x:v>
      </x:c>
      <x:c r="G33" s="14" t="str">
        <x:v>표준/AI Act 이행</x:v>
      </x:c>
      <x:c r="H33" s="14" t="str">
        <x:v>AI Act와 ISO/IEC 42001 등 표준 연계 설명 자료</x:v>
      </x:c>
      <x:c r="I33" s="14" t="str">
        <x:v>2025</x:v>
      </x:c>
      <x:c r="J33" s="14" t="str">
        <x:v>PDF</x:v>
      </x:c>
      <x:c r="K33" s="21" t="e">
        <x:f>HYPERLINK("https://www.mimit.gov.it/images/stories/digitale/Rivista/Rivista_70_2025/6_Gli_standard_ISO_a_supporto_dellAI_ACT_2.pdf","열기")</x:f>
      </x:c>
      <x:c r="L33" s="18" t="str">
        <x:v>https://www.mimit.gov.it/images/stories/digitale/Rivista/Rivista_70_2025/6_Gli_standard_ISO_a_supporto_dellAI_ACT_2.pdf</x:v>
      </x:c>
    </x:row>
    <x:row r="34" ht="36" customHeight="1">
      <x:c r="A34" s="14" t="str">
        <x:v>국가/권역별</x:v>
      </x:c>
      <x:c r="B34" s="14" t="str">
        <x:v>유럽</x:v>
      </x:c>
      <x:c r="C34" s="14" t="str">
        <x:v>영국</x:v>
      </x:c>
      <x:c r="D34" s="14" t="str">
        <x:v>UK Government</x:v>
      </x:c>
      <x:c r="E34" s="14" t="str">
        <x:v>AI Opportunities Action Plan</x:v>
      </x:c>
      <x:c r="F34" s="14" t="str">
        <x:v>2025</x:v>
      </x:c>
      <x:c r="G34" s="14" t="str">
        <x:v>국가전략/혁신</x:v>
      </x:c>
      <x:c r="H34" s="14" t="str">
        <x:v>영국의 AI 기회 확대와 공공·산업 적용 계획</x:v>
      </x:c>
      <x:c r="I34" s="14" t="str">
        <x:v>2025</x:v>
      </x:c>
      <x:c r="J34" s="14" t="str">
        <x:v>공식 페이지</x:v>
      </x:c>
      <x:c r="K34" s="21" t="e">
        <x:f>HYPERLINK("https://www.gov.uk/government/publications/ai-opportunities-action-plan","열기")</x:f>
      </x:c>
      <x:c r="L34" s="18" t="str">
        <x:v>https://www.gov.uk/government/publications/ai-opportunities-action-plan</x:v>
      </x:c>
    </x:row>
    <x:row r="35" ht="36" customHeight="1">
      <x:c r="A35" s="14" t="str">
        <x:v>국가/권역별</x:v>
      </x:c>
      <x:c r="B35" s="14" t="str">
        <x:v>유럽</x:v>
      </x:c>
      <x:c r="C35" s="14" t="str">
        <x:v>영국</x:v>
      </x:c>
      <x:c r="D35" s="14" t="str">
        <x:v>UK Government</x:v>
      </x:c>
      <x:c r="E35" s="14" t="str">
        <x:v>AI Opportunities Action Plan: one year on</x:v>
      </x:c>
      <x:c r="F35" s="14" t="str">
        <x:v>2026</x:v>
      </x:c>
      <x:c r="G35" s="14" t="str">
        <x:v>국가전략/이행점검</x:v>
      </x:c>
      <x:c r="H35" s="14" t="str">
        <x:v>AI Action Plan 이행 현황과 50개 권고 중 이행 현황 점검</x:v>
      </x:c>
      <x:c r="I35" s="14" t="str">
        <x:v>2026</x:v>
      </x:c>
      <x:c r="J35" s="14" t="str">
        <x:v>공식 페이지</x:v>
      </x:c>
      <x:c r="K35" s="21" t="e">
        <x:f>HYPERLINK("https://www.gov.uk/government/publications/ai-opportunities-action-plan-one-year-on","열기")</x:f>
      </x:c>
      <x:c r="L35" s="18" t="str">
        <x:v>https://www.gov.uk/government/publications/ai-opportunities-action-plan-one-year-on</x:v>
      </x:c>
    </x:row>
    <x:row r="36" ht="36" customHeight="1">
      <x:c r="A36" s="14" t="str">
        <x:v>국가/권역별</x:v>
      </x:c>
      <x:c r="B36" s="14" t="str">
        <x:v>유럽</x:v>
      </x:c>
      <x:c r="C36" s="14" t="str">
        <x:v>영국</x:v>
      </x:c>
      <x:c r="D36" s="14" t="str">
        <x:v>UK Government</x:v>
      </x:c>
      <x:c r="E36" s="14" t="str">
        <x:v>Data and AI Ethics Framework</x:v>
      </x:c>
      <x:c r="F36" s="14" t="str">
        <x:v>2025 업데이트</x:v>
      </x:c>
      <x:c r="G36" s="14" t="str">
        <x:v>공공부문/윤리</x:v>
      </x:c>
      <x:c r="H36" s="14" t="str">
        <x:v>공공부문 데이터·AI 개발·조달·사용 시 책임 있는 원칙과 활동</x:v>
      </x:c>
      <x:c r="I36" s="14" t="str">
        <x:v>2025</x:v>
      </x:c>
      <x:c r="J36" s="14" t="str">
        <x:v>공식 페이지</x:v>
      </x:c>
      <x:c r="K36" s="21" t="e">
        <x:f>HYPERLINK("https://www.gov.uk/government/publications/data-ethics-framework","열기")</x:f>
      </x:c>
      <x:c r="L36" s="18" t="str">
        <x:v>https://www.gov.uk/government/publications/data-ethics-framework</x:v>
      </x:c>
    </x:row>
    <x:row r="37" ht="36" customHeight="1">
      <x:c r="A37" s="14" t="str">
        <x:v>국가/권역별</x:v>
      </x:c>
      <x:c r="B37" s="14" t="str">
        <x:v>유럽</x:v>
      </x:c>
      <x:c r="C37" s="14" t="str">
        <x:v>영국</x:v>
      </x:c>
      <x:c r="D37" s="14" t="str">
        <x:v>UK Government</x:v>
      </x:c>
      <x:c r="E37" s="14" t="str">
        <x:v>AI Playbook for the UK Government</x:v>
      </x:c>
      <x:c r="F37" s="14" t="str">
        <x:v>2025</x:v>
      </x:c>
      <x:c r="G37" s="14" t="str">
        <x:v>공공부문/실무</x:v>
      </x:c>
      <x:c r="H37" s="14" t="str">
        <x:v>정부기관의 안전하고 효과적인 AI 사용을 위한 10대 원칙·위험·조달 실무</x:v>
      </x:c>
      <x:c r="I37" s="14" t="str">
        <x:v>2025</x:v>
      </x:c>
      <x:c r="J37" s="14" t="str">
        <x:v>공식 페이지</x:v>
      </x:c>
      <x:c r="K37" s="21" t="e">
        <x:f>HYPERLINK("https://www.gov.uk/government/publications/ai-playbook-for-the-uk-government","열기")</x:f>
      </x:c>
      <x:c r="L37" s="18" t="str">
        <x:v>https://www.gov.uk/government/publications/ai-playbook-for-the-uk-government</x:v>
      </x:c>
    </x:row>
    <x:row r="38" ht="36" customHeight="1">
      <x:c r="A38" s="14" t="str">
        <x:v>국가/권역별</x:v>
      </x:c>
      <x:c r="B38" s="14" t="str">
        <x:v>유럽</x:v>
      </x:c>
      <x:c r="C38" s="14" t="str">
        <x:v>북유럽</x:v>
      </x:c>
      <x:c r="D38" s="14" t="str">
        <x:v>Nordic Governments</x:v>
      </x:c>
      <x:c r="E38" s="14" t="str">
        <x:v>Joint Nordic Statement on AI and Global Dialogue</x:v>
      </x:c>
      <x:c r="F38" s="14" t="str">
        <x:v>2025</x:v>
      </x:c>
      <x:c r="G38" s="14" t="str">
        <x:v>국제협력/인권</x:v>
      </x:c>
      <x:c r="H38" s="14" t="str">
        <x:v>북유럽 국가들의 AI 거버넌스 접근: 인권·평등·투명성·포용성 강조</x:v>
      </x:c>
      <x:c r="I38" s="14" t="str">
        <x:v>2025</x:v>
      </x:c>
      <x:c r="J38" s="14" t="str">
        <x:v>공식 성명</x:v>
      </x:c>
      <x:c r="K38" s="21" t="e">
        <x:f>HYPERLINK("https://www.stjornarradid.is/efst-a-baugi/frettir/stok-frett/2025/02/19/Joint-Nordic-Statement-Artificial-Intelligence-and-the-Global-Dialogue-on-AI-Governance/","열기")</x:f>
      </x:c>
      <x:c r="L38" s="18" t="str">
        <x:v>https://www.stjornarradid.is/efst-a-baugi/frettir/stok-frett/2025/02/19/Joint-Nordic-Statement-Artificial-Intelligence-and-the-Global-Dialogue-on-AI-Governance/</x:v>
      </x:c>
    </x:row>
    <x:row r="39" ht="36" customHeight="1">
      <x:c r="A39" s="14" t="str">
        <x:v>국가/권역별</x:v>
      </x:c>
      <x:c r="B39" s="14" t="str">
        <x:v>유럽</x:v>
      </x:c>
      <x:c r="C39" s="14" t="str">
        <x:v>북유럽</x:v>
      </x:c>
      <x:c r="D39" s="14" t="str">
        <x:v>노르웨이</x:v>
      </x:c>
      <x:c r="E39" s="14" t="str">
        <x:v>AI Norway / safe and innovative AI use</x:v>
      </x:c>
      <x:c r="F39" s="14" t="str">
        <x:v>2025</x:v>
      </x:c>
      <x:c r="G39" s="14" t="str">
        <x:v>공공부문/혁신</x:v>
      </x:c>
      <x:c r="H39" s="14" t="str">
        <x:v>책임 있는 AI 활용과 안전한 혁신을 위한 국가 AI 지원 체계</x:v>
      </x:c>
      <x:c r="I39" s="14" t="str">
        <x:v>2025</x:v>
      </x:c>
      <x:c r="J39" s="14" t="str">
        <x:v>공식 발표</x:v>
      </x:c>
      <x:c r="K39" s="21" t="e">
        <x:f>HYPERLINK("https://www.regjeringen.no/en/aktuelt/paving-the-way-for-safe-and-innovative-use-of-ai-in-norway/id3090722/","열기")</x:f>
      </x:c>
      <x:c r="L39" s="18" t="str">
        <x:v>https://www.regjeringen.no/en/aktuelt/paving-the-way-for-safe-and-innovative-use-of-ai-in-norway/id3090722/</x:v>
      </x:c>
    </x:row>
    <x:row r="40" ht="36" customHeight="1">
      <x:c r="A40" s="14" t="str">
        <x:v>국가/권역별</x:v>
      </x:c>
      <x:c r="B40" s="14" t="str">
        <x:v>유럽</x:v>
      </x:c>
      <x:c r="C40" s="14" t="str">
        <x:v>북유럽</x:v>
      </x:c>
      <x:c r="D40" s="14" t="str">
        <x:v>노르웨이</x:v>
      </x:c>
      <x:c r="E40" s="14" t="str">
        <x:v>The Digital Norway of the Future</x:v>
      </x:c>
      <x:c r="F40" s="14" t="str">
        <x:v>2024~2030</x:v>
      </x:c>
      <x:c r="G40" s="14" t="str">
        <x:v>국가전략/공공부문</x:v>
      </x:c>
      <x:c r="H40" s="14" t="str">
        <x:v>2030년까지 공공기관 AI 도입 목표와 AI Act 국내 이행 방향 포함</x:v>
      </x:c>
      <x:c r="I40" s="14" t="str">
        <x:v>2025</x:v>
      </x:c>
      <x:c r="J40" s="14" t="str">
        <x:v>공식 전략</x:v>
      </x:c>
      <x:c r="K40" s="21" t="e">
        <x:f>HYPERLINK("https://www.regjeringen.no/en/dokumenter/the-digital-norway-of-the-future/id3054645/","열기")</x:f>
      </x:c>
      <x:c r="L40" s="18" t="str">
        <x:v>https://www.regjeringen.no/en/dokumenter/the-digital-norway-of-the-future/id3054645/</x:v>
      </x:c>
    </x:row>
    <x:row r="41" ht="36" customHeight="1">
      <x:c r="A41" s="14" t="str">
        <x:v>국가/권역별</x:v>
      </x:c>
      <x:c r="B41" s="14" t="str">
        <x:v>유럽</x:v>
      </x:c>
      <x:c r="C41" s="14" t="str">
        <x:v>북유럽</x:v>
      </x:c>
      <x:c r="D41" s="14" t="str">
        <x:v>노르웨이</x:v>
      </x:c>
      <x:c r="E41" s="14" t="str">
        <x:v>Digdir Responsible AI resources</x:v>
      </x:c>
      <x:c r="F41" s="14" t="str">
        <x:v>2025 업데이트</x:v>
      </x:c>
      <x:c r="G41" s="14" t="str">
        <x:v>공공부문/가이드</x:v>
      </x:c>
      <x:c r="H41" s="14" t="str">
        <x:v>공공부문 책임 있는 AI 활용을 위한 자료 모음</x:v>
      </x:c>
      <x:c r="I41" s="14" t="str">
        <x:v>2025</x:v>
      </x:c>
      <x:c r="J41" s="14" t="str">
        <x:v>공식 페이지</x:v>
      </x:c>
      <x:c r="K41" s="21" t="e">
        <x:f>HYPERLINK("https://www.digdir.no/kunstig-intelligens/resources-responsible-artificial-intelligence/5525","열기")</x:f>
      </x:c>
      <x:c r="L41" s="18" t="str">
        <x:v>https://www.digdir.no/kunstig-intelligens/resources-responsible-artificial-intelligence/5525</x:v>
      </x:c>
    </x:row>
    <x:row r="42" ht="36" customHeight="1">
      <x:c r="A42" s="14" t="str">
        <x:v>국가/권역별</x:v>
      </x:c>
      <x:c r="B42" s="14" t="str">
        <x:v>유럽</x:v>
      </x:c>
      <x:c r="C42" s="14" t="str">
        <x:v>북유럽</x:v>
      </x:c>
      <x:c r="D42" s="14" t="str">
        <x:v>스웨덴</x:v>
      </x:c>
      <x:c r="E42" s="14" t="str">
        <x:v>AI Strategy for Sweden</x:v>
      </x:c>
      <x:c r="F42" s="14" t="str">
        <x:v>2026</x:v>
      </x:c>
      <x:c r="G42" s="14" t="str">
        <x:v>국가전략</x:v>
      </x:c>
      <x:c r="H42" s="14" t="str">
        <x:v>스웨덴 정부의 AI 전략 및 액션플랜</x:v>
      </x:c>
      <x:c r="I42" s="14" t="str">
        <x:v>2026</x:v>
      </x:c>
      <x:c r="J42" s="14" t="str">
        <x:v>공식 페이지</x:v>
      </x:c>
      <x:c r="K42" s="21" t="e">
        <x:f>HYPERLINK("https://www.government.se/government-policy/digitalisation-and-ai/ai-strategy-for-sweden/","열기")</x:f>
      </x:c>
      <x:c r="L42" s="18" t="str">
        <x:v>https://www.government.se/government-policy/digitalisation-and-ai/ai-strategy-for-sweden/</x:v>
      </x:c>
    </x:row>
    <x:row r="43" ht="36" customHeight="1">
      <x:c r="A43" s="14" t="str">
        <x:v>국가/권역별</x:v>
      </x:c>
      <x:c r="B43" s="14" t="str">
        <x:v>유럽</x:v>
      </x:c>
      <x:c r="C43" s="14" t="str">
        <x:v>북유럽</x:v>
      </x:c>
      <x:c r="D43" s="14" t="str">
        <x:v>스웨덴</x:v>
      </x:c>
      <x:c r="E43" s="14" t="str">
        <x:v>AI Commission Roadmap for Sweden</x:v>
      </x:c>
      <x:c r="F43" s="14" t="str">
        <x:v>2025</x:v>
      </x:c>
      <x:c r="G43" s="14" t="str">
        <x:v>국가 로드맵</x:v>
      </x:c>
      <x:c r="H43" s="14" t="str">
        <x:v>AI Commission이 제시한 스웨덴 AI 정책 로드맵</x:v>
      </x:c>
      <x:c r="I43" s="14" t="str">
        <x:v>2025</x:v>
      </x:c>
      <x:c r="J43" s="14" t="str">
        <x:v>공식 보고서</x:v>
      </x:c>
      <x:c r="K43" s="21" t="e">
        <x:f>HYPERLINK("https://www.government.se/legal-documents/2025/02/sou-202512/","열기")</x:f>
      </x:c>
      <x:c r="L43" s="18" t="str">
        <x:v>https://www.government.se/legal-documents/2025/02/sou-202512/</x:v>
      </x:c>
    </x:row>
    <x:row r="44" ht="36" customHeight="1">
      <x:c r="A44" s="14" t="str">
        <x:v>국가/권역별</x:v>
      </x:c>
      <x:c r="B44" s="14" t="str">
        <x:v>유럽</x:v>
      </x:c>
      <x:c r="C44" s="14" t="str">
        <x:v>북유럽</x:v>
      </x:c>
      <x:c r="D44" s="14" t="str">
        <x:v>핀란드</x:v>
      </x:c>
      <x:c r="E44" s="14" t="str">
        <x:v>EU AI Act application begins in Finland</x:v>
      </x:c>
      <x:c r="F44" s="14" t="str">
        <x:v>2025</x:v>
      </x:c>
      <x:c r="G44" s="14" t="str">
        <x:v>AI Act 이행</x:v>
      </x:c>
      <x:c r="H44" s="14" t="str">
        <x:v>2025년 8월 2일 AI Act 일부 적용 개시와 국가 입법 진행 설명</x:v>
      </x:c>
      <x:c r="I44" s="14" t="str">
        <x:v>2025</x:v>
      </x:c>
      <x:c r="J44" s="14" t="str">
        <x:v>공식 발표</x:v>
      </x:c>
      <x:c r="K44" s="21" t="e">
        <x:f>HYPERLINK("https://tem.fi/en/-/application-of-the-eu-ai-act-begins","열기")</x:f>
      </x:c>
      <x:c r="L44" s="18" t="str">
        <x:v>https://tem.fi/en/-/application-of-the-eu-ai-act-begins</x:v>
      </x:c>
    </x:row>
    <x:row r="45" ht="36" customHeight="1">
      <x:c r="A45" s="14" t="str">
        <x:v>국가/권역별</x:v>
      </x:c>
      <x:c r="B45" s="14" t="str">
        <x:v>유럽</x:v>
      </x:c>
      <x:c r="C45" s="14" t="str">
        <x:v>북유럽</x:v>
      </x:c>
      <x:c r="D45" s="14" t="str">
        <x:v>핀란드</x:v>
      </x:c>
      <x:c r="E45" s="14" t="str">
        <x:v>National supervision of EU AI Act to begin</x:v>
      </x:c>
      <x:c r="F45" s="14" t="str">
        <x:v>2025/2026</x:v>
      </x:c>
      <x:c r="G45" s="14" t="str">
        <x:v>감독/이행</x:v>
      </x:c>
      <x:c r="H45" s="14" t="str">
        <x:v>AI Act 감독기관 권한과 국내 이행 관련 법률 시행 안내</x:v>
      </x:c>
      <x:c r="I45" s="14" t="str">
        <x:v>2026</x:v>
      </x:c>
      <x:c r="J45" s="14" t="str">
        <x:v>공식 발표</x:v>
      </x:c>
      <x:c r="K45" s="21" t="e">
        <x:f>HYPERLINK("https://tem.fi/en/-/national-supervision-of-the-eu-ai-act-to-begin","열기")</x:f>
      </x:c>
      <x:c r="L45" s="18" t="str">
        <x:v>https://tem.fi/en/-/national-supervision-of-the-eu-ai-act-to-begin</x:v>
      </x:c>
    </x:row>
    <x:row r="46" ht="36" customHeight="1">
      <x:c r="A46" s="14" t="str">
        <x:v>국가/권역별</x:v>
      </x:c>
      <x:c r="B46" s="14" t="str">
        <x:v>유럽</x:v>
      </x:c>
      <x:c r="C46" s="14" t="str">
        <x:v>북유럽</x:v>
      </x:c>
      <x:c r="D46" s="14" t="str">
        <x:v>덴마크</x:v>
      </x:c>
      <x:c r="E46" s="14" t="str">
        <x:v>Danish AI guides and strategy resources</x:v>
      </x:c>
      <x:c r="F46" s="14" t="str">
        <x:v>2025</x:v>
      </x:c>
      <x:c r="G46" s="14" t="str">
        <x:v>공공부문/가이드</x:v>
      </x:c>
      <x:c r="H46" s="14" t="str">
        <x:v>덴마크 디지털정부 기관의 AI 가이드·전략·활용사례 자료 모음</x:v>
      </x:c>
      <x:c r="I46" s="14" t="str">
        <x:v>2025</x:v>
      </x:c>
      <x:c r="J46" s="14" t="str">
        <x:v>공식 페이지</x:v>
      </x:c>
      <x:c r="K46" s="21" t="e">
        <x:f>HYPERLINK("https://digst.dk/kunstig-intelligens/","열기")</x:f>
      </x:c>
      <x:c r="L46" s="18" t="str">
        <x:v>https://digst.dk/kunstig-intelligens/</x:v>
      </x:c>
    </x:row>
    <x:row r="47" ht="36" customHeight="1">
      <x:c r="A47" s="14" t="str">
        <x:v>국가/권역별</x:v>
      </x:c>
      <x:c r="B47" s="14" t="str">
        <x:v>유럽</x:v>
      </x:c>
      <x:c r="C47" s="14" t="str">
        <x:v>북유럽</x:v>
      </x:c>
      <x:c r="D47" s="14" t="str">
        <x:v>아이슬란드</x:v>
      </x:c>
      <x:c r="E47" s="14" t="str">
        <x:v>Iceland's AI Action Plan 2025-2027</x:v>
      </x:c>
      <x:c r="F47" s="14" t="str">
        <x:v>2025</x:v>
      </x:c>
      <x:c r="G47" s="14" t="str">
        <x:v>국가전략/교육/산업</x:v>
      </x:c>
      <x:c r="H47" s="14" t="str">
        <x:v>모두를 위한 AI, 경쟁력 있는 산업, 변화하는 교육 등 국가 AI 실행계획</x:v>
      </x:c>
      <x:c r="I47" s="14" t="str">
        <x:v>2025</x:v>
      </x:c>
      <x:c r="J47" s="14" t="str">
        <x:v>PDF</x:v>
      </x:c>
      <x:c r="K47" s="21" t="e">
        <x:f>HYPERLINK("https://www.stjornarradid.is/library/04-Raduneytin/Menningar---nyskopunar--og-haskolaraduneytid/Iceland%27s%20AI%20Action%20Plan%20electronic%20version.pdf","열기")</x:f>
      </x:c>
      <x:c r="L47" s="18" t="str">
        <x:v>https://www.stjornarradid.is/library/04-Raduneytin/Menningar---nyskopunar--og-haskolaraduneytid/Iceland%27s%20AI%20Action%20Plan%20electronic%20version.pdf</x:v>
      </x:c>
    </x:row>
    <x:row r="48" ht="36" customHeight="1">
      <x:c r="A48" s="14" t="str">
        <x:v>국가/권역별</x:v>
      </x:c>
      <x:c r="B48" s="14" t="str">
        <x:v>북미·북태평양</x:v>
      </x:c>
      <x:c r="C48" s="14" t="str">
        <x:v>미국</x:v>
      </x:c>
      <x:c r="D48" s="14" t="str">
        <x:v>White House</x:v>
      </x:c>
      <x:c r="E48" s="14" t="str">
        <x:v>America's AI Action Plan</x:v>
      </x:c>
      <x:c r="F48" s="14" t="str">
        <x:v>2025</x:v>
      </x:c>
      <x:c r="G48" s="14" t="str">
        <x:v>국가전략/혁신</x:v>
      </x:c>
      <x:c r="H48" s="14" t="str">
        <x:v>혁신 가속·AI 인프라 구축·국제 외교/안보 주도 등 3대 축</x:v>
      </x:c>
      <x:c r="I48" s="14" t="str">
        <x:v>2025</x:v>
      </x:c>
      <x:c r="J48" s="14" t="str">
        <x:v>PDF</x:v>
      </x:c>
      <x:c r="K48" s="21" t="e">
        <x:f>HYPERLINK("https://www.whitehouse.gov/wp-content/uploads/2025/07/Americas-AI-Action-Plan.pdf","열기")</x:f>
      </x:c>
      <x:c r="L48" s="18" t="str">
        <x:v>https://www.whitehouse.gov/wp-content/uploads/2025/07/Americas-AI-Action-Plan.pdf</x:v>
      </x:c>
    </x:row>
    <x:row r="49" ht="36" customHeight="1">
      <x:c r="A49" s="14" t="str">
        <x:v>국가/권역별</x:v>
      </x:c>
      <x:c r="B49" s="14" t="str">
        <x:v>북미·북태평양</x:v>
      </x:c>
      <x:c r="C49" s="14" t="str">
        <x:v>미국</x:v>
      </x:c>
      <x:c r="D49" s="14" t="str">
        <x:v>AI.gov</x:v>
      </x:c>
      <x:c r="E49" s="14" t="str">
        <x:v>America's AI Action Plan 웹 페이지</x:v>
      </x:c>
      <x:c r="F49" s="14" t="str">
        <x:v>2025</x:v>
      </x:c>
      <x:c r="G49" s="14" t="str">
        <x:v>국가전략/정책</x:v>
      </x:c>
      <x:c r="H49" s="14" t="str">
        <x:v>Action Plan의 핵심 축과 실행과제 요약</x:v>
      </x:c>
      <x:c r="I49" s="14" t="str">
        <x:v>2025</x:v>
      </x:c>
      <x:c r="J49" s="14" t="str">
        <x:v>공식 페이지</x:v>
      </x:c>
      <x:c r="K49" s="21" t="e">
        <x:f>HYPERLINK("https://www.ai.gov/action-plan","열기")</x:f>
      </x:c>
      <x:c r="L49" s="18" t="str">
        <x:v>https://www.ai.gov/action-plan</x:v>
      </x:c>
    </x:row>
    <x:row r="50" ht="36" customHeight="1">
      <x:c r="A50" s="14" t="str">
        <x:v>국가/권역별</x:v>
      </x:c>
      <x:c r="B50" s="14" t="str">
        <x:v>북미·북태평양</x:v>
      </x:c>
      <x:c r="C50" s="14" t="str">
        <x:v>미국</x:v>
      </x:c>
      <x:c r="D50" s="14" t="str">
        <x:v>White House</x:v>
      </x:c>
      <x:c r="E50" s="14" t="str">
        <x:v>Advancing AI Education for American Youth</x:v>
      </x:c>
      <x:c r="F50" s="14" t="str">
        <x:v>2025</x:v>
      </x:c>
      <x:c r="G50" s="14" t="str">
        <x:v>교육/교원훈련</x:v>
      </x:c>
      <x:c r="H50" s="14" t="str">
        <x:v>AI 리터러시와 교육자 AI 훈련을 강조하는 행정명령</x:v>
      </x:c>
      <x:c r="I50" s="14" t="str">
        <x:v>2025</x:v>
      </x:c>
      <x:c r="J50" s="14" t="str">
        <x:v>공식 EO</x:v>
      </x:c>
      <x:c r="K50" s="21" t="e">
        <x:f>HYPERLINK("https://www.whitehouse.gov/presidential-actions/2025/04/advancing-artificial-intelligence-education-for-american-youth/","열기")</x:f>
      </x:c>
      <x:c r="L50" s="18" t="str">
        <x:v>https://www.whitehouse.gov/presidential-actions/2025/04/advancing-artificial-intelligence-education-for-american-youth/</x:v>
      </x:c>
    </x:row>
    <x:row r="51" ht="36" customHeight="1">
      <x:c r="A51" s="14" t="str">
        <x:v>국가/권역별</x:v>
      </x:c>
      <x:c r="B51" s="14" t="str">
        <x:v>북미·북태평양</x:v>
      </x:c>
      <x:c r="C51" s="14" t="str">
        <x:v>미국</x:v>
      </x:c>
      <x:c r="D51" s="14" t="str">
        <x:v>White House</x:v>
      </x:c>
      <x:c r="E51" s="14" t="str">
        <x:v>Promoting Advanced AI Innovation and Security</x:v>
      </x:c>
      <x:c r="F51" s="14" t="str">
        <x:v>2026</x:v>
      </x:c>
      <x:c r="G51" s="14" t="str">
        <x:v>첨단AI/안보</x:v>
      </x:c>
      <x:c r="H51" s="14" t="str">
        <x:v>첨단 AI 혁신과 보안·국가안보 고려사항을 다루는 행정명령</x:v>
      </x:c>
      <x:c r="I51" s="14" t="str">
        <x:v>2026</x:v>
      </x:c>
      <x:c r="J51" s="14" t="str">
        <x:v>공식 EO</x:v>
      </x:c>
      <x:c r="K51" s="21" t="e">
        <x:f>HYPERLINK("https://www.whitehouse.gov/presidential-actions/2026/06/promoting-advanced-artificial-intelligence-innovation-and-security/","열기")</x:f>
      </x:c>
      <x:c r="L51" s="18" t="str">
        <x:v>https://www.whitehouse.gov/presidential-actions/2026/06/promoting-advanced-artificial-intelligence-innovation-and-security/</x:v>
      </x:c>
    </x:row>
    <x:row r="52" ht="36" customHeight="1">
      <x:c r="A52" s="14" t="str">
        <x:v>국가/권역별</x:v>
      </x:c>
      <x:c r="B52" s="14" t="str">
        <x:v>북미·북태평양</x:v>
      </x:c>
      <x:c r="C52" s="14" t="str">
        <x:v>미국</x:v>
      </x:c>
      <x:c r="D52" s="14" t="str">
        <x:v>NIST</x:v>
      </x:c>
      <x:c r="E52" s="14" t="str">
        <x:v>AI Risk Management Framework 1.0</x:v>
      </x:c>
      <x:c r="F52" s="14" t="str">
        <x:v>2023 / 2025 보완</x:v>
      </x:c>
      <x:c r="G52" s="14" t="str">
        <x:v>위험관리</x:v>
      </x:c>
      <x:c r="H52" s="14" t="str">
        <x:v>Govern·Map·Measure·Manage 구조의 AI 위험관리 프레임워크</x:v>
      </x:c>
      <x:c r="I52" s="14" t="str">
        <x:v>기초자료</x:v>
      </x:c>
      <x:c r="J52" s="14" t="str">
        <x:v>공식 페이지</x:v>
      </x:c>
      <x:c r="K52" s="21" t="e">
        <x:f>HYPERLINK("https://www.nist.gov/itl/ai-risk-management-framework","열기")</x:f>
      </x:c>
      <x:c r="L52" s="18" t="str">
        <x:v>https://www.nist.gov/itl/ai-risk-management-framework</x:v>
      </x:c>
    </x:row>
    <x:row r="53" ht="36" customHeight="1">
      <x:c r="A53" s="14" t="str">
        <x:v>국가/권역별</x:v>
      </x:c>
      <x:c r="B53" s="14" t="str">
        <x:v>북미·북태평양</x:v>
      </x:c>
      <x:c r="C53" s="14" t="str">
        <x:v>미국</x:v>
      </x:c>
      <x:c r="D53" s="14" t="str">
        <x:v>NIST</x:v>
      </x:c>
      <x:c r="E53" s="14" t="str">
        <x:v>Generative AI Profile NIST AI 600-1</x:v>
      </x:c>
      <x:c r="F53" s="14" t="str">
        <x:v>2024</x:v>
      </x:c>
      <x:c r="G53" s="14" t="str">
        <x:v>생성형 AI/위험관리</x:v>
      </x:c>
      <x:c r="H53" s="14" t="str">
        <x:v>생성형 AI의 환각·유해콘텐츠·개인정보·보안 등 위험관리 프로파일</x:v>
      </x:c>
      <x:c r="I53" s="14" t="str">
        <x:v>기초자료</x:v>
      </x:c>
      <x:c r="J53" s="14" t="str">
        <x:v>PDF</x:v>
      </x:c>
      <x:c r="K53" s="21" t="e">
        <x:f>HYPERLINK("https://nvlpubs.nist.gov/nistpubs/ai/NIST.AI.600-1.pdf","열기")</x:f>
      </x:c>
      <x:c r="L53" s="18" t="str">
        <x:v>https://nvlpubs.nist.gov/nistpubs/ai/NIST.AI.600-1.pdf</x:v>
      </x:c>
    </x:row>
    <x:row r="54" ht="36" customHeight="1">
      <x:c r="A54" s="14" t="str">
        <x:v>국가/권역별</x:v>
      </x:c>
      <x:c r="B54" s="14" t="str">
        <x:v>북미·북태평양</x:v>
      </x:c>
      <x:c r="C54" s="14" t="str">
        <x:v>미국</x:v>
      </x:c>
      <x:c r="D54" s="14" t="str">
        <x:v>NIST</x:v>
      </x:c>
      <x:c r="E54" s="14" t="str">
        <x:v>AI Resource Center / 2025 reports</x:v>
      </x:c>
      <x:c r="F54" s="14" t="str">
        <x:v>2025~2026</x:v>
      </x:c>
      <x:c r="G54" s="14" t="str">
        <x:v>위험관리/표준</x:v>
      </x:c>
      <x:c r="H54" s="14" t="str">
        <x:v>AI RMF 보완자료와 2025년 AI 표준·보안 보고서 모음</x:v>
      </x:c>
      <x:c r="I54" s="14" t="str">
        <x:v>2025/26</x:v>
      </x:c>
      <x:c r="J54" s="14" t="str">
        <x:v>공식 허브</x:v>
      </x:c>
      <x:c r="K54" s="21" t="e">
        <x:f>HYPERLINK("https://airc.nist.gov/","열기")</x:f>
      </x:c>
      <x:c r="L54" s="18" t="str">
        <x:v>https://airc.nist.gov/</x:v>
      </x:c>
    </x:row>
    <x:row r="55" ht="36" customHeight="1">
      <x:c r="A55" s="14" t="str">
        <x:v>국가/권역별</x:v>
      </x:c>
      <x:c r="B55" s="14" t="str">
        <x:v>북미·북태평양</x:v>
      </x:c>
      <x:c r="C55" s="14" t="str">
        <x:v>캐나다</x:v>
      </x:c>
      <x:c r="D55" s="14" t="str">
        <x:v>Canada</x:v>
      </x:c>
      <x:c r="E55" s="14" t="str">
        <x:v>Canadian AI Safety Institute</x:v>
      </x:c>
      <x:c r="F55" s="14" t="str">
        <x:v>2024~2026</x:v>
      </x:c>
      <x:c r="G55" s="14" t="str">
        <x:v>AI 안전기관</x:v>
      </x:c>
      <x:c r="H55" s="14" t="str">
        <x:v>첨단 AI 시스템의 위험 이해·평가·책임 배포를 지원하는 안전기관</x:v>
      </x:c>
      <x:c r="I55" s="14" t="str">
        <x:v>2026</x:v>
      </x:c>
      <x:c r="J55" s="14" t="str">
        <x:v>공식 페이지</x:v>
      </x:c>
      <x:c r="K55" s="21" t="e">
        <x:f>HYPERLINK("https://ised-isde.canada.ca/site/ised/en/canadian-artificial-intelligence-safety-institute-caisi","열기")</x:f>
      </x:c>
      <x:c r="L55" s="18" t="str">
        <x:v>https://ised-isde.canada.ca/site/ised/en/canadian-artificial-intelligence-safety-institute-caisi</x:v>
      </x:c>
    </x:row>
    <x:row r="56" ht="36" customHeight="1">
      <x:c r="A56" s="14" t="str">
        <x:v>국가/권역별</x:v>
      </x:c>
      <x:c r="B56" s="14" t="str">
        <x:v>북미·북태평양</x:v>
      </x:c>
      <x:c r="C56" s="14" t="str">
        <x:v>캐나다</x:v>
      </x:c>
      <x:c r="D56" s="14" t="str">
        <x:v>Canada</x:v>
      </x:c>
      <x:c r="E56" s="14" t="str">
        <x:v>Canada's National AI Strategy: AI for All</x:v>
      </x:c>
      <x:c r="F56" s="14" t="str">
        <x:v>2026</x:v>
      </x:c>
      <x:c r="G56" s="14" t="str">
        <x:v>국가전략/주권AI</x:v>
      </x:c>
      <x:c r="H56" s="14" t="str">
        <x:v>SME 도입·공공서비스·안전기관 확장·AI 투명성/워터마킹 연구 등 포함</x:v>
      </x:c>
      <x:c r="I56" s="14" t="str">
        <x:v>2026</x:v>
      </x:c>
      <x:c r="J56" s="14" t="str">
        <x:v>공식 페이지</x:v>
      </x:c>
      <x:c r="K56" s="21" t="e">
        <x:f>HYPERLINK("https://ised-isde.canada.ca/site/ised/en/canadas-national-artificial-intelligence-strategy-ai-all","열기")</x:f>
      </x:c>
      <x:c r="L56" s="18" t="str">
        <x:v>https://ised-isde.canada.ca/site/ised/en/canadas-national-artificial-intelligence-strategy-ai-all</x:v>
      </x:c>
    </x:row>
    <x:row r="57" ht="36" customHeight="1">
      <x:c r="A57" s="14" t="str">
        <x:v>국가/권역별</x:v>
      </x:c>
      <x:c r="B57" s="14" t="str">
        <x:v>북미·북태평양</x:v>
      </x:c>
      <x:c r="C57" s="14" t="str">
        <x:v>캐나다</x:v>
      </x:c>
      <x:c r="D57" s="14" t="str">
        <x:v>Treasury Board</x:v>
      </x:c>
      <x:c r="E57" s="14" t="str">
        <x:v>AI Strategy for Federal Public Service 2025-2027</x:v>
      </x:c>
      <x:c r="F57" s="14" t="str">
        <x:v>2025/2026</x:v>
      </x:c>
      <x:c r="G57" s="14" t="str">
        <x:v>공공부문/전략</x:v>
      </x:c>
      <x:c r="H57" s="14" t="str">
        <x:v>연방 공공서비스의 투명하고 책임 있는 AI 도입 거버넌스 프레임워크</x:v>
      </x:c>
      <x:c r="I57" s="14" t="str">
        <x:v>2025/26</x:v>
      </x:c>
      <x:c r="J57" s="14" t="str">
        <x:v>공식 페이지</x:v>
      </x:c>
      <x:c r="K57" s="21" t="e">
        <x:f>HYPERLINK("https://www.canada.ca/en/government/system/digital-government/digital-government-innovations/responsible-use-ai/gc-ai-strategy-overview.html","열기")</x:f>
      </x:c>
      <x:c r="L57" s="18" t="str">
        <x:v>https://www.canada.ca/en/government/system/digital-government/digital-government-innovations/responsible-use-ai/gc-ai-strategy-overview.html</x:v>
      </x:c>
    </x:row>
    <x:row r="58" ht="36" customHeight="1">
      <x:c r="A58" s="14" t="str">
        <x:v>국가/권역별</x:v>
      </x:c>
      <x:c r="B58" s="14" t="str">
        <x:v>북미·북태평양</x:v>
      </x:c>
      <x:c r="C58" s="14" t="str">
        <x:v>캐나다</x:v>
      </x:c>
      <x:c r="D58" s="14" t="str">
        <x:v>Treasury Board</x:v>
      </x:c>
      <x:c r="E58" s="14" t="str">
        <x:v>Directive on Automated Decision-Making</x:v>
      </x:c>
      <x:c r="F58" s="14" t="str">
        <x:v>2025 업데이트</x:v>
      </x:c>
      <x:c r="G58" s="14" t="str">
        <x:v>공공부문/자동화 의사결정</x:v>
      </x:c>
      <x:c r="H58" s="14" t="str">
        <x:v>자동화 의사결정 시스템의 위험평가·투명성·책임성 요구</x:v>
      </x:c>
      <x:c r="I58" s="14" t="str">
        <x:v>2025</x:v>
      </x:c>
      <x:c r="J58" s="14" t="str">
        <x:v>공식 지침</x:v>
      </x:c>
      <x:c r="K58" s="21" t="e">
        <x:f>HYPERLINK("https://www.tbs-sct.canada.ca/pol/doc-eng.aspx?id=32592","열기")</x:f>
      </x:c>
      <x:c r="L58" s="18" t="str">
        <x:v>https://www.tbs-sct.canada.ca/pol/doc-eng.aspx?id=32592</x:v>
      </x:c>
    </x:row>
    <x:row r="59" ht="36" customHeight="1">
      <x:c r="A59" s="14" t="str">
        <x:v>국가/권역별</x:v>
      </x:c>
      <x:c r="B59" s="14" t="str">
        <x:v>오세아니아·북태평양</x:v>
      </x:c>
      <x:c r="C59" s="14" t="str">
        <x:v>호주</x:v>
      </x:c>
      <x:c r="D59" s="14" t="str">
        <x:v>Australian Government</x:v>
      </x:c>
      <x:c r="E59" s="14" t="str">
        <x:v>National AI Plan</x:v>
      </x:c>
      <x:c r="F59" s="14" t="str">
        <x:v>2025</x:v>
      </x:c>
      <x:c r="G59" s="14" t="str">
        <x:v>국가전략</x:v>
      </x:c>
      <x:c r="H59" s="14" t="str">
        <x:v>AI 안전·책임 있는 관행·혁신·공공서비스를 다루는 국가 AI 계획</x:v>
      </x:c>
      <x:c r="I59" s="14" t="str">
        <x:v>2025</x:v>
      </x:c>
      <x:c r="J59" s="14" t="str">
        <x:v>공식 페이지</x:v>
      </x:c>
      <x:c r="K59" s="21" t="e">
        <x:f>HYPERLINK("https://www.industry.gov.au/publications/national-ai-plan","열기")</x:f>
      </x:c>
      <x:c r="L59" s="18" t="str">
        <x:v>https://www.industry.gov.au/publications/national-ai-plan</x:v>
      </x:c>
    </x:row>
    <x:row r="60" ht="36" customHeight="1">
      <x:c r="A60" s="14" t="str">
        <x:v>국가/권역별</x:v>
      </x:c>
      <x:c r="B60" s="14" t="str">
        <x:v>오세아니아·북태평양</x:v>
      </x:c>
      <x:c r="C60" s="14" t="str">
        <x:v>호주</x:v>
      </x:c>
      <x:c r="D60" s="14" t="str">
        <x:v>Australian Government</x:v>
      </x:c>
      <x:c r="E60" s="14" t="str">
        <x:v>Guidance for AI Adoption</x:v>
      </x:c>
      <x:c r="F60" s="14" t="str">
        <x:v>2025/2026</x:v>
      </x:c>
      <x:c r="G60" s="14" t="str">
        <x:v>조직 도입/가드레일</x:v>
      </x:c>
      <x:c r="H60" s="14" t="str">
        <x:v>복잡하거나 고위험 AI 사용을 위한 실무 구현 가이드</x:v>
      </x:c>
      <x:c r="I60" s="14" t="str">
        <x:v>2026</x:v>
      </x:c>
      <x:c r="J60" s="14" t="str">
        <x:v>공식 페이지</x:v>
      </x:c>
      <x:c r="K60" s="21" t="e">
        <x:f>HYPERLINK("https://www.industry.gov.au/publications/guidance-ai-adoption","열기")</x:f>
      </x:c>
      <x:c r="L60" s="18" t="str">
        <x:v>https://www.industry.gov.au/publications/guidance-ai-adoption</x:v>
      </x:c>
    </x:row>
    <x:row r="61" ht="36" customHeight="1">
      <x:c r="A61" s="14" t="str">
        <x:v>국가/권역별</x:v>
      </x:c>
      <x:c r="B61" s="14" t="str">
        <x:v>오세아니아·북태평양</x:v>
      </x:c>
      <x:c r="C61" s="14" t="str">
        <x:v>호주</x:v>
      </x:c>
      <x:c r="D61" s="14" t="str">
        <x:v>Digital Transformation Agency</x:v>
      </x:c>
      <x:c r="E61" s="14" t="str">
        <x:v>Policy for responsible use of AI in government v2.0</x:v>
      </x:c>
      <x:c r="F61" s="14" t="str">
        <x:v>2025</x:v>
      </x:c>
      <x:c r="G61" s="14" t="str">
        <x:v>공공부문/의무정책</x:v>
      </x:c>
      <x:c r="H61" s="14" t="str">
        <x:v>연방 공공기관에 AI 책임자·위험기반 조치·거버넌스 요구</x:v>
      </x:c>
      <x:c r="I61" s="14" t="str">
        <x:v>2025</x:v>
      </x:c>
      <x:c r="J61" s="14" t="str">
        <x:v>공식 페이지</x:v>
      </x:c>
      <x:c r="K61" s="21" t="e">
        <x:f>HYPERLINK("https://www.digital.gov.au/policy/ai/policy-responsible-use-ai-government","열기")</x:f>
      </x:c>
      <x:c r="L61" s="18" t="str">
        <x:v>https://www.digital.gov.au/policy/ai/policy-responsible-use-ai-government</x:v>
      </x:c>
    </x:row>
    <x:row r="62" ht="36" customHeight="1">
      <x:c r="A62" s="14" t="str">
        <x:v>국가/권역별</x:v>
      </x:c>
      <x:c r="B62" s="14" t="str">
        <x:v>오세아니아·북태평양</x:v>
      </x:c>
      <x:c r="C62" s="14" t="str">
        <x:v>호주</x:v>
      </x:c>
      <x:c r="D62" s="14" t="str">
        <x:v>Digital Transformation Agency</x:v>
      </x:c>
      <x:c r="E62" s="14" t="str">
        <x:v>AI transparency statements register</x:v>
      </x:c>
      <x:c r="F62" s="14" t="str">
        <x:v>2026</x:v>
      </x:c>
      <x:c r="G62" s="14" t="str">
        <x:v>공공부문/투명성</x:v>
      </x:c>
      <x:c r="H62" s="14" t="str">
        <x:v>공공기관 AI 투명성 진술 등록부</x:v>
      </x:c>
      <x:c r="I62" s="14" t="str">
        <x:v>2026</x:v>
      </x:c>
      <x:c r="J62" s="14" t="str">
        <x:v>공식 등록부</x:v>
      </x:c>
      <x:c r="K62" s="21" t="e">
        <x:f>HYPERLINK("https://www.digital.gov.au/ai/ai-transparency-statements","열기")</x:f>
      </x:c>
      <x:c r="L62" s="18" t="str">
        <x:v>https://www.digital.gov.au/ai/ai-transparency-statements</x:v>
      </x:c>
    </x:row>
    <x:row r="63" ht="36" customHeight="1">
      <x:c r="A63" s="14" t="str">
        <x:v>국가/권역별</x:v>
      </x:c>
      <x:c r="B63" s="14" t="str">
        <x:v>오세아니아·북태평양</x:v>
      </x:c>
      <x:c r="C63" s="14" t="str">
        <x:v>뉴질랜드</x:v>
      </x:c>
      <x:c r="D63" s="14" t="str">
        <x:v>New Zealand Government</x:v>
      </x:c>
      <x:c r="E63" s="14" t="str">
        <x:v>Public Service AI Framework</x:v>
      </x:c>
      <x:c r="F63" s="14" t="str">
        <x:v>2025</x:v>
      </x:c>
      <x:c r="G63" s="14" t="str">
        <x:v>공공부문/프레임워크</x:v>
      </x:c>
      <x:c r="H63" s="14" t="str">
        <x:v>공공서비스에서 책임 있게 AI를 사용하기 위한 프레임워크</x:v>
      </x:c>
      <x:c r="I63" s="14" t="str">
        <x:v>2025</x:v>
      </x:c>
      <x:c r="J63" s="14" t="str">
        <x:v>공식 페이지</x:v>
      </x:c>
      <x:c r="K63" s="21" t="e">
        <x:f>HYPERLINK("https://www.digital.govt.nz/standards-and-guidance/technology-and-architecture/artificial-intelligence/public-service-ai-framework/","열기")</x:f>
      </x:c>
      <x:c r="L63" s="18" t="str">
        <x:v>https://www.digital.govt.nz/standards-and-guidance/technology-and-architecture/artificial-intelligence/public-service-ai-framework/</x:v>
      </x:c>
    </x:row>
    <x:row r="64" ht="36" customHeight="1">
      <x:c r="A64" s="14" t="str">
        <x:v>국가/권역별</x:v>
      </x:c>
      <x:c r="B64" s="14" t="str">
        <x:v>오세아니아·북태평양</x:v>
      </x:c>
      <x:c r="C64" s="14" t="str">
        <x:v>뉴질랜드</x:v>
      </x:c>
      <x:c r="D64" s="14" t="str">
        <x:v>New Zealand Government</x:v>
      </x:c>
      <x:c r="E64" s="14" t="str">
        <x:v>Responsible AI Guidance for Public Service: Generative AI</x:v>
      </x:c>
      <x:c r="F64" s="14" t="str">
        <x:v>2025</x:v>
      </x:c>
      <x:c r="G64" s="14" t="str">
        <x:v>생성형 AI/공공부문</x:v>
      </x:c>
      <x:c r="H64" s="14" t="str">
        <x:v>공공부문 생성형 AI의 안전·투명·책임 있는 활용 지침</x:v>
      </x:c>
      <x:c r="I64" s="14" t="str">
        <x:v>2025</x:v>
      </x:c>
      <x:c r="J64" s="14" t="str">
        <x:v>공식 페이지</x:v>
      </x:c>
      <x:c r="K64" s="21" t="e">
        <x:f>HYPERLINK("https://www.digital.govt.nz/standards-and-guidance/technology-and-architecture/artificial-intelligence/responsible-ai-guidance-for-public-service-generative-ai/","열기")</x:f>
      </x:c>
      <x:c r="L64" s="18" t="str">
        <x:v>https://www.digital.govt.nz/standards-and-guidance/technology-and-architecture/artificial-intelligence/responsible-ai-guidance-for-public-service-generative-ai/</x:v>
      </x:c>
    </x:row>
    <x:row r="65" ht="36" customHeight="1">
      <x:c r="A65" s="14" t="str">
        <x:v>국가/권역별</x:v>
      </x:c>
      <x:c r="B65" s="14" t="str">
        <x:v>오세아니아·북태평양</x:v>
      </x:c>
      <x:c r="C65" s="14" t="str">
        <x:v>뉴질랜드</x:v>
      </x:c>
      <x:c r="D65" s="14" t="str">
        <x:v>New Zealand Government</x:v>
      </x:c>
      <x:c r="E65" s="14" t="str">
        <x:v>AI strategy and guidance for business</x:v>
      </x:c>
      <x:c r="F65" s="14" t="str">
        <x:v>2025</x:v>
      </x:c>
      <x:c r="G65" s="14" t="str">
        <x:v>기업/도입</x:v>
      </x:c>
      <x:c r="H65" s="14" t="str">
        <x:v>기업의 AI 도입을 위한 자발적 실천 기준과 국가 AI 전략</x:v>
      </x:c>
      <x:c r="I65" s="14" t="str">
        <x:v>2025</x:v>
      </x:c>
      <x:c r="J65" s="14" t="str">
        <x:v>공식 페이지</x:v>
      </x:c>
      <x:c r="K65" s="21" t="e">
        <x:f>HYPERLINK("https://www.mbie.govt.nz/business-and-employment/economic-development/digital-economy/artificial-intelligence/","열기")</x:f>
      </x:c>
      <x:c r="L65" s="18" t="str">
        <x:v>https://www.mbie.govt.nz/business-and-employment/economic-development/digital-economy/artificial-intelligence/</x:v>
      </x:c>
    </x:row>
    <x:row r="66" ht="36" customHeight="1">
      <x:c r="A66" s="14" t="str">
        <x:v>국가/권역별</x:v>
      </x:c>
      <x:c r="B66" s="14" t="str">
        <x:v>아시아</x:v>
      </x:c>
      <x:c r="C66" s="14" t="str">
        <x:v>동아시아</x:v>
      </x:c>
      <x:c r="D66" s="14" t="str">
        <x:v>한국</x:v>
      </x:c>
      <x:c r="E66" s="14" t="str">
        <x:v>인공지능 발전과 신뢰 기반 조성 등에 관한 기본법</x:v>
      </x:c>
      <x:c r="F66" s="14" t="str">
        <x:v>2026.1.22 시행</x:v>
      </x:c>
      <x:c r="G66" s="14" t="str">
        <x:v>한국 기본법</x:v>
      </x:c>
      <x:c r="H66" s="14" t="str">
        <x:v>AI 발전과 신뢰 기반 조성, 고영향 AI·생성형 AI·투명성·안전성 규율</x:v>
      </x:c>
      <x:c r="I66" s="14" t="str">
        <x:v>2026</x:v>
      </x:c>
      <x:c r="J66" s="14" t="str">
        <x:v>법령 원문</x:v>
      </x:c>
      <x:c r="K66" s="21" t="e">
        <x:f>HYPERLINK("https://www.law.go.kr/lsInfoP.do?lsiSeq=268543","열기")</x:f>
      </x:c>
      <x:c r="L66" s="18" t="str">
        <x:v>https://www.law.go.kr/lsInfoP.do?lsiSeq=268543</x:v>
      </x:c>
    </x:row>
    <x:row r="67" ht="36" customHeight="1">
      <x:c r="A67" s="14" t="str">
        <x:v>국가/권역별</x:v>
      </x:c>
      <x:c r="B67" s="14" t="str">
        <x:v>아시아</x:v>
      </x:c>
      <x:c r="C67" s="14" t="str">
        <x:v>동아시아</x:v>
      </x:c>
      <x:c r="D67" s="14" t="str">
        <x:v>한국</x:v>
      </x:c>
      <x:c r="E67" s="14" t="str">
        <x:v>AI 기본법 시행령</x:v>
      </x:c>
      <x:c r="F67" s="14" t="str">
        <x:v>2026.1.22 시행</x:v>
      </x:c>
      <x:c r="G67" s="14" t="str">
        <x:v>한국 기본법/시행령</x:v>
      </x:c>
      <x:c r="H67" s="14" t="str">
        <x:v>국가AI전략위원회·AI클러스터·고영향 AI 확인절차·투명성 등 세부 규정</x:v>
      </x:c>
      <x:c r="I67" s="14" t="str">
        <x:v>2026</x:v>
      </x:c>
      <x:c r="J67" s="14" t="str">
        <x:v>법령 원문</x:v>
      </x:c>
      <x:c r="K67" s="21" t="e">
        <x:f>HYPERLINK("https://www.law.go.kr/lsInfoP.do?lsiSeq=270625","열기")</x:f>
      </x:c>
      <x:c r="L67" s="18" t="str">
        <x:v>https://www.law.go.kr/lsInfoP.do?lsiSeq=270625</x:v>
      </x:c>
    </x:row>
    <x:row r="68" ht="36" customHeight="1">
      <x:c r="A68" s="14" t="str">
        <x:v>국가/권역별</x:v>
      </x:c>
      <x:c r="B68" s="14" t="str">
        <x:v>아시아</x:v>
      </x:c>
      <x:c r="C68" s="14" t="str">
        <x:v>동아시아</x:v>
      </x:c>
      <x:c r="D68" s="14" t="str">
        <x:v>한국</x:v>
      </x:c>
      <x:c r="E68" s="14" t="str">
        <x:v>사람이 중심이 되는 AI 윤리기준</x:v>
      </x:c>
      <x:c r="F68" s="14" t="str">
        <x:v>2020 / 계속 활용</x:v>
      </x:c>
      <x:c r="G68" s="14" t="str">
        <x:v>국내 윤리기준</x:v>
      </x:c>
      <x:c r="H68" s="14" t="str">
        <x:v>인간 존엄성·사회의 공공선·기술 합목적성과 10대 핵심요건</x:v>
      </x:c>
      <x:c r="I68" s="14" t="str">
        <x:v>기초자료</x:v>
      </x:c>
      <x:c r="J68" s="14" t="str">
        <x:v>공식 자료</x:v>
      </x:c>
      <x:c r="K68" s="21" t="e">
        <x:f>HYPERLINK("https://ai.kisdi.re.kr/aieth/bbs/B0000085/view.do?menuNo=400&amp;nttId=325","열기")</x:f>
      </x:c>
      <x:c r="L68" s="18" t="str">
        <x:v>https://ai.kisdi.re.kr/aieth/bbs/B0000085/view.do?menuNo=400&amp;nttId=325</x:v>
      </x:c>
    </x:row>
    <x:row r="69" ht="36" customHeight="1">
      <x:c r="A69" s="14" t="str">
        <x:v>국가/권역별</x:v>
      </x:c>
      <x:c r="B69" s="14" t="str">
        <x:v>아시아</x:v>
      </x:c>
      <x:c r="C69" s="14" t="str">
        <x:v>동아시아</x:v>
      </x:c>
      <x:c r="D69" s="14" t="str">
        <x:v>한국</x:v>
      </x:c>
      <x:c r="E69" s="14" t="str">
        <x:v>AI 윤리기준 자율점검표</x:v>
      </x:c>
      <x:c r="F69" s="14" t="str">
        <x:v>운영 중</x:v>
      </x:c>
      <x:c r="G69" s="14" t="str">
        <x:v>점검표/교육</x:v>
      </x:c>
      <x:c r="H69" s="14" t="str">
        <x:v>AI 윤리 10대 핵심요건을 실무 점검표로 적용</x:v>
      </x:c>
      <x:c r="I69" s="14" t="str">
        <x:v>현재</x:v>
      </x:c>
      <x:c r="J69" s="14" t="str">
        <x:v>공식 자료</x:v>
      </x:c>
      <x:c r="K69" s="21" t="e">
        <x:f>HYPERLINK("https://ai.kisdi.re.kr/aieth/bbs/B0000085/view.do?menuNo=400014&amp;nttId=749","열기")</x:f>
      </x:c>
      <x:c r="L69" s="18" t="str">
        <x:v>https://ai.kisdi.re.kr/aieth/bbs/B0000085/view.do?menuNo=400014&amp;nttId=749</x:v>
      </x:c>
    </x:row>
    <x:row r="70" ht="36" customHeight="1">
      <x:c r="A70" s="14" t="str">
        <x:v>국가/권역별</x:v>
      </x:c>
      <x:c r="B70" s="14" t="str">
        <x:v>아시아</x:v>
      </x:c>
      <x:c r="C70" s="14" t="str">
        <x:v>동아시아</x:v>
      </x:c>
      <x:c r="D70" s="14" t="str">
        <x:v>한국</x:v>
      </x:c>
      <x:c r="E70" s="14" t="str">
        <x:v>대한민국 인공지능 행동계획(안)</x:v>
      </x:c>
      <x:c r="F70" s="14" t="str">
        <x:v>2025 전후</x:v>
      </x:c>
      <x:c r="G70" s="14" t="str">
        <x:v>국가전략/공공부문</x:v>
      </x:c>
      <x:c r="H70" s="14" t="str">
        <x:v>공공부문 AI 영향평가·안전한 AI 활용·AI 윤리기준 등 정책과제 포함</x:v>
      </x:c>
      <x:c r="I70" s="14" t="str">
        <x:v>2025</x:v>
      </x:c>
      <x:c r="J70" s="14" t="str">
        <x:v>PDF</x:v>
      </x:c>
      <x:c r="K70" s="21" t="e">
        <x:f>HYPERLINK("https://www.nia.or.kr/site/nia_kor/ex/bbs/View.do?bcIdx=26506&amp;cbIdx=39485","열기")</x:f>
      </x:c>
      <x:c r="L70" s="18" t="str">
        <x:v>https://www.nia.or.kr/site/nia_kor/ex/bbs/View.do?bcIdx=26506&amp;cbIdx=39485</x:v>
      </x:c>
    </x:row>
    <x:row r="71" ht="36" customHeight="1">
      <x:c r="A71" s="14" t="str">
        <x:v>국가/권역별</x:v>
      </x:c>
      <x:c r="B71" s="14" t="str">
        <x:v>아시아</x:v>
      </x:c>
      <x:c r="C71" s="14" t="str">
        <x:v>동아시아</x:v>
      </x:c>
      <x:c r="D71" s="14" t="str">
        <x:v>중국</x:v>
      </x:c>
      <x:c r="E71" s="14" t="str">
        <x:v>生成式人工智能服务管理暂行办法</x:v>
      </x:c>
      <x:c r="F71" s="14" t="str">
        <x:v>2023 시행</x:v>
      </x:c>
      <x:c r="G71" s="14" t="str">
        <x:v>생성형 AI</x:v>
      </x:c>
      <x:c r="H71" s="14" t="str">
        <x:v>생성형 AI 서비스 제공자 책임·개인정보·콘텐츠 관리·사회질서 보호</x:v>
      </x:c>
      <x:c r="I71" s="14" t="str">
        <x:v>기초자료</x:v>
      </x:c>
      <x:c r="J71" s="14" t="str">
        <x:v>공식 원문</x:v>
      </x:c>
      <x:c r="K71" s="21" t="e">
        <x:f>HYPERLINK("https://www.cac.gov.cn/2023-07/13/c_1690898327029107.htm","열기")</x:f>
      </x:c>
      <x:c r="L71" s="18" t="str">
        <x:v>https://www.cac.gov.cn/2023-07/13/c_1690898327029107.htm</x:v>
      </x:c>
    </x:row>
    <x:row r="72" ht="36" customHeight="1">
      <x:c r="A72" s="14" t="str">
        <x:v>국가/권역별</x:v>
      </x:c>
      <x:c r="B72" s="14" t="str">
        <x:v>아시아</x:v>
      </x:c>
      <x:c r="C72" s="14" t="str">
        <x:v>동아시아</x:v>
      </x:c>
      <x:c r="D72" s="14" t="str">
        <x:v>중국</x:v>
      </x:c>
      <x:c r="E72" s="14" t="str">
        <x:v>AI 생성·합성 콘텐츠 표시방법</x:v>
      </x:c>
      <x:c r="F72" s="14" t="str">
        <x:v>2025.9.1 시행</x:v>
      </x:c>
      <x:c r="G72" s="14" t="str">
        <x:v>생성물 표시/딥페이크</x:v>
      </x:c>
      <x:c r="H72" s="14" t="str">
        <x:v>AI 생성 텍스트·이미지·음성·영상 등에 명시적·비명시적 표시 요구</x:v>
      </x:c>
      <x:c r="I72" s="14" t="str">
        <x:v>2025</x:v>
      </x:c>
      <x:c r="J72" s="14" t="str">
        <x:v>공식 원문</x:v>
      </x:c>
      <x:c r="K72" s="21" t="e">
        <x:f>HYPERLINK("https://www.cac.gov.cn/2025-03/14/c_1743654684782215.htm","열기")</x:f>
      </x:c>
      <x:c r="L72" s="18" t="str">
        <x:v>https://www.cac.gov.cn/2025-03/14/c_1743654684782215.htm</x:v>
      </x:c>
    </x:row>
    <x:row r="73" ht="36" customHeight="1">
      <x:c r="A73" s="14" t="str">
        <x:v>국가/권역별</x:v>
      </x:c>
      <x:c r="B73" s="14" t="str">
        <x:v>아시아</x:v>
      </x:c>
      <x:c r="C73" s="14" t="str">
        <x:v>동아시아</x:v>
      </x:c>
      <x:c r="D73" s="14" t="str">
        <x:v>중국</x:v>
      </x:c>
      <x:c r="E73" s="14" t="str">
        <x:v>人脸/换声/AI标识 등 AI 기술 남용 정비 행동</x:v>
      </x:c>
      <x:c r="F73" s="14" t="str">
        <x:v>2025</x:v>
      </x:c>
      <x:c r="G73" s="14" t="str">
        <x:v>콘텐츠/플랫폼 단속</x:v>
      </x:c>
      <x:c r="H73" s="14" t="str">
        <x:v>AI 얼굴·음성 변조·표시 미이행·허위정보에 대한 플랫폼 정비 조치</x:v>
      </x:c>
      <x:c r="I73" s="14" t="str">
        <x:v>2025</x:v>
      </x:c>
      <x:c r="J73" s="14" t="str">
        <x:v>공식 발표</x:v>
      </x:c>
      <x:c r="K73" s="21" t="e">
        <x:f>HYPERLINK("https://www.cac.gov.cn/2025-06/20/c_1752059735742301.htm","열기")</x:f>
      </x:c>
      <x:c r="L73" s="18" t="str">
        <x:v>https://www.cac.gov.cn/2025-06/20/c_1752059735742301.htm</x:v>
      </x:c>
    </x:row>
    <x:row r="74" ht="36" customHeight="1">
      <x:c r="A74" s="14" t="str">
        <x:v>국가/권역별</x:v>
      </x:c>
      <x:c r="B74" s="14" t="str">
        <x:v>아시아</x:v>
      </x:c>
      <x:c r="C74" s="14" t="str">
        <x:v>동아시아</x:v>
      </x:c>
      <x:c r="D74" s="14" t="str">
        <x:v>중국</x:v>
      </x:c>
      <x:c r="E74" s="14" t="str">
        <x:v>人形化互动 AI 服务管理规定 초안</x:v>
      </x:c>
      <x:c r="F74" s="14" t="str">
        <x:v>2025 의견수렴</x:v>
      </x:c>
      <x:c r="G74" s="14" t="str">
        <x:v>감정/의인화 AI</x:v>
      </x:c>
      <x:c r="H74" s="14" t="str">
        <x:v>AI와 상호작용 중 이용자 의존·감정상태 등을 고려하는 의인화 AI 규정 초안</x:v>
      </x:c>
      <x:c r="I74" s="14" t="str">
        <x:v>2025</x:v>
      </x:c>
      <x:c r="J74" s="14" t="str">
        <x:v>공식 초안</x:v>
      </x:c>
      <x:c r="K74" s="21" t="e">
        <x:f>HYPERLINK("https://www.cac.gov.cn/2025-12/27/c_1768428888332054.htm","열기")</x:f>
      </x:c>
      <x:c r="L74" s="18" t="str">
        <x:v>https://www.cac.gov.cn/2025-12/27/c_1768428888332054.htm</x:v>
      </x:c>
    </x:row>
    <x:row r="75" ht="36" customHeight="1">
      <x:c r="A75" s="14" t="str">
        <x:v>국가/권역별</x:v>
      </x:c>
      <x:c r="B75" s="14" t="str">
        <x:v>아시아</x:v>
      </x:c>
      <x:c r="C75" s="14" t="str">
        <x:v>동아시아</x:v>
      </x:c>
      <x:c r="D75" s="14" t="str">
        <x:v>일본</x:v>
      </x:c>
      <x:c r="E75" s="14" t="str">
        <x:v>AI Guidelines for Business Ver.1.2</x:v>
      </x:c>
      <x:c r="F75" s="14" t="str">
        <x:v>2026</x:v>
      </x:c>
      <x:c r="G75" s="14" t="str">
        <x:v>기업 가이드라인</x:v>
      </x:c>
      <x:c r="H75" s="14" t="str">
        <x:v>AI Act 2025 이후 기업 AI 거버넌스와 책임 있는 AI 활용 지침 갱신</x:v>
      </x:c>
      <x:c r="I75" s="14" t="str">
        <x:v>2026</x:v>
      </x:c>
      <x:c r="J75" s="14" t="str">
        <x:v>PDF</x:v>
      </x:c>
      <x:c r="K75" s="21" t="e">
        <x:f>HYPERLINK("https://www.meti.go.jp/shingikai/mono_info_service/ai_shakai_jisso/pdf/20260331_12.pdf","열기")</x:f>
      </x:c>
      <x:c r="L75" s="18" t="str">
        <x:v>https://www.meti.go.jp/shingikai/mono_info_service/ai_shakai_jisso/pdf/20260331_12.pdf</x:v>
      </x:c>
    </x:row>
    <x:row r="76" ht="36" customHeight="1">
      <x:c r="A76" s="14" t="str">
        <x:v>국가/권역별</x:v>
      </x:c>
      <x:c r="B76" s="14" t="str">
        <x:v>아시아</x:v>
      </x:c>
      <x:c r="C76" s="14" t="str">
        <x:v>동아시아</x:v>
      </x:c>
      <x:c r="D76" s="14" t="str">
        <x:v>일본</x:v>
      </x:c>
      <x:c r="E76" s="14" t="str">
        <x:v>AI Guidelines for Business Appendix Ver.1.2</x:v>
      </x:c>
      <x:c r="F76" s="14" t="str">
        <x:v>2026</x:v>
      </x:c>
      <x:c r="G76" s="14" t="str">
        <x:v>기업 실무/체크</x:v>
      </x:c>
      <x:c r="H76" s="14" t="str">
        <x:v>사업자 유형별 실무 참고자료 및 AI Integrity Center 관련 내용</x:v>
      </x:c>
      <x:c r="I76" s="14" t="str">
        <x:v>2026</x:v>
      </x:c>
      <x:c r="J76" s="14" t="str">
        <x:v>PDF</x:v>
      </x:c>
      <x:c r="K76" s="21" t="e">
        <x:f>HYPERLINK("https://www.meti.go.jp/shingikai/mono_info_service/ai_shakai_jisso/pdf/20260331_13.pdf","열기")</x:f>
      </x:c>
      <x:c r="L76" s="18" t="str">
        <x:v>https://www.meti.go.jp/shingikai/mono_info_service/ai_shakai_jisso/pdf/20260331_13.pdf</x:v>
      </x:c>
    </x:row>
    <x:row r="77" ht="36" customHeight="1">
      <x:c r="A77" s="14" t="str">
        <x:v>국가/권역별</x:v>
      </x:c>
      <x:c r="B77" s="14" t="str">
        <x:v>아시아</x:v>
      </x:c>
      <x:c r="C77" s="14" t="str">
        <x:v>동아시아</x:v>
      </x:c>
      <x:c r="D77" s="14" t="str">
        <x:v>일본</x:v>
      </x:c>
      <x:c r="E77" s="14" t="str">
        <x:v>AI Safety Institute Japan</x:v>
      </x:c>
      <x:c r="F77" s="14" t="str">
        <x:v>2024~현재</x:v>
      </x:c>
      <x:c r="G77" s="14" t="str">
        <x:v>AI 안전기관</x:v>
      </x:c>
      <x:c r="H77" s="14" t="str">
        <x:v>AI 안전성 평가·연구·국제협력 담당 기관</x:v>
      </x:c>
      <x:c r="I77" s="14" t="str">
        <x:v>현재</x:v>
      </x:c>
      <x:c r="J77" s="14" t="str">
        <x:v>공식 페이지</x:v>
      </x:c>
      <x:c r="K77" s="21" t="e">
        <x:f>HYPERLINK("https://aisi.go.jp/en/","열기")</x:f>
      </x:c>
      <x:c r="L77" s="18" t="str">
        <x:v>https://aisi.go.jp/en/</x:v>
      </x:c>
    </x:row>
    <x:row r="78" ht="36" customHeight="1">
      <x:c r="A78" s="14" t="str">
        <x:v>국가/권역별</x:v>
      </x:c>
      <x:c r="B78" s="14" t="str">
        <x:v>아시아</x:v>
      </x:c>
      <x:c r="C78" s="14" t="str">
        <x:v>동남아</x:v>
      </x:c>
      <x:c r="D78" s="14" t="str">
        <x:v>싱가포르</x:v>
      </x:c>
      <x:c r="E78" s="14" t="str">
        <x:v>Model AI Governance Framework for Agentic AI</x:v>
      </x:c>
      <x:c r="F78" s="14" t="str">
        <x:v>2026</x:v>
      </x:c>
      <x:c r="G78" s="14" t="str">
        <x:v>에이전트 AI</x:v>
      </x:c>
      <x:c r="H78" s="14" t="str">
        <x:v>Agentic AI의 책임 있는 배포·거버넌스·안전 통제를 다루는 최신 프레임워크</x:v>
      </x:c>
      <x:c r="I78" s="14" t="str">
        <x:v>2026</x:v>
      </x:c>
      <x:c r="J78" s="14" t="str">
        <x:v>PDF</x:v>
      </x:c>
      <x:c r="K78" s="21" t="e">
        <x:f>HYPERLINK("https://aiverifyfoundation.sg/wp-content/uploads/2026/05/Model-AI-Governance-Framework-for-Agentic-AI.pdf","열기")</x:f>
      </x:c>
      <x:c r="L78" s="18" t="str">
        <x:v>https://aiverifyfoundation.sg/wp-content/uploads/2026/05/Model-AI-Governance-Framework-for-Agentic-AI.pdf</x:v>
      </x:c>
    </x:row>
    <x:row r="79" ht="36" customHeight="1">
      <x:c r="A79" s="14" t="str">
        <x:v>국가/권역별</x:v>
      </x:c>
      <x:c r="B79" s="14" t="str">
        <x:v>아시아</x:v>
      </x:c>
      <x:c r="C79" s="14" t="str">
        <x:v>동남아</x:v>
      </x:c>
      <x:c r="D79" s="14" t="str">
        <x:v>싱가포르</x:v>
      </x:c>
      <x:c r="E79" s="14" t="str">
        <x:v>Legal Responsibility for AI Agents</x:v>
      </x:c>
      <x:c r="F79" s="14" t="str">
        <x:v>2026</x:v>
      </x:c>
      <x:c r="G79" s="14" t="str">
        <x:v>법적 책임/에이전트 AI</x:v>
      </x:c>
      <x:c r="H79" s="14" t="str">
        <x:v>AI 에이전트의 민사책임·사법책임 쟁점 정리</x:v>
      </x:c>
      <x:c r="I79" s="14" t="str">
        <x:v>2026</x:v>
      </x:c>
      <x:c r="J79" s="14" t="str">
        <x:v>PDF</x:v>
      </x:c>
      <x:c r="K79" s="21" t="e">
        <x:f>HYPERLINK("https://aiverifyfoundation.sg/wp-content/uploads/2026/05/Legal-Responsibility-for-AI-Agents.pdf","열기")</x:f>
      </x:c>
      <x:c r="L79" s="18" t="str">
        <x:v>https://aiverifyfoundation.sg/wp-content/uploads/2026/05/Legal-Responsibility-for-AI-Agents.pdf</x:v>
      </x:c>
    </x:row>
    <x:row r="80" ht="36" customHeight="1">
      <x:c r="A80" s="14" t="str">
        <x:v>국가/권역별</x:v>
      </x:c>
      <x:c r="B80" s="14" t="str">
        <x:v>아시아</x:v>
      </x:c>
      <x:c r="C80" s="14" t="str">
        <x:v>동남아</x:v>
      </x:c>
      <x:c r="D80" s="14" t="str">
        <x:v>싱가포르</x:v>
      </x:c>
      <x:c r="E80" s="14" t="str">
        <x:v>Model AI Governance Framework for Generative AI</x:v>
      </x:c>
      <x:c r="F80" s="14" t="str">
        <x:v>2024</x:v>
      </x:c>
      <x:c r="G80" s="14" t="str">
        <x:v>생성형 AI/검증</x:v>
      </x:c>
      <x:c r="H80" s="14" t="str">
        <x:v>생성형 AI의 위험·책임·검증·콘텐츠 출처 등 실무 프레임워크</x:v>
      </x:c>
      <x:c r="I80" s="14" t="str">
        <x:v>기초자료</x:v>
      </x:c>
      <x:c r="J80" s="14" t="str">
        <x:v>PDF</x:v>
      </x:c>
      <x:c r="K80" s="21" t="e">
        <x:f>HYPERLINK("https://aiverifyfoundation.sg/wp-content/uploads/2024/05/Model-AI-Governance-Framework-for-Generative-AI-May-2024-1-1.pdf","열기")</x:f>
      </x:c>
      <x:c r="L80" s="18" t="str">
        <x:v>https://aiverifyfoundation.sg/wp-content/uploads/2024/05/Model-AI-Governance-Framework-for-Generative-AI-May-2024-1-1.pdf</x:v>
      </x:c>
    </x:row>
    <x:row r="81" ht="36" customHeight="1">
      <x:c r="A81" s="14" t="str">
        <x:v>국가/권역별</x:v>
      </x:c>
      <x:c r="B81" s="14" t="str">
        <x:v>아시아</x:v>
      </x:c>
      <x:c r="C81" s="14" t="str">
        <x:v>남아시아</x:v>
      </x:c>
      <x:c r="D81" s="14" t="str">
        <x:v>인도</x:v>
      </x:c>
      <x:c r="E81" s="14" t="str">
        <x:v>Report on AI Governance Guidelines Development</x:v>
      </x:c>
      <x:c r="F81" s="14" t="str">
        <x:v>2025</x:v>
      </x:c>
      <x:c r="G81" s="14" t="str">
        <x:v>국가 가이드라인</x:v>
      </x:c>
      <x:c r="H81" s="14" t="str">
        <x:v>데이터 관리·알고리즘 투명성·위험분류·생성형 AI·인간 감독·고충처리 등</x:v>
      </x:c>
      <x:c r="I81" s="14" t="str">
        <x:v>2025</x:v>
      </x:c>
      <x:c r="J81" s="14" t="str">
        <x:v>공식 보고서</x:v>
      </x:c>
      <x:c r="K81" s="21" t="e">
        <x:f>HYPERLINK("https://www.meity.gov.in/content/report-ai-governance-guidelines-development-public-consultation","열기")</x:f>
      </x:c>
      <x:c r="L81" s="18" t="str">
        <x:v>https://www.meity.gov.in/content/report-ai-governance-guidelines-development-public-consultation</x:v>
      </x:c>
    </x:row>
    <x:row r="82" ht="36" customHeight="1">
      <x:c r="A82" s="14" t="str">
        <x:v>국가/권역별</x:v>
      </x:c>
      <x:c r="B82" s="14" t="str">
        <x:v>아시아</x:v>
      </x:c>
      <x:c r="C82" s="14" t="str">
        <x:v>남아시아</x:v>
      </x:c>
      <x:c r="D82" s="14" t="str">
        <x:v>인도</x:v>
      </x:c>
      <x:c r="E82" s="14" t="str">
        <x:v>AI Governance and Economic Group(AIGEG) 구성</x:v>
      </x:c>
      <x:c r="F82" s="14" t="str">
        <x:v>2026</x:v>
      </x:c>
      <x:c r="G82" s="14" t="str">
        <x:v>거버넌스/경제</x:v>
      </x:c>
      <x:c r="H82" s="14" t="str">
        <x:v>AI 정책 조율·책임 있는 혁신·부문별 감독 추진 조직</x:v>
      </x:c>
      <x:c r="I82" s="14" t="str">
        <x:v>2026</x:v>
      </x:c>
      <x:c r="J82" s="14" t="str">
        <x:v>공식 기사</x:v>
      </x:c>
      <x:c r="K82" s="21" t="e">
        <x:f>HYPERLINK("https://indiaai.gov.in/article/government-constitutes-ai-governance-and-economic-group-to-steer-policy","열기")</x:f>
      </x:c>
      <x:c r="L82" s="18" t="str">
        <x:v>https://indiaai.gov.in/article/government-constitutes-ai-governance-and-economic-group-to-steer-policy</x:v>
      </x:c>
    </x:row>
    <x:row r="83" ht="36" customHeight="1">
      <x:c r="A83" s="14" t="str">
        <x:v>국가/권역별</x:v>
      </x:c>
      <x:c r="B83" s="14" t="str">
        <x:v>아시아</x:v>
      </x:c>
      <x:c r="C83" s="14" t="str">
        <x:v>남아시아</x:v>
      </x:c>
      <x:c r="D83" s="14" t="str">
        <x:v>인도</x:v>
      </x:c>
      <x:c r="E83" s="14" t="str">
        <x:v>Draft IT Rules Amendment: Synthetic Content</x:v>
      </x:c>
      <x:c r="F83" s="14" t="str">
        <x:v>2025</x:v>
      </x:c>
      <x:c r="G83" s="14" t="str">
        <x:v>딥페이크/합성콘텐츠</x:v>
      </x:c>
      <x:c r="H83" s="14" t="str">
        <x:v>합성 생성정보 표시·메타데이터·중개자 의무 관련 IT Rules 개정안</x:v>
      </x:c>
      <x:c r="I83" s="14" t="str">
        <x:v>2025</x:v>
      </x:c>
      <x:c r="J83" s="14" t="str">
        <x:v>공식 초안</x:v>
      </x:c>
      <x:c r="K83" s="21" t="e">
        <x:f>HYPERLINK("https://www.meity.gov.in/static/uploads/2025/10/38be31bac9d39bbe22f24fc42442d5d1.pdf","열기")</x:f>
      </x:c>
      <x:c r="L83" s="18" t="str">
        <x:v>https://www.meity.gov.in/static/uploads/2025/10/38be31bac9d39bbe22f24fc42442d5d1.pdf</x:v>
      </x:c>
    </x:row>
    <x:row r="84" ht="36" customHeight="1">
      <x:c r="A84" s="14" t="str">
        <x:v>국가/권역별</x:v>
      </x:c>
      <x:c r="B84" s="14" t="str">
        <x:v>중동</x:v>
      </x:c>
      <x:c r="C84" s="14" t="str">
        <x:v>사우디아라비아</x:v>
      </x:c>
      <x:c r="D84" s="14" t="str">
        <x:v>SDAIA</x:v>
      </x:c>
      <x:c r="E84" s="14" t="str">
        <x:v>AI Ethics Principles</x:v>
      </x:c>
      <x:c r="F84" s="14" t="str">
        <x:v>운영 중</x:v>
      </x:c>
      <x:c r="G84" s="14" t="str">
        <x:v>국가 윤리원칙</x:v>
      </x:c>
      <x:c r="H84" s="14" t="str">
        <x:v>사우디 내 AI 이해관계자 대상 AI 윤리 프레임워크</x:v>
      </x:c>
      <x:c r="I84" s="14" t="str">
        <x:v>현재</x:v>
      </x:c>
      <x:c r="J84" s="14" t="str">
        <x:v>PDF</x:v>
      </x:c>
      <x:c r="K84" s="21" t="e">
        <x:f>HYPERLINK("https://sdaia.gov.sa/en/SDAIA/about/Documents/ai-principles.pdf","열기")</x:f>
      </x:c>
      <x:c r="L84" s="18" t="str">
        <x:v>https://sdaia.gov.sa/en/SDAIA/about/Documents/ai-principles.pdf</x:v>
      </x:c>
    </x:row>
    <x:row r="85" ht="36" customHeight="1">
      <x:c r="A85" s="14" t="str">
        <x:v>국가/권역별</x:v>
      </x:c>
      <x:c r="B85" s="14" t="str">
        <x:v>중동</x:v>
      </x:c>
      <x:c r="C85" s="14" t="str">
        <x:v>사우디아라비아</x:v>
      </x:c>
      <x:c r="D85" s="14" t="str">
        <x:v>SDAIA</x:v>
      </x:c>
      <x:c r="E85" s="14" t="str">
        <x:v>Generative AI Guidelines for Government</x:v>
      </x:c>
      <x:c r="F85" s="14" t="str">
        <x:v>운영 중</x:v>
      </x:c>
      <x:c r="G85" s="14" t="str">
        <x:v>공공부문/생성형 AI</x:v>
      </x:c>
      <x:c r="H85" s="14" t="str">
        <x:v>정부 부문 생성형 AI 활용 지침과 윤리 원칙 적용</x:v>
      </x:c>
      <x:c r="I85" s="14" t="str">
        <x:v>현재</x:v>
      </x:c>
      <x:c r="J85" s="14" t="str">
        <x:v>PDF</x:v>
      </x:c>
      <x:c r="K85" s="21" t="e">
        <x:f>HYPERLINK("https://sdaia.gov.sa/en/SDAIA/about/Files/GenAIGuidelinesForGovernmentENCompressed.pdf","열기")</x:f>
      </x:c>
      <x:c r="L85" s="18" t="str">
        <x:v>https://sdaia.gov.sa/en/SDAIA/about/Files/GenAIGuidelinesForGovernmentENCompressed.pdf</x:v>
      </x:c>
    </x:row>
    <x:row r="86" ht="36" customHeight="1">
      <x:c r="A86" s="14" t="str">
        <x:v>국가/권역별</x:v>
      </x:c>
      <x:c r="B86" s="14" t="str">
        <x:v>중동</x:v>
      </x:c>
      <x:c r="C86" s="14" t="str">
        <x:v>UAE/두바이</x:v>
      </x:c>
      <x:c r="D86" s="14" t="str">
        <x:v>Dubai</x:v>
      </x:c>
      <x:c r="E86" s="14" t="str">
        <x:v>AI Policy for Government Entities</x:v>
      </x:c>
      <x:c r="F86" s="14" t="str">
        <x:v>2025</x:v>
      </x:c>
      <x:c r="G86" s="14" t="str">
        <x:v>공공부문/책임AI</x:v>
      </x:c>
      <x:c r="H86" s="14" t="str">
        <x:v>두바이 정부기관의 AI 배포에 설명가능성·인간중심성·상호운용성·선제규제 반영</x:v>
      </x:c>
      <x:c r="I86" s="14" t="str">
        <x:v>2025</x:v>
      </x:c>
      <x:c r="J86" s="14" t="str">
        <x:v>공식 발표</x:v>
      </x:c>
      <x:c r="K86" s="21" t="e">
        <x:f>HYPERLINK("https://www.protocol.dubai.ae/en/media-listing/news-events/hamdan-bin-mohammed-reviews-first-edition-of-dubai-state-of-ai-report-and-witnesses-launch-of-ai-policy-at-dubai-ai-week/","열기")</x:f>
      </x:c>
      <x:c r="L86" s="18" t="str">
        <x:v>https://www.protocol.dubai.ae/en/media-listing/news-events/hamdan-bin-mohammed-reviews-first-edition-of-dubai-state-of-ai-report-and-witnesses-launch-of-ai-policy-at-dubai-ai-week/</x:v>
      </x:c>
    </x:row>
    <x:row r="87" ht="36" customHeight="1">
      <x:c r="A87" s="14" t="str">
        <x:v>국가/권역별</x:v>
      </x:c>
      <x:c r="B87" s="14" t="str">
        <x:v>남미</x:v>
      </x:c>
      <x:c r="C87" s="14" t="str">
        <x:v>브라질</x:v>
      </x:c>
      <x:c r="D87" s="14" t="str">
        <x:v>Brazil</x:v>
      </x:c>
      <x:c r="E87" s="14" t="str">
        <x:v>Plano Brasileiro de Inteligência Artificial 2024-2028</x:v>
      </x:c>
      <x:c r="F87" s="14" t="str">
        <x:v>2024~2028</x:v>
      </x:c>
      <x:c r="G87" s="14" t="str">
        <x:v>국가전략/공공서비스</x:v>
      </x:c>
      <x:c r="H87" s="14" t="str">
        <x:v>공공부문 효율성·산업혁신·사회지향 AI를 위한 브라질 AI 계획</x:v>
      </x:c>
      <x:c r="I87" s="14" t="str">
        <x:v>기초/현재</x:v>
      </x:c>
      <x:c r="J87" s="14" t="str">
        <x:v>공식 페이지</x:v>
      </x:c>
      <x:c r="K87" s="21" t="e">
        <x:f>HYPERLINK("https://www.gov.br/mcti/pt-br/acompanhe-o-mcti/transformacaodigital/plano-brasileiro-de-inteligencia-artificial","열기")</x:f>
      </x:c>
      <x:c r="L87" s="18" t="str">
        <x:v>https://www.gov.br/mcti/pt-br/acompanhe-o-mcti/transformacaodigital/plano-brasileiro-de-inteligencia-artificial</x:v>
      </x:c>
    </x:row>
    <x:row r="88" ht="36" customHeight="1">
      <x:c r="A88" s="14" t="str">
        <x:v>국가/권역별</x:v>
      </x:c>
      <x:c r="B88" s="14" t="str">
        <x:v>남미</x:v>
      </x:c>
      <x:c r="C88" s="14" t="str">
        <x:v>브라질</x:v>
      </x:c>
      <x:c r="D88" s="14" t="str">
        <x:v>Brazil</x:v>
      </x:c>
      <x:c r="E88" s="14" t="str">
        <x:v>IA para o Bem de Todos – PBIA PDF</x:v>
      </x:c>
      <x:c r="F88" s="14" t="str">
        <x:v>2024~2028</x:v>
      </x:c>
      <x:c r="G88" s="14" t="str">
        <x:v>국가전략/투자</x:v>
      </x:c>
      <x:c r="H88" s="14" t="str">
        <x:v>AI for the Good of All: 투자·공공서비스·산업·사회적 활용 계획</x:v>
      </x:c>
      <x:c r="I88" s="14" t="str">
        <x:v>기초/현재</x:v>
      </x:c>
      <x:c r="J88" s="14" t="str">
        <x:v>PDF</x:v>
      </x:c>
      <x:c r="K88" s="21" t="e">
        <x:f>HYPERLINK("https://www.gov.br/mcti/pt-br/acompanhe-o-mcti/transformacaodigital/plano-brasileiro-de-inteligencia-artificial-pbia-_vf.pdf","열기")</x:f>
      </x:c>
      <x:c r="L88" s="18" t="str">
        <x:v>https://www.gov.br/mcti/pt-br/acompanhe-o-mcti/transformacaodigital/plano-brasileiro-de-inteligencia-artificial-pbia-_vf.pdf</x:v>
      </x:c>
    </x:row>
    <x:row r="89" ht="36" customHeight="1">
      <x:c r="A89" s="14" t="str">
        <x:v>국가/권역별</x:v>
      </x:c>
      <x:c r="B89" s="14" t="str">
        <x:v>남미</x:v>
      </x:c>
      <x:c r="C89" s="14" t="str">
        <x:v>브라질</x:v>
      </x:c>
      <x:c r="D89" s="14" t="str">
        <x:v>Brazil Senate</x:v>
      </x:c>
      <x:c r="E89" s="14" t="str">
        <x:v>PL 2338/2023 AI Bill</x:v>
      </x:c>
      <x:c r="F89" s="14" t="str">
        <x:v>입법 진행</x:v>
      </x:c>
      <x:c r="G89" s="14" t="str">
        <x:v>포괄법/기본권</x:v>
      </x:c>
      <x:c r="H89" s="14" t="str">
        <x:v>기본권 보호·위험기반 규제·책임 있는 AI 사용을 다루는 AI 법안</x:v>
      </x:c>
      <x:c r="I89" s="14" t="str">
        <x:v>진행 중</x:v>
      </x:c>
      <x:c r="J89" s="14" t="str">
        <x:v>상원 페이지</x:v>
      </x:c>
      <x:c r="K89" s="21" t="e">
        <x:f>HYPERLINK("https://www25.senado.leg.br/web/atividade/materias/-/materia/157233","열기")</x:f>
      </x:c>
      <x:c r="L89" s="18" t="str">
        <x:v>https://www25.senado.leg.br/web/atividade/materias/-/materia/157233</x:v>
      </x:c>
    </x:row>
    <x:row r="90" ht="36" customHeight="1">
      <x:c r="A90" s="14" t="str">
        <x:v>국가/권역별</x:v>
      </x:c>
      <x:c r="B90" s="14" t="str">
        <x:v>남미</x:v>
      </x:c>
      <x:c r="C90" s="14" t="str">
        <x:v>콜롬비아</x:v>
      </x:c>
      <x:c r="D90" s="14" t="str">
        <x:v>DNP</x:v>
      </x:c>
      <x:c r="E90" s="14" t="str">
        <x:v>CONPES 4144 National AI Policy</x:v>
      </x:c>
      <x:c r="F90" s="14" t="str">
        <x:v>2025 승인</x:v>
      </x:c>
      <x:c r="G90" s="14" t="str">
        <x:v>국가정책/윤리</x:v>
      </x:c>
      <x:c r="H90" s="14" t="str">
        <x:v>2030년까지 윤리적 AI 도입·포용성·격차 해소를 위한 100개 이상 액션</x:v>
      </x:c>
      <x:c r="I90" s="14" t="str">
        <x:v>2025</x:v>
      </x:c>
      <x:c r="J90" s="14" t="str">
        <x:v>공식 페이지</x:v>
      </x:c>
      <x:c r="K90" s="21" t="e">
        <x:f>HYPERLINK("https://www.dnp.gov.co/Prensa_/Noticias/Paginas/colombia-aprueba-la-politica-nacional-de-inteligencia-artificial.aspx","열기")</x:f>
      </x:c>
      <x:c r="L90" s="18" t="str">
        <x:v>https://www.dnp.gov.co/Prensa_/Noticias/Paginas/colombia-aprueba-la-politica-nacional-de-inteligencia-artificial.aspx</x:v>
      </x:c>
    </x:row>
    <x:row r="91" ht="36" customHeight="1">
      <x:c r="A91" s="14" t="str">
        <x:v>국가/권역별</x:v>
      </x:c>
      <x:c r="B91" s="14" t="str">
        <x:v>남미</x:v>
      </x:c>
      <x:c r="C91" s="14" t="str">
        <x:v>콜롬비아</x:v>
      </x:c>
      <x:c r="D91" s="14" t="str">
        <x:v>DNP</x:v>
      </x:c>
      <x:c r="E91" s="14" t="str">
        <x:v>CONPES 4144 PDF</x:v>
      </x:c>
      <x:c r="F91" s="14" t="str">
        <x:v>2025</x:v>
      </x:c>
      <x:c r="G91" s="14" t="str">
        <x:v>국가정책/실행계획</x:v>
      </x:c>
      <x:c r="H91" s="14" t="str">
        <x:v>콜롬비아 국가 AI 정책 원문 PDF</x:v>
      </x:c>
      <x:c r="I91" s="14" t="str">
        <x:v>2025</x:v>
      </x:c>
      <x:c r="J91" s="14" t="str">
        <x:v>PDF</x:v>
      </x:c>
      <x:c r="K91" s="21" t="e">
        <x:f>HYPERLINK("https://colaboracion.dnp.gov.co/CDT/Conpes/Econ%C3%B3micos/4144.pdf","열기")</x:f>
      </x:c>
      <x:c r="L91" s="18" t="str">
        <x:v>https://colaboracion.dnp.gov.co/CDT/Conpes/Econ%C3%B3micos/4144.pdf</x:v>
      </x:c>
    </x:row>
    <x:row r="92" ht="36" customHeight="1">
      <x:c r="A92" s="14" t="str">
        <x:v>국가/권역별</x:v>
      </x:c>
      <x:c r="B92" s="14" t="str">
        <x:v>남미</x:v>
      </x:c>
      <x:c r="C92" s="14" t="str">
        <x:v>칠레</x:v>
      </x:c>
      <x:c r="D92" s="14" t="str">
        <x:v>Chile</x:v>
      </x:c>
      <x:c r="E92" s="14" t="str">
        <x:v>National AI Policy</x:v>
      </x:c>
      <x:c r="F92" s="14" t="str">
        <x:v>2021 / 현재 운영</x:v>
      </x:c>
      <x:c r="G92" s="14" t="str">
        <x:v>국가정책/윤리</x:v>
      </x:c>
      <x:c r="H92" s="14" t="str">
        <x:v>AI 거버넌스·윤리·개발·도입 축으로 구성된 국가 AI 정책</x:v>
      </x:c>
      <x:c r="I92" s="14" t="str">
        <x:v>기초자료</x:v>
      </x:c>
      <x:c r="J92" s="14" t="str">
        <x:v>공식 페이지</x:v>
      </x:c>
      <x:c r="K92" s="21" t="e">
        <x:f>HYPERLINK("https://www.minciencia.gob.cl/areas/inteligencia-artificial/politica-nacional-de-inteligencia-artificial/","열기")</x:f>
      </x:c>
      <x:c r="L92" s="18" t="str">
        <x:v>https://www.minciencia.gob.cl/areas/inteligencia-artificial/politica-nacional-de-inteligencia-artificial/</x:v>
      </x:c>
    </x:row>
    <x:row r="93" ht="36" customHeight="1">
      <x:c r="A93" s="14" t="str">
        <x:v>국가/권역별</x:v>
      </x:c>
      <x:c r="B93" s="14" t="str">
        <x:v>남미</x:v>
      </x:c>
      <x:c r="C93" s="14" t="str">
        <x:v>칠레</x:v>
      </x:c>
      <x:c r="D93" s="14" t="str">
        <x:v>Chile</x:v>
      </x:c>
      <x:c r="E93" s="14" t="str">
        <x:v>National Data Centers Plan</x:v>
      </x:c>
      <x:c r="F93" s="14" t="str">
        <x:v>2024</x:v>
      </x:c>
      <x:c r="G93" s="14" t="str">
        <x:v>인프라/ESG</x:v>
      </x:c>
      <x:c r="H93" s="14" t="str">
        <x:v>AI·데이터센터 인프라의 지속가능성·에너지·물 사용과 연결</x:v>
      </x:c>
      <x:c r="I93" s="14" t="str">
        <x:v>2024</x:v>
      </x:c>
      <x:c r="J93" s="14" t="str">
        <x:v>공식 자료</x:v>
      </x:c>
      <x:c r="K93" s="21" t="e">
        <x:f>HYPERLINK("https://www.gob.cl/en/news/government-presents-national-data-centers-plan/","열기")</x:f>
      </x:c>
      <x:c r="L93" s="18" t="str">
        <x:v>https://www.gob.cl/en/news/government-presents-national-data-centers-plan/</x:v>
      </x:c>
    </x:row>
    <x:row r="94" ht="36" customHeight="1">
      <x:c r="A94" s="14" t="str">
        <x:v>국가/권역별</x:v>
      </x:c>
      <x:c r="B94" s="14" t="str">
        <x:v>남미</x:v>
      </x:c>
      <x:c r="C94" s="14" t="str">
        <x:v>아르헨티나</x:v>
      </x:c>
      <x:c r="D94" s="14" t="str">
        <x:v>Argentina</x:v>
      </x:c>
      <x:c r="E94" s="14" t="str">
        <x:v>Recomendaciones para el uso de IA</x:v>
      </x:c>
      <x:c r="F94" s="14" t="str">
        <x:v>2023 / 현재 활용</x:v>
      </x:c>
      <x:c r="G94" s="14" t="str">
        <x:v>공공혁신/윤리</x:v>
      </x:c>
      <x:c r="H94" s="14" t="str">
        <x:v>공공혁신 프로젝트에서 기본권 보호·위험관리·인간중심 설계를 권고</x:v>
      </x:c>
      <x:c r="I94" s="14" t="str">
        <x:v>기초자료</x:v>
      </x:c>
      <x:c r="J94" s="14" t="str">
        <x:v>공식 페이지</x:v>
      </x:c>
      <x:c r="K94" s="21" t="e">
        <x:f>HYPERLINK("https://www.argentina.gob.ar/justicia/derechofacil/leysimple/educacion-ciencia-cultura/recomendaciones-para-el-uso-de","열기")</x:f>
      </x:c>
      <x:c r="L94" s="18" t="str">
        <x:v>https://www.argentina.gob.ar/justicia/derechofacil/leysimple/educacion-ciencia-cultura/recomendaciones-para-el-uso-de</x:v>
      </x:c>
    </x:row>
    <x:row r="95" ht="36" customHeight="1">
      <x:c r="A95" s="14" t="str">
        <x:v>국가/권역별</x:v>
      </x:c>
      <x:c r="B95" s="14" t="str">
        <x:v>남미</x:v>
      </x:c>
      <x:c r="C95" s="14" t="str">
        <x:v>아르헨티나</x:v>
      </x:c>
      <x:c r="D95" s="14" t="str">
        <x:v>Argentina</x:v>
      </x:c>
      <x:c r="E95" s="14" t="str">
        <x:v>Programa PaideIA</x:v>
      </x:c>
      <x:c r="F95" s="14" t="str">
        <x:v>2025</x:v>
      </x:c>
      <x:c r="G95" s="14" t="str">
        <x:v>교육/학교</x:v>
      </x:c>
      <x:c r="H95" s="14" t="str">
        <x:v>초·중등 교육에 AI를 통합하는 교육혁신 프로그램</x:v>
      </x:c>
      <x:c r="I95" s="14" t="str">
        <x:v>2025</x:v>
      </x:c>
      <x:c r="J95" s="14" t="str">
        <x:v>공식 기사</x:v>
      </x:c>
      <x:c r="K95" s="21" t="e">
        <x:f>HYPERLINK("https://www.argentina.gob.ar/noticias/capital-humano-lanza-el-programa-paideia-para-integrar-inteligencia-artificial-en-el","열기")</x:f>
      </x:c>
      <x:c r="L95" s="18" t="str">
        <x:v>https://www.argentina.gob.ar/noticias/capital-humano-lanza-el-programa-paideia-para-integrar-inteligencia-artificial-en-el</x:v>
      </x:c>
    </x:row>
    <x:row r="96" ht="36" customHeight="1">
      <x:c r="A96" s="14" t="str">
        <x:v>국가/권역별</x:v>
      </x:c>
      <x:c r="B96" s="14" t="str">
        <x:v>남미</x:v>
      </x:c>
      <x:c r="C96" s="14" t="str">
        <x:v>우루과이</x:v>
      </x:c>
      <x:c r="D96" s="14" t="str">
        <x:v>AGESIC</x:v>
      </x:c>
      <x:c r="E96" s="14" t="str">
        <x:v>Estrategia Nacional de IA 2024-2030</x:v>
      </x:c>
      <x:c r="F96" s="14" t="str">
        <x:v>2024~2030</x:v>
      </x:c>
      <x:c r="G96" s="14" t="str">
        <x:v>국가전략/데이터</x:v>
      </x:c>
      <x:c r="H96" s="14" t="str">
        <x:v>지속가능하고 포용적인 개발을 위한 국가 AI·데이터 전략</x:v>
      </x:c>
      <x:c r="I96" s="14" t="str">
        <x:v>현재</x:v>
      </x:c>
      <x:c r="J96" s="14" t="str">
        <x:v>공식 페이지</x:v>
      </x:c>
      <x:c r="K96" s="21" t="e">
        <x:f>HYPERLINK("https://www.gub.uy/agencia-gobierno-electronico-sociedad-informacion-conocimiento/comunicacion/publicaciones/estrategia-nacional-inteligencia-artificial-2024-2030","열기")</x:f>
      </x:c>
      <x:c r="L96" s="18" t="str">
        <x:v>https://www.gub.uy/agencia-gobierno-electronico-sociedad-informacion-conocimiento/comunicacion/publicaciones/estrategia-nacional-inteligencia-artificial-2024-2030</x:v>
      </x:c>
    </x:row>
    <x:row r="97" ht="36" customHeight="1">
      <x:c r="A97" s="14" t="str">
        <x:v>국가/권역별</x:v>
      </x:c>
      <x:c r="B97" s="14" t="str">
        <x:v>남미</x:v>
      </x:c>
      <x:c r="C97" s="14" t="str">
        <x:v>우루과이</x:v>
      </x:c>
      <x:c r="D97" s="14" t="str">
        <x:v>AGESIC</x:v>
      </x:c>
      <x:c r="E97" s="14" t="str">
        <x:v>AI for Good Lab</x:v>
      </x:c>
      <x:c r="F97" s="14" t="str">
        <x:v>2026</x:v>
      </x:c>
      <x:c r="G97" s="14" t="str">
        <x:v>공공서비스/사회적 영향</x:v>
      </x:c>
      <x:c r="H97" s="14" t="str">
        <x:v>공공 영향 AI 솔루션 개발을 위한 AI for Good 실험실</x:v>
      </x:c>
      <x:c r="I97" s="14" t="str">
        <x:v>2026</x:v>
      </x:c>
      <x:c r="J97" s="14" t="str">
        <x:v>공식 기사</x:v>
      </x:c>
      <x:c r="K97" s="21" t="e">
        <x:f>HYPERLINK("https://www.gub.uy/agencia-gobierno-electronico-sociedad-informacion-conocimiento/publico/politica-digital-del-uruguay","열기")</x:f>
      </x:c>
      <x:c r="L97" s="18" t="str">
        <x:v>https://www.gub.uy/agencia-gobierno-electronico-sociedad-informacion-conocimiento/publico/politica-digital-del-uruguay</x:v>
      </x:c>
    </x:row>
    <x:row r="98" ht="36" customHeight="1">
      <x:c r="A98" s="14" t="str">
        <x:v>국가/권역별</x:v>
      </x:c>
      <x:c r="B98" s="14" t="str">
        <x:v>아프리카</x:v>
      </x:c>
      <x:c r="C98" s="14" t="str">
        <x:v>범아프리카</x:v>
      </x:c>
      <x:c r="D98" s="14" t="str">
        <x:v>Smart Africa</x:v>
      </x:c>
      <x:c r="E98" s="14" t="str">
        <x:v>Artificial Intelligence for Africa Blueprint</x:v>
      </x:c>
      <x:c r="F98" s="14" t="str">
        <x:v>운영 중</x:v>
      </x:c>
      <x:c r="G98" s="14" t="str">
        <x:v>지역 로드맵</x:v>
      </x:c>
      <x:c r="H98" s="14" t="str">
        <x:v>아프리카 단일 디지털 시장과 포용적 AI 발전을 위한 청사진</x:v>
      </x:c>
      <x:c r="I98" s="14" t="str">
        <x:v>현재</x:v>
      </x:c>
      <x:c r="J98" s="14" t="str">
        <x:v>공식 페이지</x:v>
      </x:c>
      <x:c r="K98" s="21" t="e">
        <x:f>HYPERLINK("https://smartafrica.org/blueprint/","열기")</x:f>
      </x:c>
      <x:c r="L98" s="18" t="str">
        <x:v>https://smartafrica.org/blueprint/</x:v>
      </x:c>
    </x:row>
    <x:row r="99" ht="36" customHeight="1">
      <x:c r="A99" s="14" t="str">
        <x:v>국가/권역별</x:v>
      </x:c>
      <x:c r="B99" s="14" t="str">
        <x:v>아프리카</x:v>
      </x:c>
      <x:c r="C99" s="14" t="str">
        <x:v>범아프리카</x:v>
      </x:c>
      <x:c r="D99" s="14" t="str">
        <x:v>Smart Africa</x:v>
      </x:c>
      <x:c r="E99" s="14" t="str">
        <x:v>Digital Health Blueprint</x:v>
      </x:c>
      <x:c r="F99" s="14" t="str">
        <x:v>2025</x:v>
      </x:c>
      <x:c r="G99" s="14" t="str">
        <x:v>보건/디지털헬스</x:v>
      </x:c>
      <x:c r="H99" s="14" t="str">
        <x:v>아프리카 디지털 보건 상호운용성과 AI 활용 기반 자료</x:v>
      </x:c>
      <x:c r="I99" s="14" t="str">
        <x:v>2025</x:v>
      </x:c>
      <x:c r="J99" s="14" t="str">
        <x:v>PDF</x:v>
      </x:c>
      <x:c r="K99" s="21" t="e">
        <x:f>HYPERLINK("https://smartafrica.org/wp-content/uploads/2025/11/Digital-Health-Blueprint-English-2.pdf","열기")</x:f>
      </x:c>
      <x:c r="L99" s="18" t="str">
        <x:v>https://smartafrica.org/wp-content/uploads/2025/11/Digital-Health-Blueprint-English-2.pdf</x:v>
      </x:c>
    </x:row>
  </x:sheetData>
  <x:pageMargins left="0.7" right="0.7" top="0.75" bottom="0.75" header="0.3" footer="0.3"/>
  <x:tableParts count="1">
    <x:tablePart xmlns:r="http://schemas.openxmlformats.org/officeDocument/2006/relationships" r:id="Rf91dd329daa14b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8" hidden="0" customWidth="1"/>
    <x:col min="5" max="5" width="34" hidden="0" customWidth="1"/>
    <x:col min="6" max="6" width="14" hidden="0" customWidth="1"/>
    <x:col min="7" max="7" width="18" hidden="0" customWidth="1"/>
    <x:col min="8" max="8" width="42" hidden="0" customWidth="1"/>
    <x:col min="9" max="9" width="10" hidden="0" customWidth="1"/>
    <x:col min="10" max="10" width="18" hidden="0" customWidth="1"/>
    <x:col min="11" max="11" width="8" hidden="0" customWidth="1"/>
    <x:col min="12" max="12" width="58" hidden="0" customWidth="1"/>
  </x:cols>
  <x:sheetData>
    <x:row r="1" ht="28" customHeight="1">
      <x:c r="A1" s="6" t="str">
        <x:v>대분류</x:v>
      </x:c>
      <x:c r="B1" s="6" t="str">
        <x:v>권역</x:v>
      </x:c>
      <x:c r="C1" s="6" t="str">
        <x:v>세부권역</x:v>
      </x:c>
      <x:c r="D1" s="6" t="str">
        <x:v>국가/기관</x:v>
      </x:c>
      <x:c r="E1" s="6" t="str">
        <x:v>자료명</x:v>
      </x:c>
      <x:c r="F1" s="6" t="str">
        <x:v>연도/상태</x:v>
      </x:c>
      <x:c r="G1" s="6" t="str">
        <x:v>분야/카테고리</x:v>
      </x:c>
      <x:c r="H1" s="6" t="str">
        <x:v>핵심 내용(압축)</x:v>
      </x:c>
      <x:c r="I1" s="6" t="str">
        <x:v>최신성</x:v>
      </x:c>
      <x:c r="J1" s="6" t="str">
        <x:v>접근성/비고</x:v>
      </x:c>
      <x:c r="K1" s="6" t="str">
        <x:v>클릭</x:v>
      </x:c>
      <x:c r="L1" s="6" t="str">
        <x:v>URL원문</x:v>
      </x:c>
    </x:row>
    <x:row r="2" ht="36" customHeight="1">
      <x:c r="A2" s="14" t="str">
        <x:v>기관별</x:v>
      </x:c>
      <x:c r="B2" s="14" t="str">
        <x:v>글로벌</x:v>
      </x:c>
      <x:c r="C2" s="14" t="str">
        <x:v>교육</x:v>
      </x:c>
      <x:c r="D2" s="14" t="str">
        <x:v>UNESCO</x:v>
      </x:c>
      <x:c r="E2" s="14" t="str">
        <x:v>AI Competency Framework for Teachers</x:v>
      </x:c>
      <x:c r="F2" s="14" t="str">
        <x:v>2024 / 2026 페이지 갱신</x:v>
      </x:c>
      <x:c r="G2" s="14" t="str">
        <x:v>교육/강사역량</x:v>
      </x:c>
      <x:c r="H2" s="14" t="str">
        <x:v>교사가 갖춰야 할 AI 윤리·기초·교수법·전문성 역량 15개 제시</x:v>
      </x:c>
      <x:c r="I2" s="14" t="str">
        <x:v>2026</x:v>
      </x:c>
      <x:c r="J2" s="14" t="str">
        <x:v>공식 페이지</x:v>
      </x:c>
      <x:c r="K2" s="21" t="e">
        <x:f>HYPERLINK("https://www.unesco.org/en/articles/ai-competency-framework-teachers","열기")</x:f>
      </x:c>
      <x:c r="L2" s="18" t="str">
        <x:v>https://www.unesco.org/en/articles/ai-competency-framework-teachers</x:v>
      </x:c>
    </x:row>
    <x:row r="3" ht="36" customHeight="1">
      <x:c r="A3" s="14" t="str">
        <x:v>기관별</x:v>
      </x:c>
      <x:c r="B3" s="14" t="str">
        <x:v>글로벌</x:v>
      </x:c>
      <x:c r="C3" s="14" t="str">
        <x:v>교육</x:v>
      </x:c>
      <x:c r="D3" s="14" t="str">
        <x:v>UNESCO</x:v>
      </x:c>
      <x:c r="E3" s="14" t="str">
        <x:v>AI Competency Framework for Students</x:v>
      </x:c>
      <x:c r="F3" s="14" t="str">
        <x:v>2024 / 2026 페이지 갱신</x:v>
      </x:c>
      <x:c r="G3" s="14" t="str">
        <x:v>교육/학생역량</x:v>
      </x:c>
      <x:c r="H3" s="14" t="str">
        <x:v>학생이 AI를 안전하고 의미 있게 활용하도록 12개 역량 제시</x:v>
      </x:c>
      <x:c r="I3" s="14" t="str">
        <x:v>2026</x:v>
      </x:c>
      <x:c r="J3" s="14" t="str">
        <x:v>공식 페이지</x:v>
      </x:c>
      <x:c r="K3" s="21" t="e">
        <x:f>HYPERLINK("https://www.unesco.org/en/articles/ai-competency-framework-students","열기")</x:f>
      </x:c>
      <x:c r="L3" s="18" t="str">
        <x:v>https://www.unesco.org/en/articles/ai-competency-framework-students</x:v>
      </x:c>
    </x:row>
    <x:row r="4" ht="36" customHeight="1">
      <x:c r="A4" s="14" t="str">
        <x:v>기관별</x:v>
      </x:c>
      <x:c r="B4" s="14" t="str">
        <x:v>아시아</x:v>
      </x:c>
      <x:c r="C4" s="14" t="str">
        <x:v>ASEAN</x:v>
      </x:c>
      <x:c r="D4" s="14" t="str">
        <x:v>ASEAN</x:v>
      </x:c>
      <x:c r="E4" s="14" t="str">
        <x:v>Expanded ASEAN Guide on AI Governance and Ethics – Generative AI</x:v>
      </x:c>
      <x:c r="F4" s="14" t="str">
        <x:v>2025</x:v>
      </x:c>
      <x:c r="G4" s="14" t="str">
        <x:v>생성형 AI</x:v>
      </x:c>
      <x:c r="H4" s="14" t="str">
        <x:v>생성형 AI 리스크와 책임 있는 도입을 위한 정책 권고 및 활용 사례</x:v>
      </x:c>
      <x:c r="I4" s="14" t="str">
        <x:v>2025</x:v>
      </x:c>
      <x:c r="J4" s="14" t="str">
        <x:v>PDF</x:v>
      </x:c>
      <x:c r="K4" s="21" t="e">
        <x:f>HYPERLINK("https://asean.org/wp-content/uploads/2025/01/Expanded-ASEAN-Guide-on-AI-Governance-and-Ethics-Generative-AI.pdf","열기")</x:f>
      </x:c>
      <x:c r="L4" s="18" t="str">
        <x:v>https://asean.org/wp-content/uploads/2025/01/Expanded-ASEAN-Guide-on-AI-Governance-and-Ethics-Generative-AI.pdf</x:v>
      </x:c>
    </x:row>
    <x:row r="5" ht="36" customHeight="1">
      <x:c r="A5" s="14" t="str">
        <x:v>기관별</x:v>
      </x:c>
      <x:c r="B5" s="14" t="str">
        <x:v>아시아</x:v>
      </x:c>
      <x:c r="C5" s="14" t="str">
        <x:v>ASEAN</x:v>
      </x:c>
      <x:c r="D5" s="14" t="str">
        <x:v>ASEAN</x:v>
      </x:c>
      <x:c r="E5" s="14" t="str">
        <x:v>ASEAN Responsible AI Roadmap 2025-2030</x:v>
      </x:c>
      <x:c r="F5" s="14" t="str">
        <x:v>2025</x:v>
      </x:c>
      <x:c r="G5" s="14" t="str">
        <x:v>지역 로드맵</x:v>
      </x:c>
      <x:c r="H5" s="14" t="str">
        <x:v>ASEAN 책임 있는 AI 생태계 조성을 위한 실행 로드맵</x:v>
      </x:c>
      <x:c r="I5" s="14" t="str">
        <x:v>2025</x:v>
      </x:c>
      <x:c r="J5" s="14" t="str">
        <x:v>PDF</x:v>
      </x:c>
      <x:c r="K5" s="21" t="e">
        <x:f>HYPERLINK("https://asean.org/wp-content/uploads/2025/02/ASEAN-Responsible-AI-Roadmap-Final.docx.pdf","열기")</x:f>
      </x:c>
      <x:c r="L5" s="18" t="str">
        <x:v>https://asean.org/wp-content/uploads/2025/02/ASEAN-Responsible-AI-Roadmap-Final.docx.pdf</x:v>
      </x:c>
    </x:row>
    <x:row r="6" ht="36" customHeight="1">
      <x:c r="A6" s="14" t="str">
        <x:v>ISO</x:v>
      </x:c>
      <x:c r="B6" s="14" t="str">
        <x:v>글로벌</x:v>
      </x:c>
      <x:c r="C6" s="14" t="str">
        <x:v>표준</x:v>
      </x:c>
      <x:c r="D6" s="14" t="str">
        <x:v>ISO/IEC</x:v>
      </x:c>
      <x:c r="E6" s="14" t="str">
        <x:v>ISO/IEC 42005:2025 AI System Impact Assessment</x:v>
      </x:c>
      <x:c r="F6" s="14" t="str">
        <x:v>2025 발간</x:v>
      </x:c>
      <x:c r="G6" s="14" t="str">
        <x:v>영향평가</x:v>
      </x:c>
      <x:c r="H6" s="14" t="str">
        <x:v>AI 시스템 영향평가를 식별·분석·문서화하는 표준</x:v>
      </x:c>
      <x:c r="I6" s="14" t="str">
        <x:v>2025</x:v>
      </x:c>
      <x:c r="J6" s="14" t="str">
        <x:v>공식 표준</x:v>
      </x:c>
      <x:c r="K6" s="21" t="e">
        <x:f>HYPERLINK("https://www.iso.org/standard/42005","열기")</x:f>
      </x:c>
      <x:c r="L6" s="18" t="str">
        <x:v>https://www.iso.org/standard/42005</x:v>
      </x:c>
    </x:row>
    <x:row r="7" ht="36" customHeight="1">
      <x:c r="A7" s="14" t="str">
        <x:v>ISO</x:v>
      </x:c>
      <x:c r="B7" s="14" t="str">
        <x:v>글로벌</x:v>
      </x:c>
      <x:c r="C7" s="14" t="str">
        <x:v>표준</x:v>
      </x:c>
      <x:c r="D7" s="14" t="str">
        <x:v>ISO/IEC</x:v>
      </x:c>
      <x:c r="E7" s="14" t="str">
        <x:v>ISO/IEC 42006:2025 AIMS Certification Bodies</x:v>
      </x:c>
      <x:c r="F7" s="14" t="str">
        <x:v>2025 발간</x:v>
      </x:c>
      <x:c r="G7" s="14" t="str">
        <x:v>인증/감사</x:v>
      </x:c>
      <x:c r="H7" s="14" t="str">
        <x:v>AI 경영시스템 인증기관의 감사·인증 요구사항</x:v>
      </x:c>
      <x:c r="I7" s="14" t="str">
        <x:v>2025</x:v>
      </x:c>
      <x:c r="J7" s="14" t="str">
        <x:v>공식 표준</x:v>
      </x:c>
      <x:c r="K7" s="21" t="e">
        <x:f>HYPERLINK("https://www.iso.org/standard/42006","열기")</x:f>
      </x:c>
      <x:c r="L7" s="18" t="str">
        <x:v>https://www.iso.org/standard/42006</x:v>
      </x:c>
    </x:row>
    <x:row r="8" ht="36" customHeight="1">
      <x:c r="A8" s="14" t="str">
        <x:v>ISO</x:v>
      </x:c>
      <x:c r="B8" s="14" t="str">
        <x:v>글로벌</x:v>
      </x:c>
      <x:c r="C8" s="14" t="str">
        <x:v>표준</x:v>
      </x:c>
      <x:c r="D8" s="14" t="str">
        <x:v>ISO/IEC</x:v>
      </x:c>
      <x:c r="E8" s="14" t="str">
        <x:v>ISO/IEC 12792:2025 Transparency Taxonomy</x:v>
      </x:c>
      <x:c r="F8" s="14" t="str">
        <x:v>2025 발간</x:v>
      </x:c>
      <x:c r="G8" s="14" t="str">
        <x:v>투명성</x:v>
      </x:c>
      <x:c r="H8" s="14" t="str">
        <x:v>AI 시스템 투명성 분류체계 관련 최신 표준</x:v>
      </x:c>
      <x:c r="I8" s="14" t="str">
        <x:v>2025</x:v>
      </x:c>
      <x:c r="J8" s="14" t="str">
        <x:v>ISO 카탈로그/OBP</x:v>
      </x:c>
      <x:c r="K8" s="21" t="e">
        <x:f>HYPERLINK("https://www.iso.org/obp/ui/en/","열기")</x:f>
      </x:c>
      <x:c r="L8" s="18" t="str">
        <x:v>https://www.iso.org/obp/ui/en/</x:v>
      </x:c>
    </x:row>
    <x:row r="9" ht="36" customHeight="1">
      <x:c r="A9" s="14" t="str">
        <x:v>ISO</x:v>
      </x:c>
      <x:c r="B9" s="14" t="str">
        <x:v>글로벌</x:v>
      </x:c>
      <x:c r="C9" s="14" t="str">
        <x:v>표준</x:v>
      </x:c>
      <x:c r="D9" s="14" t="str">
        <x:v>ISO/IEC</x:v>
      </x:c>
      <x:c r="E9" s="14" t="str">
        <x:v>ISO/IEC TS 42119-2:2025 Testing of AI – Overview</x:v>
      </x:c>
      <x:c r="F9" s="14" t="str">
        <x:v>2025 발간</x:v>
      </x:c>
      <x:c r="G9" s="14" t="str">
        <x:v>테스트/검증</x:v>
      </x:c>
      <x:c r="H9" s="14" t="str">
        <x:v>AI 시스템 테스트 개요 표준</x:v>
      </x:c>
      <x:c r="I9" s="14" t="str">
        <x:v>2025</x:v>
      </x:c>
      <x:c r="J9" s="14" t="str">
        <x:v>ISO 카탈로그</x:v>
      </x:c>
      <x:c r="K9" s="21" t="e">
        <x:f>HYPERLINK("https://www.iso.org/ics/35.020.html","열기")</x:f>
      </x:c>
      <x:c r="L9" s="18" t="str">
        <x:v>https://www.iso.org/ics/35.020.html</x:v>
      </x:c>
    </x:row>
    <x:row r="10" ht="36" customHeight="1">
      <x:c r="A10" s="14" t="str">
        <x:v>국가/권역별</x:v>
      </x:c>
      <x:c r="B10" s="14" t="str">
        <x:v>유럽</x:v>
      </x:c>
      <x:c r="C10" s="14" t="str">
        <x:v>EU</x:v>
      </x:c>
      <x:c r="D10" s="14" t="str">
        <x:v>EU</x:v>
      </x:c>
      <x:c r="E10" s="14" t="str">
        <x:v>EU AI Act 공식 설명자료</x:v>
      </x:c>
      <x:c r="F10" s="14" t="str">
        <x:v>2024 발효 / 2025~2026 단계 적용</x:v>
      </x:c>
      <x:c r="G10" s="14" t="str">
        <x:v>포괄법/위험기반</x:v>
      </x:c>
      <x:c r="H10" s="14" t="str">
        <x:v>금지 AI·고위험 AI·범용 AI·투명성 의무를 위험 기반으로 규율</x:v>
      </x:c>
      <x:c r="I10" s="14" t="str">
        <x:v>2026</x:v>
      </x:c>
      <x:c r="J10" s="14" t="str">
        <x:v>공식 페이지</x:v>
      </x:c>
      <x:c r="K10" s="21" t="e">
        <x:f>HYPERLINK("https://digital-strategy.ec.europa.eu/en/policies/regulatory-framework-ai","열기")</x:f>
      </x:c>
      <x:c r="L10" s="18" t="str">
        <x:v>https://digital-strategy.ec.europa.eu/en/policies/regulatory-framework-ai</x:v>
      </x:c>
    </x:row>
    <x:row r="11" ht="36" customHeight="1">
      <x:c r="A11" s="14" t="str">
        <x:v>국가/권역별</x:v>
      </x:c>
      <x:c r="B11" s="14" t="str">
        <x:v>유럽</x:v>
      </x:c>
      <x:c r="C11" s="14" t="str">
        <x:v>EU</x:v>
      </x:c>
      <x:c r="D11" s="14" t="str">
        <x:v>EU</x:v>
      </x:c>
      <x:c r="E11" s="14" t="str">
        <x:v>General-Purpose AI Code of Practice</x:v>
      </x:c>
      <x:c r="F11" s="14" t="str">
        <x:v>2025</x:v>
      </x:c>
      <x:c r="G11" s="14" t="str">
        <x:v>범용 AI/저작권/안전</x:v>
      </x:c>
      <x:c r="H11" s="14" t="str">
        <x:v>투명성·저작권·안전/보안 장으로 구성된 GPAI 준수 실무 코드</x:v>
      </x:c>
      <x:c r="I11" s="14" t="str">
        <x:v>2025</x:v>
      </x:c>
      <x:c r="J11" s="14" t="str">
        <x:v>공식 페이지</x:v>
      </x:c>
      <x:c r="K11" s="21" t="e">
        <x:f>HYPERLINK("https://digital-strategy.ec.europa.eu/en/policies/contents-code-gpai","열기")</x:f>
      </x:c>
      <x:c r="L11" s="18" t="str">
        <x:v>https://digital-strategy.ec.europa.eu/en/policies/contents-code-gpai</x:v>
      </x:c>
    </x:row>
    <x:row r="12" ht="36" customHeight="1">
      <x:c r="A12" s="14" t="str">
        <x:v>국가/권역별</x:v>
      </x:c>
      <x:c r="B12" s="14" t="str">
        <x:v>유럽</x:v>
      </x:c>
      <x:c r="C12" s="14" t="str">
        <x:v>EU</x:v>
      </x:c>
      <x:c r="D12" s="14" t="str">
        <x:v>EU</x:v>
      </x:c>
      <x:c r="E12" s="14" t="str">
        <x:v>Guidelines for providers of GPAI models</x:v>
      </x:c>
      <x:c r="F12" s="14" t="str">
        <x:v>2026</x:v>
      </x:c>
      <x:c r="G12" s="14" t="str">
        <x:v>범용 AI</x:v>
      </x:c>
      <x:c r="H12" s="14" t="str">
        <x:v>GPAI 모델 제공자 의무와 적용 범위 관련 가이드라인</x:v>
      </x:c>
      <x:c r="I12" s="14" t="str">
        <x:v>2026</x:v>
      </x:c>
      <x:c r="J12" s="14" t="str">
        <x:v>공식 문서 페이지</x:v>
      </x:c>
      <x:c r="K12" s="21" t="e">
        <x:f>HYPERLINK("https://digital-strategy.ec.europa.eu/en/library/guidelines-providers-general-purpose-ai-models","열기")</x:f>
      </x:c>
      <x:c r="L12" s="18" t="str">
        <x:v>https://digital-strategy.ec.europa.eu/en/library/guidelines-providers-general-purpose-ai-models</x:v>
      </x:c>
    </x:row>
    <x:row r="13" ht="36" customHeight="1">
      <x:c r="A13" s="14" t="str">
        <x:v>국가/권역별</x:v>
      </x:c>
      <x:c r="B13" s="14" t="str">
        <x:v>유럽</x:v>
      </x:c>
      <x:c r="C13" s="14" t="str">
        <x:v>EU</x:v>
      </x:c>
      <x:c r="D13" s="14" t="str">
        <x:v>EU</x:v>
      </x:c>
      <x:c r="E13" s="14" t="str">
        <x:v>Code of Practice on Transparency of AI-Generated Content</x:v>
      </x:c>
      <x:c r="F13" s="14" t="str">
        <x:v>2026</x:v>
      </x:c>
      <x:c r="G13" s="14" t="str">
        <x:v>생성물 표시/딥페이크</x:v>
      </x:c>
      <x:c r="H13" s="14" t="str">
        <x:v>AI 생성 콘텐츠 표시·탐지·라벨링 관련 Article 50 투명성 의무 지원</x:v>
      </x:c>
      <x:c r="I13" s="14" t="str">
        <x:v>2026</x:v>
      </x:c>
      <x:c r="J13" s="14" t="str">
        <x:v>공식 페이지</x:v>
      </x:c>
      <x:c r="K13" s="21" t="e">
        <x:f>HYPERLINK("https://digital-strategy.ec.europa.eu/en/policies/code-practice-ai-generated-content","열기")</x:f>
      </x:c>
      <x:c r="L13" s="18" t="str">
        <x:v>https://digital-strategy.ec.europa.eu/en/policies/code-practice-ai-generated-content</x:v>
      </x:c>
    </x:row>
    <x:row r="14" ht="36" customHeight="1">
      <x:c r="A14" s="14" t="str">
        <x:v>국가/권역별</x:v>
      </x:c>
      <x:c r="B14" s="14" t="str">
        <x:v>유럽</x:v>
      </x:c>
      <x:c r="C14" s="14" t="str">
        <x:v>독일</x:v>
      </x:c>
      <x:c r="D14" s="14" t="str">
        <x:v>BSI</x:v>
      </x:c>
      <x:c r="E14" s="14" t="str">
        <x:v>Test Criteria Catalogue for AI Systems in Finance</x:v>
      </x:c>
      <x:c r="F14" s="14" t="str">
        <x:v>2025</x:v>
      </x:c>
      <x:c r="G14" s="14" t="str">
        <x:v>금융/테스트</x:v>
      </x:c>
      <x:c r="H14" s="14" t="str">
        <x:v>금융 분야 AI 시스템을 위한 테스트 기준 카탈로그</x:v>
      </x:c>
      <x:c r="I14" s="14" t="str">
        <x:v>2025</x:v>
      </x:c>
      <x:c r="J14" s="14" t="str">
        <x:v>PDF</x:v>
      </x:c>
      <x:c r="K14" s="21" t="e">
        <x:f>HYPERLINK("https://www.bsi.bund.de/SharedDocs/Downloads/EN/BSI/AI/Test_Criteria_Catalogue_AI_Finance.html","열기")</x:f>
      </x:c>
      <x:c r="L14" s="18" t="str">
        <x:v>https://www.bsi.bund.de/SharedDocs/Downloads/EN/BSI/AI/Test_Criteria_Catalogue_AI_Finance.html</x:v>
      </x:c>
    </x:row>
    <x:row r="15" ht="36" customHeight="1">
      <x:c r="A15" s="14" t="str">
        <x:v>국가/권역별</x:v>
      </x:c>
      <x:c r="B15" s="14" t="str">
        <x:v>유럽</x:v>
      </x:c>
      <x:c r="C15" s="14" t="str">
        <x:v>독일</x:v>
      </x:c>
      <x:c r="D15" s="14" t="str">
        <x:v>BSI</x:v>
      </x:c>
      <x:c r="E15" s="14" t="str">
        <x:v>Explainable AI in adversarial context</x:v>
      </x:c>
      <x:c r="F15" s="14" t="str">
        <x:v>2025</x:v>
      </x:c>
      <x:c r="G15" s="14" t="str">
        <x:v>설명가능성/보안</x:v>
      </x:c>
      <x:c r="H15" s="14" t="str">
        <x:v>적대적 환경에서 설명가능 AI의 보안·신뢰성 이슈를 다룸</x:v>
      </x:c>
      <x:c r="I15" s="14" t="str">
        <x:v>2025</x:v>
      </x:c>
      <x:c r="J15" s="14" t="str">
        <x:v>공식 자료</x:v>
      </x:c>
      <x:c r="K15" s="21" t="e">
        <x:f>HYPERLINK("https://www.bsi.bund.de/SharedDocs/Downloads/EN/BSI/AI/Explainable_AI.html","열기")</x:f>
      </x:c>
      <x:c r="L15" s="18" t="str">
        <x:v>https://www.bsi.bund.de/SharedDocs/Downloads/EN/BSI/AI/Explainable_AI.html</x:v>
      </x:c>
    </x:row>
    <x:row r="16" ht="36" customHeight="1">
      <x:c r="A16" s="14" t="str">
        <x:v>국가/권역별</x:v>
      </x:c>
      <x:c r="B16" s="14" t="str">
        <x:v>유럽</x:v>
      </x:c>
      <x:c r="C16" s="14" t="str">
        <x:v>독일</x:v>
      </x:c>
      <x:c r="D16" s="14" t="str">
        <x:v>BMWK/BMWE</x:v>
      </x:c>
      <x:c r="E16" s="14" t="str">
        <x:v>AI 전략·규제 샌드박스 자료</x:v>
      </x:c>
      <x:c r="F16" s="14" t="str">
        <x:v>2025 전후</x:v>
      </x:c>
      <x:c r="G16" s="14" t="str">
        <x:v>혁신/규제실험</x:v>
      </x:c>
      <x:c r="H16" s="14" t="str">
        <x:v>AI Act 이행과 혁신을 병행하기 위한 규제 샌드박스 정책 자료</x:v>
      </x:c>
      <x:c r="I16" s="14" t="str">
        <x:v>2025</x:v>
      </x:c>
      <x:c r="J16" s="14" t="str">
        <x:v>공식 페이지</x:v>
      </x:c>
      <x:c r="K16" s="21" t="e">
        <x:f>HYPERLINK("https://www.bmwk.de/Redaktion/EN/Dossier/artificial-intelligence.html","열기")</x:f>
      </x:c>
      <x:c r="L16" s="18" t="str">
        <x:v>https://www.bmwk.de/Redaktion/EN/Dossier/artificial-intelligence.html</x:v>
      </x:c>
    </x:row>
    <x:row r="17" ht="36" customHeight="1">
      <x:c r="A17" s="14" t="str">
        <x:v>국가/권역별</x:v>
      </x:c>
      <x:c r="B17" s="14" t="str">
        <x:v>유럽</x:v>
      </x:c>
      <x:c r="C17" s="14" t="str">
        <x:v>프랑스</x:v>
      </x:c>
      <x:c r="D17" s="14" t="str">
        <x:v>CNIL</x:v>
      </x:c>
      <x:c r="E17" s="14" t="str">
        <x:v>AI and GDPR recommendations</x:v>
      </x:c>
      <x:c r="F17" s="14" t="str">
        <x:v>2025</x:v>
      </x:c>
      <x:c r="G17" s="14" t="str">
        <x:v>개인정보/데이터</x:v>
      </x:c>
      <x:c r="H17" s="14" t="str">
        <x:v>AI 개발·배포 시 GDPR 준수와 정보주체 권리 보호 지침</x:v>
      </x:c>
      <x:c r="I17" s="14" t="str">
        <x:v>2025</x:v>
      </x:c>
      <x:c r="J17" s="14" t="str">
        <x:v>공식 페이지</x:v>
      </x:c>
      <x:c r="K17" s="21" t="e">
        <x:f>HYPERLINK("https://www.cnil.fr/en/artificial-intelligence","열기")</x:f>
      </x:c>
      <x:c r="L17" s="18" t="str">
        <x:v>https://www.cnil.fr/en/artificial-intelligence</x:v>
      </x:c>
    </x:row>
    <x:row r="18" ht="36" customHeight="1">
      <x:c r="A18" s="14" t="str">
        <x:v>국가/권역별</x:v>
      </x:c>
      <x:c r="B18" s="14" t="str">
        <x:v>유럽</x:v>
      </x:c>
      <x:c r="C18" s="14" t="str">
        <x:v>프랑스</x:v>
      </x:c>
      <x:c r="D18" s="14" t="str">
        <x:v>CNIL</x:v>
      </x:c>
      <x:c r="E18" s="14" t="str">
        <x:v>CNIL Annual Report 2025</x:v>
      </x:c>
      <x:c r="F18" s="14" t="str">
        <x:v>2026 발간</x:v>
      </x:c>
      <x:c r="G18" s="14" t="str">
        <x:v>감독/고위험 AI</x:v>
      </x:c>
      <x:c r="H18" s="14" t="str">
        <x:v>프랑스 개인정보 감독기관의 AI Act 관련 감독 역할과 AI 이슈 정리</x:v>
      </x:c>
      <x:c r="I18" s="14" t="str">
        <x:v>2026</x:v>
      </x:c>
      <x:c r="J18" s="14" t="str">
        <x:v>공식 자료</x:v>
      </x:c>
      <x:c r="K18" s="21" t="e">
        <x:f>HYPERLINK("https://www.cnil.fr/en/annual-report","열기")</x:f>
      </x:c>
      <x:c r="L18" s="18" t="str">
        <x:v>https://www.cnil.fr/en/annual-report</x:v>
      </x:c>
    </x:row>
    <x:row r="19" ht="36" customHeight="1">
      <x:c r="A19" s="14" t="str">
        <x:v>국가/권역별</x:v>
      </x:c>
      <x:c r="B19" s="14" t="str">
        <x:v>유럽</x:v>
      </x:c>
      <x:c r="C19" s="14" t="str">
        <x:v>프랑스</x:v>
      </x:c>
      <x:c r="D19" s="14" t="str">
        <x:v>France</x:v>
      </x:c>
      <x:c r="E19" s="14" t="str">
        <x:v>AI Action Summit – Inclusive and Sustainable AI Statement</x:v>
      </x:c>
      <x:c r="F19" s="14" t="str">
        <x:v>2025</x:v>
      </x:c>
      <x:c r="G19" s="14" t="str">
        <x:v>국제협력/지속가능성</x:v>
      </x:c>
      <x:c r="H19" s="14" t="str">
        <x:v>사람과 지구를 위한 포용적·지속가능 AI 원칙을 담은 파리 AI 정상회의 성명</x:v>
      </x:c>
      <x:c r="I19" s="14" t="str">
        <x:v>2025</x:v>
      </x:c>
      <x:c r="J19" s="14" t="str">
        <x:v>공식 페이지</x:v>
      </x:c>
      <x:c r="K19" s="21" t="e">
        <x:f>HYPERLINK("https://www.elysee.fr/en/sommet-pour-l-action-sur-l-ia/2025/02/11/statement-on-inclusive-and-sustainable-artificial-intelligence-for-people-and-the-planet","열기")</x:f>
      </x:c>
      <x:c r="L19" s="18" t="str">
        <x:v>https://www.elysee.fr/en/sommet-pour-l-action-sur-l-ia/2025/02/11/statement-on-inclusive-and-sustainable-artificial-intelligence-for-people-and-the-planet</x:v>
      </x:c>
    </x:row>
    <x:row r="20" ht="36" customHeight="1">
      <x:c r="A20" s="14" t="str">
        <x:v>국가/권역별</x:v>
      </x:c>
      <x:c r="B20" s="14" t="str">
        <x:v>유럽</x:v>
      </x:c>
      <x:c r="C20" s="14" t="str">
        <x:v>이탈리아</x:v>
      </x:c>
      <x:c r="D20" s="14" t="str">
        <x:v>MIMIT</x:v>
      </x:c>
      <x:c r="E20" s="14" t="str">
        <x:v>ISO standards supporting AI Act</x:v>
      </x:c>
      <x:c r="F20" s="14" t="str">
        <x:v>2025</x:v>
      </x:c>
      <x:c r="G20" s="14" t="str">
        <x:v>표준/AI Act 이행</x:v>
      </x:c>
      <x:c r="H20" s="14" t="str">
        <x:v>AI Act와 ISO/IEC 42001 등 표준 연계 설명 자료</x:v>
      </x:c>
      <x:c r="I20" s="14" t="str">
        <x:v>2025</x:v>
      </x:c>
      <x:c r="J20" s="14" t="str">
        <x:v>PDF</x:v>
      </x:c>
      <x:c r="K20" s="21" t="e">
        <x:f>HYPERLINK("https://www.mimit.gov.it/images/stories/digitale/Rivista/Rivista_70_2025/6_Gli_standard_ISO_a_supporto_dellAI_ACT_2.pdf","열기")</x:f>
      </x:c>
      <x:c r="L20" s="18" t="str">
        <x:v>https://www.mimit.gov.it/images/stories/digitale/Rivista/Rivista_70_2025/6_Gli_standard_ISO_a_supporto_dellAI_ACT_2.pdf</x:v>
      </x:c>
    </x:row>
    <x:row r="21" ht="36" customHeight="1">
      <x:c r="A21" s="14" t="str">
        <x:v>국가/권역별</x:v>
      </x:c>
      <x:c r="B21" s="14" t="str">
        <x:v>유럽</x:v>
      </x:c>
      <x:c r="C21" s="14" t="str">
        <x:v>영국</x:v>
      </x:c>
      <x:c r="D21" s="14" t="str">
        <x:v>UK Government</x:v>
      </x:c>
      <x:c r="E21" s="14" t="str">
        <x:v>AI Opportunities Action Plan</x:v>
      </x:c>
      <x:c r="F21" s="14" t="str">
        <x:v>2025</x:v>
      </x:c>
      <x:c r="G21" s="14" t="str">
        <x:v>국가전략/혁신</x:v>
      </x:c>
      <x:c r="H21" s="14" t="str">
        <x:v>영국의 AI 기회 확대와 공공·산업 적용 계획</x:v>
      </x:c>
      <x:c r="I21" s="14" t="str">
        <x:v>2025</x:v>
      </x:c>
      <x:c r="J21" s="14" t="str">
        <x:v>공식 페이지</x:v>
      </x:c>
      <x:c r="K21" s="21" t="e">
        <x:f>HYPERLINK("https://www.gov.uk/government/publications/ai-opportunities-action-plan","열기")</x:f>
      </x:c>
      <x:c r="L21" s="18" t="str">
        <x:v>https://www.gov.uk/government/publications/ai-opportunities-action-plan</x:v>
      </x:c>
    </x:row>
    <x:row r="22" ht="36" customHeight="1">
      <x:c r="A22" s="14" t="str">
        <x:v>국가/권역별</x:v>
      </x:c>
      <x:c r="B22" s="14" t="str">
        <x:v>유럽</x:v>
      </x:c>
      <x:c r="C22" s="14" t="str">
        <x:v>영국</x:v>
      </x:c>
      <x:c r="D22" s="14" t="str">
        <x:v>UK Government</x:v>
      </x:c>
      <x:c r="E22" s="14" t="str">
        <x:v>AI Opportunities Action Plan: one year on</x:v>
      </x:c>
      <x:c r="F22" s="14" t="str">
        <x:v>2026</x:v>
      </x:c>
      <x:c r="G22" s="14" t="str">
        <x:v>국가전략/이행점검</x:v>
      </x:c>
      <x:c r="H22" s="14" t="str">
        <x:v>AI Action Plan 이행 현황과 50개 권고 중 이행 현황 점검</x:v>
      </x:c>
      <x:c r="I22" s="14" t="str">
        <x:v>2026</x:v>
      </x:c>
      <x:c r="J22" s="14" t="str">
        <x:v>공식 페이지</x:v>
      </x:c>
      <x:c r="K22" s="21" t="e">
        <x:f>HYPERLINK("https://www.gov.uk/government/publications/ai-opportunities-action-plan-one-year-on","열기")</x:f>
      </x:c>
      <x:c r="L22" s="18" t="str">
        <x:v>https://www.gov.uk/government/publications/ai-opportunities-action-plan-one-year-on</x:v>
      </x:c>
    </x:row>
    <x:row r="23" ht="36" customHeight="1">
      <x:c r="A23" s="14" t="str">
        <x:v>국가/권역별</x:v>
      </x:c>
      <x:c r="B23" s="14" t="str">
        <x:v>유럽</x:v>
      </x:c>
      <x:c r="C23" s="14" t="str">
        <x:v>영국</x:v>
      </x:c>
      <x:c r="D23" s="14" t="str">
        <x:v>UK Government</x:v>
      </x:c>
      <x:c r="E23" s="14" t="str">
        <x:v>Data and AI Ethics Framework</x:v>
      </x:c>
      <x:c r="F23" s="14" t="str">
        <x:v>2025 업데이트</x:v>
      </x:c>
      <x:c r="G23" s="14" t="str">
        <x:v>공공부문/윤리</x:v>
      </x:c>
      <x:c r="H23" s="14" t="str">
        <x:v>공공부문 데이터·AI 개발·조달·사용 시 책임 있는 원칙과 활동</x:v>
      </x:c>
      <x:c r="I23" s="14" t="str">
        <x:v>2025</x:v>
      </x:c>
      <x:c r="J23" s="14" t="str">
        <x:v>공식 페이지</x:v>
      </x:c>
      <x:c r="K23" s="21" t="e">
        <x:f>HYPERLINK("https://www.gov.uk/government/publications/data-ethics-framework","열기")</x:f>
      </x:c>
      <x:c r="L23" s="18" t="str">
        <x:v>https://www.gov.uk/government/publications/data-ethics-framework</x:v>
      </x:c>
    </x:row>
    <x:row r="24" ht="36" customHeight="1">
      <x:c r="A24" s="14" t="str">
        <x:v>국가/권역별</x:v>
      </x:c>
      <x:c r="B24" s="14" t="str">
        <x:v>유럽</x:v>
      </x:c>
      <x:c r="C24" s="14" t="str">
        <x:v>영국</x:v>
      </x:c>
      <x:c r="D24" s="14" t="str">
        <x:v>UK Government</x:v>
      </x:c>
      <x:c r="E24" s="14" t="str">
        <x:v>AI Playbook for the UK Government</x:v>
      </x:c>
      <x:c r="F24" s="14" t="str">
        <x:v>2025</x:v>
      </x:c>
      <x:c r="G24" s="14" t="str">
        <x:v>공공부문/실무</x:v>
      </x:c>
      <x:c r="H24" s="14" t="str">
        <x:v>정부기관의 안전하고 효과적인 AI 사용을 위한 10대 원칙·위험·조달 실무</x:v>
      </x:c>
      <x:c r="I24" s="14" t="str">
        <x:v>2025</x:v>
      </x:c>
      <x:c r="J24" s="14" t="str">
        <x:v>공식 페이지</x:v>
      </x:c>
      <x:c r="K24" s="21" t="e">
        <x:f>HYPERLINK("https://www.gov.uk/government/publications/ai-playbook-for-the-uk-government","열기")</x:f>
      </x:c>
      <x:c r="L24" s="18" t="str">
        <x:v>https://www.gov.uk/government/publications/ai-playbook-for-the-uk-government</x:v>
      </x:c>
    </x:row>
    <x:row r="25" ht="36" customHeight="1">
      <x:c r="A25" s="14" t="str">
        <x:v>국가/권역별</x:v>
      </x:c>
      <x:c r="B25" s="14" t="str">
        <x:v>유럽</x:v>
      </x:c>
      <x:c r="C25" s="14" t="str">
        <x:v>북유럽</x:v>
      </x:c>
      <x:c r="D25" s="14" t="str">
        <x:v>Nordic Governments</x:v>
      </x:c>
      <x:c r="E25" s="14" t="str">
        <x:v>Joint Nordic Statement on AI and Global Dialogue</x:v>
      </x:c>
      <x:c r="F25" s="14" t="str">
        <x:v>2025</x:v>
      </x:c>
      <x:c r="G25" s="14" t="str">
        <x:v>국제협력/인권</x:v>
      </x:c>
      <x:c r="H25" s="14" t="str">
        <x:v>북유럽 국가들의 AI 거버넌스 접근: 인권·평등·투명성·포용성 강조</x:v>
      </x:c>
      <x:c r="I25" s="14" t="str">
        <x:v>2025</x:v>
      </x:c>
      <x:c r="J25" s="14" t="str">
        <x:v>공식 성명</x:v>
      </x:c>
      <x:c r="K25" s="21" t="e">
        <x:f>HYPERLINK("https://www.stjornarradid.is/efst-a-baugi/frettir/stok-frett/2025/02/19/Joint-Nordic-Statement-Artificial-Intelligence-and-the-Global-Dialogue-on-AI-Governance/","열기")</x:f>
      </x:c>
      <x:c r="L25" s="18" t="str">
        <x:v>https://www.stjornarradid.is/efst-a-baugi/frettir/stok-frett/2025/02/19/Joint-Nordic-Statement-Artificial-Intelligence-and-the-Global-Dialogue-on-AI-Governance/</x:v>
      </x:c>
    </x:row>
    <x:row r="26" ht="36" customHeight="1">
      <x:c r="A26" s="14" t="str">
        <x:v>국가/권역별</x:v>
      </x:c>
      <x:c r="B26" s="14" t="str">
        <x:v>유럽</x:v>
      </x:c>
      <x:c r="C26" s="14" t="str">
        <x:v>북유럽</x:v>
      </x:c>
      <x:c r="D26" s="14" t="str">
        <x:v>노르웨이</x:v>
      </x:c>
      <x:c r="E26" s="14" t="str">
        <x:v>AI Norway / safe and innovative AI use</x:v>
      </x:c>
      <x:c r="F26" s="14" t="str">
        <x:v>2025</x:v>
      </x:c>
      <x:c r="G26" s="14" t="str">
        <x:v>공공부문/혁신</x:v>
      </x:c>
      <x:c r="H26" s="14" t="str">
        <x:v>책임 있는 AI 활용과 안전한 혁신을 위한 국가 AI 지원 체계</x:v>
      </x:c>
      <x:c r="I26" s="14" t="str">
        <x:v>2025</x:v>
      </x:c>
      <x:c r="J26" s="14" t="str">
        <x:v>공식 발표</x:v>
      </x:c>
      <x:c r="K26" s="21" t="e">
        <x:f>HYPERLINK("https://www.regjeringen.no/en/aktuelt/paving-the-way-for-safe-and-innovative-use-of-ai-in-norway/id3090722/","열기")</x:f>
      </x:c>
      <x:c r="L26" s="18" t="str">
        <x:v>https://www.regjeringen.no/en/aktuelt/paving-the-way-for-safe-and-innovative-use-of-ai-in-norway/id3090722/</x:v>
      </x:c>
    </x:row>
    <x:row r="27" ht="36" customHeight="1">
      <x:c r="A27" s="14" t="str">
        <x:v>국가/권역별</x:v>
      </x:c>
      <x:c r="B27" s="14" t="str">
        <x:v>유럽</x:v>
      </x:c>
      <x:c r="C27" s="14" t="str">
        <x:v>북유럽</x:v>
      </x:c>
      <x:c r="D27" s="14" t="str">
        <x:v>노르웨이</x:v>
      </x:c>
      <x:c r="E27" s="14" t="str">
        <x:v>The Digital Norway of the Future</x:v>
      </x:c>
      <x:c r="F27" s="14" t="str">
        <x:v>2024~2030</x:v>
      </x:c>
      <x:c r="G27" s="14" t="str">
        <x:v>국가전략/공공부문</x:v>
      </x:c>
      <x:c r="H27" s="14" t="str">
        <x:v>2030년까지 공공기관 AI 도입 목표와 AI Act 국내 이행 방향 포함</x:v>
      </x:c>
      <x:c r="I27" s="14" t="str">
        <x:v>2025</x:v>
      </x:c>
      <x:c r="J27" s="14" t="str">
        <x:v>공식 전략</x:v>
      </x:c>
      <x:c r="K27" s="21" t="e">
        <x:f>HYPERLINK("https://www.regjeringen.no/en/dokumenter/the-digital-norway-of-the-future/id3054645/","열기")</x:f>
      </x:c>
      <x:c r="L27" s="18" t="str">
        <x:v>https://www.regjeringen.no/en/dokumenter/the-digital-norway-of-the-future/id3054645/</x:v>
      </x:c>
    </x:row>
    <x:row r="28" ht="36" customHeight="1">
      <x:c r="A28" s="14" t="str">
        <x:v>국가/권역별</x:v>
      </x:c>
      <x:c r="B28" s="14" t="str">
        <x:v>유럽</x:v>
      </x:c>
      <x:c r="C28" s="14" t="str">
        <x:v>북유럽</x:v>
      </x:c>
      <x:c r="D28" s="14" t="str">
        <x:v>노르웨이</x:v>
      </x:c>
      <x:c r="E28" s="14" t="str">
        <x:v>Digdir Responsible AI resources</x:v>
      </x:c>
      <x:c r="F28" s="14" t="str">
        <x:v>2025 업데이트</x:v>
      </x:c>
      <x:c r="G28" s="14" t="str">
        <x:v>공공부문/가이드</x:v>
      </x:c>
      <x:c r="H28" s="14" t="str">
        <x:v>공공부문 책임 있는 AI 활용을 위한 자료 모음</x:v>
      </x:c>
      <x:c r="I28" s="14" t="str">
        <x:v>2025</x:v>
      </x:c>
      <x:c r="J28" s="14" t="str">
        <x:v>공식 페이지</x:v>
      </x:c>
      <x:c r="K28" s="21" t="e">
        <x:f>HYPERLINK("https://www.digdir.no/kunstig-intelligens/resources-responsible-artificial-intelligence/5525","열기")</x:f>
      </x:c>
      <x:c r="L28" s="18" t="str">
        <x:v>https://www.digdir.no/kunstig-intelligens/resources-responsible-artificial-intelligence/5525</x:v>
      </x:c>
    </x:row>
    <x:row r="29" ht="36" customHeight="1">
      <x:c r="A29" s="14" t="str">
        <x:v>국가/권역별</x:v>
      </x:c>
      <x:c r="B29" s="14" t="str">
        <x:v>유럽</x:v>
      </x:c>
      <x:c r="C29" s="14" t="str">
        <x:v>북유럽</x:v>
      </x:c>
      <x:c r="D29" s="14" t="str">
        <x:v>스웨덴</x:v>
      </x:c>
      <x:c r="E29" s="14" t="str">
        <x:v>AI Strategy for Sweden</x:v>
      </x:c>
      <x:c r="F29" s="14" t="str">
        <x:v>2026</x:v>
      </x:c>
      <x:c r="G29" s="14" t="str">
        <x:v>국가전략</x:v>
      </x:c>
      <x:c r="H29" s="14" t="str">
        <x:v>스웨덴 정부의 AI 전략 및 액션플랜</x:v>
      </x:c>
      <x:c r="I29" s="14" t="str">
        <x:v>2026</x:v>
      </x:c>
      <x:c r="J29" s="14" t="str">
        <x:v>공식 페이지</x:v>
      </x:c>
      <x:c r="K29" s="21" t="e">
        <x:f>HYPERLINK("https://www.government.se/government-policy/digitalisation-and-ai/ai-strategy-for-sweden/","열기")</x:f>
      </x:c>
      <x:c r="L29" s="18" t="str">
        <x:v>https://www.government.se/government-policy/digitalisation-and-ai/ai-strategy-for-sweden/</x:v>
      </x:c>
    </x:row>
    <x:row r="30" ht="36" customHeight="1">
      <x:c r="A30" s="14" t="str">
        <x:v>국가/권역별</x:v>
      </x:c>
      <x:c r="B30" s="14" t="str">
        <x:v>유럽</x:v>
      </x:c>
      <x:c r="C30" s="14" t="str">
        <x:v>북유럽</x:v>
      </x:c>
      <x:c r="D30" s="14" t="str">
        <x:v>스웨덴</x:v>
      </x:c>
      <x:c r="E30" s="14" t="str">
        <x:v>AI Commission Roadmap for Sweden</x:v>
      </x:c>
      <x:c r="F30" s="14" t="str">
        <x:v>2025</x:v>
      </x:c>
      <x:c r="G30" s="14" t="str">
        <x:v>국가 로드맵</x:v>
      </x:c>
      <x:c r="H30" s="14" t="str">
        <x:v>AI Commission이 제시한 스웨덴 AI 정책 로드맵</x:v>
      </x:c>
      <x:c r="I30" s="14" t="str">
        <x:v>2025</x:v>
      </x:c>
      <x:c r="J30" s="14" t="str">
        <x:v>공식 보고서</x:v>
      </x:c>
      <x:c r="K30" s="21" t="e">
        <x:f>HYPERLINK("https://www.government.se/legal-documents/2025/02/sou-202512/","열기")</x:f>
      </x:c>
      <x:c r="L30" s="18" t="str">
        <x:v>https://www.government.se/legal-documents/2025/02/sou-202512/</x:v>
      </x:c>
    </x:row>
    <x:row r="31" ht="36" customHeight="1">
      <x:c r="A31" s="14" t="str">
        <x:v>국가/권역별</x:v>
      </x:c>
      <x:c r="B31" s="14" t="str">
        <x:v>유럽</x:v>
      </x:c>
      <x:c r="C31" s="14" t="str">
        <x:v>북유럽</x:v>
      </x:c>
      <x:c r="D31" s="14" t="str">
        <x:v>핀란드</x:v>
      </x:c>
      <x:c r="E31" s="14" t="str">
        <x:v>EU AI Act application begins in Finland</x:v>
      </x:c>
      <x:c r="F31" s="14" t="str">
        <x:v>2025</x:v>
      </x:c>
      <x:c r="G31" s="14" t="str">
        <x:v>AI Act 이행</x:v>
      </x:c>
      <x:c r="H31" s="14" t="str">
        <x:v>2025년 8월 2일 AI Act 일부 적용 개시와 국가 입법 진행 설명</x:v>
      </x:c>
      <x:c r="I31" s="14" t="str">
        <x:v>2025</x:v>
      </x:c>
      <x:c r="J31" s="14" t="str">
        <x:v>공식 발표</x:v>
      </x:c>
      <x:c r="K31" s="21" t="e">
        <x:f>HYPERLINK("https://tem.fi/en/-/application-of-the-eu-ai-act-begins","열기")</x:f>
      </x:c>
      <x:c r="L31" s="18" t="str">
        <x:v>https://tem.fi/en/-/application-of-the-eu-ai-act-begins</x:v>
      </x:c>
    </x:row>
    <x:row r="32" ht="36" customHeight="1">
      <x:c r="A32" s="14" t="str">
        <x:v>국가/권역별</x:v>
      </x:c>
      <x:c r="B32" s="14" t="str">
        <x:v>유럽</x:v>
      </x:c>
      <x:c r="C32" s="14" t="str">
        <x:v>북유럽</x:v>
      </x:c>
      <x:c r="D32" s="14" t="str">
        <x:v>핀란드</x:v>
      </x:c>
      <x:c r="E32" s="14" t="str">
        <x:v>National supervision of EU AI Act to begin</x:v>
      </x:c>
      <x:c r="F32" s="14" t="str">
        <x:v>2025/2026</x:v>
      </x:c>
      <x:c r="G32" s="14" t="str">
        <x:v>감독/이행</x:v>
      </x:c>
      <x:c r="H32" s="14" t="str">
        <x:v>AI Act 감독기관 권한과 국내 이행 관련 법률 시행 안내</x:v>
      </x:c>
      <x:c r="I32" s="14" t="str">
        <x:v>2026</x:v>
      </x:c>
      <x:c r="J32" s="14" t="str">
        <x:v>공식 발표</x:v>
      </x:c>
      <x:c r="K32" s="21" t="e">
        <x:f>HYPERLINK("https://tem.fi/en/-/national-supervision-of-the-eu-ai-act-to-begin","열기")</x:f>
      </x:c>
      <x:c r="L32" s="18" t="str">
        <x:v>https://tem.fi/en/-/national-supervision-of-the-eu-ai-act-to-begin</x:v>
      </x:c>
    </x:row>
    <x:row r="33" ht="36" customHeight="1">
      <x:c r="A33" s="14" t="str">
        <x:v>국가/권역별</x:v>
      </x:c>
      <x:c r="B33" s="14" t="str">
        <x:v>유럽</x:v>
      </x:c>
      <x:c r="C33" s="14" t="str">
        <x:v>북유럽</x:v>
      </x:c>
      <x:c r="D33" s="14" t="str">
        <x:v>덴마크</x:v>
      </x:c>
      <x:c r="E33" s="14" t="str">
        <x:v>Danish AI guides and strategy resources</x:v>
      </x:c>
      <x:c r="F33" s="14" t="str">
        <x:v>2025</x:v>
      </x:c>
      <x:c r="G33" s="14" t="str">
        <x:v>공공부문/가이드</x:v>
      </x:c>
      <x:c r="H33" s="14" t="str">
        <x:v>덴마크 디지털정부 기관의 AI 가이드·전략·활용사례 자료 모음</x:v>
      </x:c>
      <x:c r="I33" s="14" t="str">
        <x:v>2025</x:v>
      </x:c>
      <x:c r="J33" s="14" t="str">
        <x:v>공식 페이지</x:v>
      </x:c>
      <x:c r="K33" s="21" t="e">
        <x:f>HYPERLINK("https://digst.dk/kunstig-intelligens/","열기")</x:f>
      </x:c>
      <x:c r="L33" s="18" t="str">
        <x:v>https://digst.dk/kunstig-intelligens/</x:v>
      </x:c>
    </x:row>
    <x:row r="34" ht="36" customHeight="1">
      <x:c r="A34" s="14" t="str">
        <x:v>국가/권역별</x:v>
      </x:c>
      <x:c r="B34" s="14" t="str">
        <x:v>유럽</x:v>
      </x:c>
      <x:c r="C34" s="14" t="str">
        <x:v>북유럽</x:v>
      </x:c>
      <x:c r="D34" s="14" t="str">
        <x:v>아이슬란드</x:v>
      </x:c>
      <x:c r="E34" s="14" t="str">
        <x:v>Iceland's AI Action Plan 2025-2027</x:v>
      </x:c>
      <x:c r="F34" s="14" t="str">
        <x:v>2025</x:v>
      </x:c>
      <x:c r="G34" s="14" t="str">
        <x:v>국가전략/교육/산업</x:v>
      </x:c>
      <x:c r="H34" s="14" t="str">
        <x:v>모두를 위한 AI, 경쟁력 있는 산업, 변화하는 교육 등 국가 AI 실행계획</x:v>
      </x:c>
      <x:c r="I34" s="14" t="str">
        <x:v>2025</x:v>
      </x:c>
      <x:c r="J34" s="14" t="str">
        <x:v>PDF</x:v>
      </x:c>
      <x:c r="K34" s="21" t="e">
        <x:f>HYPERLINK("https://www.stjornarradid.is/library/04-Raduneytin/Menningar---nyskopunar--og-haskolaraduneytid/Iceland%27s%20AI%20Action%20Plan%20electronic%20version.pdf","열기")</x:f>
      </x:c>
      <x:c r="L34" s="18" t="str">
        <x:v>https://www.stjornarradid.is/library/04-Raduneytin/Menningar---nyskopunar--og-haskolaraduneytid/Iceland%27s%20AI%20Action%20Plan%20electronic%20version.pdf</x:v>
      </x:c>
    </x:row>
    <x:row r="35" ht="36" customHeight="1">
      <x:c r="A35" s="14" t="str">
        <x:v>국가/권역별</x:v>
      </x:c>
      <x:c r="B35" s="14" t="str">
        <x:v>북미·북태평양</x:v>
      </x:c>
      <x:c r="C35" s="14" t="str">
        <x:v>미국</x:v>
      </x:c>
      <x:c r="D35" s="14" t="str">
        <x:v>White House</x:v>
      </x:c>
      <x:c r="E35" s="14" t="str">
        <x:v>America's AI Action Plan</x:v>
      </x:c>
      <x:c r="F35" s="14" t="str">
        <x:v>2025</x:v>
      </x:c>
      <x:c r="G35" s="14" t="str">
        <x:v>국가전략/혁신</x:v>
      </x:c>
      <x:c r="H35" s="14" t="str">
        <x:v>혁신 가속·AI 인프라 구축·국제 외교/안보 주도 등 3대 축</x:v>
      </x:c>
      <x:c r="I35" s="14" t="str">
        <x:v>2025</x:v>
      </x:c>
      <x:c r="J35" s="14" t="str">
        <x:v>PDF</x:v>
      </x:c>
      <x:c r="K35" s="21" t="e">
        <x:f>HYPERLINK("https://www.whitehouse.gov/wp-content/uploads/2025/07/Americas-AI-Action-Plan.pdf","열기")</x:f>
      </x:c>
      <x:c r="L35" s="18" t="str">
        <x:v>https://www.whitehouse.gov/wp-content/uploads/2025/07/Americas-AI-Action-Plan.pdf</x:v>
      </x:c>
    </x:row>
    <x:row r="36" ht="36" customHeight="1">
      <x:c r="A36" s="14" t="str">
        <x:v>국가/권역별</x:v>
      </x:c>
      <x:c r="B36" s="14" t="str">
        <x:v>북미·북태평양</x:v>
      </x:c>
      <x:c r="C36" s="14" t="str">
        <x:v>미국</x:v>
      </x:c>
      <x:c r="D36" s="14" t="str">
        <x:v>AI.gov</x:v>
      </x:c>
      <x:c r="E36" s="14" t="str">
        <x:v>America's AI Action Plan 웹 페이지</x:v>
      </x:c>
      <x:c r="F36" s="14" t="str">
        <x:v>2025</x:v>
      </x:c>
      <x:c r="G36" s="14" t="str">
        <x:v>국가전략/정책</x:v>
      </x:c>
      <x:c r="H36" s="14" t="str">
        <x:v>Action Plan의 핵심 축과 실행과제 요약</x:v>
      </x:c>
      <x:c r="I36" s="14" t="str">
        <x:v>2025</x:v>
      </x:c>
      <x:c r="J36" s="14" t="str">
        <x:v>공식 페이지</x:v>
      </x:c>
      <x:c r="K36" s="21" t="e">
        <x:f>HYPERLINK("https://www.ai.gov/action-plan","열기")</x:f>
      </x:c>
      <x:c r="L36" s="18" t="str">
        <x:v>https://www.ai.gov/action-plan</x:v>
      </x:c>
    </x:row>
    <x:row r="37" ht="36" customHeight="1">
      <x:c r="A37" s="14" t="str">
        <x:v>국가/권역별</x:v>
      </x:c>
      <x:c r="B37" s="14" t="str">
        <x:v>북미·북태평양</x:v>
      </x:c>
      <x:c r="C37" s="14" t="str">
        <x:v>미국</x:v>
      </x:c>
      <x:c r="D37" s="14" t="str">
        <x:v>White House</x:v>
      </x:c>
      <x:c r="E37" s="14" t="str">
        <x:v>Advancing AI Education for American Youth</x:v>
      </x:c>
      <x:c r="F37" s="14" t="str">
        <x:v>2025</x:v>
      </x:c>
      <x:c r="G37" s="14" t="str">
        <x:v>교육/교원훈련</x:v>
      </x:c>
      <x:c r="H37" s="14" t="str">
        <x:v>AI 리터러시와 교육자 AI 훈련을 강조하는 행정명령</x:v>
      </x:c>
      <x:c r="I37" s="14" t="str">
        <x:v>2025</x:v>
      </x:c>
      <x:c r="J37" s="14" t="str">
        <x:v>공식 EO</x:v>
      </x:c>
      <x:c r="K37" s="21" t="e">
        <x:f>HYPERLINK("https://www.whitehouse.gov/presidential-actions/2025/04/advancing-artificial-intelligence-education-for-american-youth/","열기")</x:f>
      </x:c>
      <x:c r="L37" s="18" t="str">
        <x:v>https://www.whitehouse.gov/presidential-actions/2025/04/advancing-artificial-intelligence-education-for-american-youth/</x:v>
      </x:c>
    </x:row>
    <x:row r="38" ht="36" customHeight="1">
      <x:c r="A38" s="14" t="str">
        <x:v>국가/권역별</x:v>
      </x:c>
      <x:c r="B38" s="14" t="str">
        <x:v>북미·북태평양</x:v>
      </x:c>
      <x:c r="C38" s="14" t="str">
        <x:v>미국</x:v>
      </x:c>
      <x:c r="D38" s="14" t="str">
        <x:v>White House</x:v>
      </x:c>
      <x:c r="E38" s="14" t="str">
        <x:v>Promoting Advanced AI Innovation and Security</x:v>
      </x:c>
      <x:c r="F38" s="14" t="str">
        <x:v>2026</x:v>
      </x:c>
      <x:c r="G38" s="14" t="str">
        <x:v>첨단AI/안보</x:v>
      </x:c>
      <x:c r="H38" s="14" t="str">
        <x:v>첨단 AI 혁신과 보안·국가안보 고려사항을 다루는 행정명령</x:v>
      </x:c>
      <x:c r="I38" s="14" t="str">
        <x:v>2026</x:v>
      </x:c>
      <x:c r="J38" s="14" t="str">
        <x:v>공식 EO</x:v>
      </x:c>
      <x:c r="K38" s="21" t="e">
        <x:f>HYPERLINK("https://www.whitehouse.gov/presidential-actions/2026/06/promoting-advanced-artificial-intelligence-innovation-and-security/","열기")</x:f>
      </x:c>
      <x:c r="L38" s="18" t="str">
        <x:v>https://www.whitehouse.gov/presidential-actions/2026/06/promoting-advanced-artificial-intelligence-innovation-and-security/</x:v>
      </x:c>
    </x:row>
    <x:row r="39" ht="36" customHeight="1">
      <x:c r="A39" s="14" t="str">
        <x:v>국가/권역별</x:v>
      </x:c>
      <x:c r="B39" s="14" t="str">
        <x:v>북미·북태평양</x:v>
      </x:c>
      <x:c r="C39" s="14" t="str">
        <x:v>미국</x:v>
      </x:c>
      <x:c r="D39" s="14" t="str">
        <x:v>NIST</x:v>
      </x:c>
      <x:c r="E39" s="14" t="str">
        <x:v>AI Risk Management Framework 1.0</x:v>
      </x:c>
      <x:c r="F39" s="14" t="str">
        <x:v>2023 / 2025 보완</x:v>
      </x:c>
      <x:c r="G39" s="14" t="str">
        <x:v>위험관리</x:v>
      </x:c>
      <x:c r="H39" s="14" t="str">
        <x:v>Govern·Map·Measure·Manage 구조의 AI 위험관리 프레임워크</x:v>
      </x:c>
      <x:c r="I39" s="14" t="str">
        <x:v>기초자료</x:v>
      </x:c>
      <x:c r="J39" s="14" t="str">
        <x:v>공식 페이지</x:v>
      </x:c>
      <x:c r="K39" s="21" t="e">
        <x:f>HYPERLINK("https://www.nist.gov/itl/ai-risk-management-framework","열기")</x:f>
      </x:c>
      <x:c r="L39" s="18" t="str">
        <x:v>https://www.nist.gov/itl/ai-risk-management-framework</x:v>
      </x:c>
    </x:row>
    <x:row r="40" ht="36" customHeight="1">
      <x:c r="A40" s="14" t="str">
        <x:v>국가/권역별</x:v>
      </x:c>
      <x:c r="B40" s="14" t="str">
        <x:v>북미·북태평양</x:v>
      </x:c>
      <x:c r="C40" s="14" t="str">
        <x:v>미국</x:v>
      </x:c>
      <x:c r="D40" s="14" t="str">
        <x:v>NIST</x:v>
      </x:c>
      <x:c r="E40" s="14" t="str">
        <x:v>AI Resource Center / 2025 reports</x:v>
      </x:c>
      <x:c r="F40" s="14" t="str">
        <x:v>2025~2026</x:v>
      </x:c>
      <x:c r="G40" s="14" t="str">
        <x:v>위험관리/표준</x:v>
      </x:c>
      <x:c r="H40" s="14" t="str">
        <x:v>AI RMF 보완자료와 2025년 AI 표준·보안 보고서 모음</x:v>
      </x:c>
      <x:c r="I40" s="14" t="str">
        <x:v>2025/26</x:v>
      </x:c>
      <x:c r="J40" s="14" t="str">
        <x:v>공식 허브</x:v>
      </x:c>
      <x:c r="K40" s="21" t="e">
        <x:f>HYPERLINK("https://airc.nist.gov/","열기")</x:f>
      </x:c>
      <x:c r="L40" s="18" t="str">
        <x:v>https://airc.nist.gov/</x:v>
      </x:c>
    </x:row>
    <x:row r="41" ht="36" customHeight="1">
      <x:c r="A41" s="14" t="str">
        <x:v>국가/권역별</x:v>
      </x:c>
      <x:c r="B41" s="14" t="str">
        <x:v>북미·북태평양</x:v>
      </x:c>
      <x:c r="C41" s="14" t="str">
        <x:v>캐나다</x:v>
      </x:c>
      <x:c r="D41" s="14" t="str">
        <x:v>Canada</x:v>
      </x:c>
      <x:c r="E41" s="14" t="str">
        <x:v>Canadian AI Safety Institute</x:v>
      </x:c>
      <x:c r="F41" s="14" t="str">
        <x:v>2024~2026</x:v>
      </x:c>
      <x:c r="G41" s="14" t="str">
        <x:v>AI 안전기관</x:v>
      </x:c>
      <x:c r="H41" s="14" t="str">
        <x:v>첨단 AI 시스템의 위험 이해·평가·책임 배포를 지원하는 안전기관</x:v>
      </x:c>
      <x:c r="I41" s="14" t="str">
        <x:v>2026</x:v>
      </x:c>
      <x:c r="J41" s="14" t="str">
        <x:v>공식 페이지</x:v>
      </x:c>
      <x:c r="K41" s="21" t="e">
        <x:f>HYPERLINK("https://ised-isde.canada.ca/site/ised/en/canadian-artificial-intelligence-safety-institute-caisi","열기")</x:f>
      </x:c>
      <x:c r="L41" s="18" t="str">
        <x:v>https://ised-isde.canada.ca/site/ised/en/canadian-artificial-intelligence-safety-institute-caisi</x:v>
      </x:c>
    </x:row>
    <x:row r="42" ht="36" customHeight="1">
      <x:c r="A42" s="14" t="str">
        <x:v>국가/권역별</x:v>
      </x:c>
      <x:c r="B42" s="14" t="str">
        <x:v>북미·북태평양</x:v>
      </x:c>
      <x:c r="C42" s="14" t="str">
        <x:v>캐나다</x:v>
      </x:c>
      <x:c r="D42" s="14" t="str">
        <x:v>Canada</x:v>
      </x:c>
      <x:c r="E42" s="14" t="str">
        <x:v>Canada's National AI Strategy: AI for All</x:v>
      </x:c>
      <x:c r="F42" s="14" t="str">
        <x:v>2026</x:v>
      </x:c>
      <x:c r="G42" s="14" t="str">
        <x:v>국가전략/주권AI</x:v>
      </x:c>
      <x:c r="H42" s="14" t="str">
        <x:v>SME 도입·공공서비스·안전기관 확장·AI 투명성/워터마킹 연구 등 포함</x:v>
      </x:c>
      <x:c r="I42" s="14" t="str">
        <x:v>2026</x:v>
      </x:c>
      <x:c r="J42" s="14" t="str">
        <x:v>공식 페이지</x:v>
      </x:c>
      <x:c r="K42" s="21" t="e">
        <x:f>HYPERLINK("https://ised-isde.canada.ca/site/ised/en/canadas-national-artificial-intelligence-strategy-ai-all","열기")</x:f>
      </x:c>
      <x:c r="L42" s="18" t="str">
        <x:v>https://ised-isde.canada.ca/site/ised/en/canadas-national-artificial-intelligence-strategy-ai-all</x:v>
      </x:c>
    </x:row>
    <x:row r="43" ht="36" customHeight="1">
      <x:c r="A43" s="14" t="str">
        <x:v>국가/권역별</x:v>
      </x:c>
      <x:c r="B43" s="14" t="str">
        <x:v>북미·북태평양</x:v>
      </x:c>
      <x:c r="C43" s="14" t="str">
        <x:v>캐나다</x:v>
      </x:c>
      <x:c r="D43" s="14" t="str">
        <x:v>Treasury Board</x:v>
      </x:c>
      <x:c r="E43" s="14" t="str">
        <x:v>AI Strategy for Federal Public Service 2025-2027</x:v>
      </x:c>
      <x:c r="F43" s="14" t="str">
        <x:v>2025/2026</x:v>
      </x:c>
      <x:c r="G43" s="14" t="str">
        <x:v>공공부문/전략</x:v>
      </x:c>
      <x:c r="H43" s="14" t="str">
        <x:v>연방 공공서비스의 투명하고 책임 있는 AI 도입 거버넌스 프레임워크</x:v>
      </x:c>
      <x:c r="I43" s="14" t="str">
        <x:v>2025/26</x:v>
      </x:c>
      <x:c r="J43" s="14" t="str">
        <x:v>공식 페이지</x:v>
      </x:c>
      <x:c r="K43" s="21" t="e">
        <x:f>HYPERLINK("https://www.canada.ca/en/government/system/digital-government/digital-government-innovations/responsible-use-ai/gc-ai-strategy-overview.html","열기")</x:f>
      </x:c>
      <x:c r="L43" s="18" t="str">
        <x:v>https://www.canada.ca/en/government/system/digital-government/digital-government-innovations/responsible-use-ai/gc-ai-strategy-overview.html</x:v>
      </x:c>
    </x:row>
    <x:row r="44" ht="36" customHeight="1">
      <x:c r="A44" s="14" t="str">
        <x:v>국가/권역별</x:v>
      </x:c>
      <x:c r="B44" s="14" t="str">
        <x:v>북미·북태평양</x:v>
      </x:c>
      <x:c r="C44" s="14" t="str">
        <x:v>캐나다</x:v>
      </x:c>
      <x:c r="D44" s="14" t="str">
        <x:v>Treasury Board</x:v>
      </x:c>
      <x:c r="E44" s="14" t="str">
        <x:v>Directive on Automated Decision-Making</x:v>
      </x:c>
      <x:c r="F44" s="14" t="str">
        <x:v>2025 업데이트</x:v>
      </x:c>
      <x:c r="G44" s="14" t="str">
        <x:v>공공부문/자동화 의사결정</x:v>
      </x:c>
      <x:c r="H44" s="14" t="str">
        <x:v>자동화 의사결정 시스템의 위험평가·투명성·책임성 요구</x:v>
      </x:c>
      <x:c r="I44" s="14" t="str">
        <x:v>2025</x:v>
      </x:c>
      <x:c r="J44" s="14" t="str">
        <x:v>공식 지침</x:v>
      </x:c>
      <x:c r="K44" s="21" t="e">
        <x:f>HYPERLINK("https://www.tbs-sct.canada.ca/pol/doc-eng.aspx?id=32592","열기")</x:f>
      </x:c>
      <x:c r="L44" s="18" t="str">
        <x:v>https://www.tbs-sct.canada.ca/pol/doc-eng.aspx?id=32592</x:v>
      </x:c>
    </x:row>
    <x:row r="45" ht="36" customHeight="1">
      <x:c r="A45" s="14" t="str">
        <x:v>국가/권역별</x:v>
      </x:c>
      <x:c r="B45" s="14" t="str">
        <x:v>오세아니아·북태평양</x:v>
      </x:c>
      <x:c r="C45" s="14" t="str">
        <x:v>호주</x:v>
      </x:c>
      <x:c r="D45" s="14" t="str">
        <x:v>Australian Government</x:v>
      </x:c>
      <x:c r="E45" s="14" t="str">
        <x:v>National AI Plan</x:v>
      </x:c>
      <x:c r="F45" s="14" t="str">
        <x:v>2025</x:v>
      </x:c>
      <x:c r="G45" s="14" t="str">
        <x:v>국가전략</x:v>
      </x:c>
      <x:c r="H45" s="14" t="str">
        <x:v>AI 안전·책임 있는 관행·혁신·공공서비스를 다루는 국가 AI 계획</x:v>
      </x:c>
      <x:c r="I45" s="14" t="str">
        <x:v>2025</x:v>
      </x:c>
      <x:c r="J45" s="14" t="str">
        <x:v>공식 페이지</x:v>
      </x:c>
      <x:c r="K45" s="21" t="e">
        <x:f>HYPERLINK("https://www.industry.gov.au/publications/national-ai-plan","열기")</x:f>
      </x:c>
      <x:c r="L45" s="18" t="str">
        <x:v>https://www.industry.gov.au/publications/national-ai-plan</x:v>
      </x:c>
    </x:row>
    <x:row r="46" ht="36" customHeight="1">
      <x:c r="A46" s="14" t="str">
        <x:v>국가/권역별</x:v>
      </x:c>
      <x:c r="B46" s="14" t="str">
        <x:v>오세아니아·북태평양</x:v>
      </x:c>
      <x:c r="C46" s="14" t="str">
        <x:v>호주</x:v>
      </x:c>
      <x:c r="D46" s="14" t="str">
        <x:v>Australian Government</x:v>
      </x:c>
      <x:c r="E46" s="14" t="str">
        <x:v>Guidance for AI Adoption</x:v>
      </x:c>
      <x:c r="F46" s="14" t="str">
        <x:v>2025/2026</x:v>
      </x:c>
      <x:c r="G46" s="14" t="str">
        <x:v>조직 도입/가드레일</x:v>
      </x:c>
      <x:c r="H46" s="14" t="str">
        <x:v>복잡하거나 고위험 AI 사용을 위한 실무 구현 가이드</x:v>
      </x:c>
      <x:c r="I46" s="14" t="str">
        <x:v>2026</x:v>
      </x:c>
      <x:c r="J46" s="14" t="str">
        <x:v>공식 페이지</x:v>
      </x:c>
      <x:c r="K46" s="21" t="e">
        <x:f>HYPERLINK("https://www.industry.gov.au/publications/guidance-ai-adoption","열기")</x:f>
      </x:c>
      <x:c r="L46" s="18" t="str">
        <x:v>https://www.industry.gov.au/publications/guidance-ai-adoption</x:v>
      </x:c>
    </x:row>
    <x:row r="47" ht="36" customHeight="1">
      <x:c r="A47" s="14" t="str">
        <x:v>국가/권역별</x:v>
      </x:c>
      <x:c r="B47" s="14" t="str">
        <x:v>오세아니아·북태평양</x:v>
      </x:c>
      <x:c r="C47" s="14" t="str">
        <x:v>호주</x:v>
      </x:c>
      <x:c r="D47" s="14" t="str">
        <x:v>Digital Transformation Agency</x:v>
      </x:c>
      <x:c r="E47" s="14" t="str">
        <x:v>Policy for responsible use of AI in government v2.0</x:v>
      </x:c>
      <x:c r="F47" s="14" t="str">
        <x:v>2025</x:v>
      </x:c>
      <x:c r="G47" s="14" t="str">
        <x:v>공공부문/의무정책</x:v>
      </x:c>
      <x:c r="H47" s="14" t="str">
        <x:v>연방 공공기관에 AI 책임자·위험기반 조치·거버넌스 요구</x:v>
      </x:c>
      <x:c r="I47" s="14" t="str">
        <x:v>2025</x:v>
      </x:c>
      <x:c r="J47" s="14" t="str">
        <x:v>공식 페이지</x:v>
      </x:c>
      <x:c r="K47" s="21" t="e">
        <x:f>HYPERLINK("https://www.digital.gov.au/policy/ai/policy-responsible-use-ai-government","열기")</x:f>
      </x:c>
      <x:c r="L47" s="18" t="str">
        <x:v>https://www.digital.gov.au/policy/ai/policy-responsible-use-ai-government</x:v>
      </x:c>
    </x:row>
    <x:row r="48" ht="36" customHeight="1">
      <x:c r="A48" s="14" t="str">
        <x:v>국가/권역별</x:v>
      </x:c>
      <x:c r="B48" s="14" t="str">
        <x:v>오세아니아·북태평양</x:v>
      </x:c>
      <x:c r="C48" s="14" t="str">
        <x:v>호주</x:v>
      </x:c>
      <x:c r="D48" s="14" t="str">
        <x:v>Digital Transformation Agency</x:v>
      </x:c>
      <x:c r="E48" s="14" t="str">
        <x:v>AI transparency statements register</x:v>
      </x:c>
      <x:c r="F48" s="14" t="str">
        <x:v>2026</x:v>
      </x:c>
      <x:c r="G48" s="14" t="str">
        <x:v>공공부문/투명성</x:v>
      </x:c>
      <x:c r="H48" s="14" t="str">
        <x:v>공공기관 AI 투명성 진술 등록부</x:v>
      </x:c>
      <x:c r="I48" s="14" t="str">
        <x:v>2026</x:v>
      </x:c>
      <x:c r="J48" s="14" t="str">
        <x:v>공식 등록부</x:v>
      </x:c>
      <x:c r="K48" s="21" t="e">
        <x:f>HYPERLINK("https://www.digital.gov.au/ai/ai-transparency-statements","열기")</x:f>
      </x:c>
      <x:c r="L48" s="18" t="str">
        <x:v>https://www.digital.gov.au/ai/ai-transparency-statements</x:v>
      </x:c>
    </x:row>
    <x:row r="49" ht="36" customHeight="1">
      <x:c r="A49" s="14" t="str">
        <x:v>국가/권역별</x:v>
      </x:c>
      <x:c r="B49" s="14" t="str">
        <x:v>오세아니아·북태평양</x:v>
      </x:c>
      <x:c r="C49" s="14" t="str">
        <x:v>뉴질랜드</x:v>
      </x:c>
      <x:c r="D49" s="14" t="str">
        <x:v>New Zealand Government</x:v>
      </x:c>
      <x:c r="E49" s="14" t="str">
        <x:v>Public Service AI Framework</x:v>
      </x:c>
      <x:c r="F49" s="14" t="str">
        <x:v>2025</x:v>
      </x:c>
      <x:c r="G49" s="14" t="str">
        <x:v>공공부문/프레임워크</x:v>
      </x:c>
      <x:c r="H49" s="14" t="str">
        <x:v>공공서비스에서 책임 있게 AI를 사용하기 위한 프레임워크</x:v>
      </x:c>
      <x:c r="I49" s="14" t="str">
        <x:v>2025</x:v>
      </x:c>
      <x:c r="J49" s="14" t="str">
        <x:v>공식 페이지</x:v>
      </x:c>
      <x:c r="K49" s="21" t="e">
        <x:f>HYPERLINK("https://www.digital.govt.nz/standards-and-guidance/technology-and-architecture/artificial-intelligence/public-service-ai-framework/","열기")</x:f>
      </x:c>
      <x:c r="L49" s="18" t="str">
        <x:v>https://www.digital.govt.nz/standards-and-guidance/technology-and-architecture/artificial-intelligence/public-service-ai-framework/</x:v>
      </x:c>
    </x:row>
    <x:row r="50" ht="36" customHeight="1">
      <x:c r="A50" s="14" t="str">
        <x:v>국가/권역별</x:v>
      </x:c>
      <x:c r="B50" s="14" t="str">
        <x:v>오세아니아·북태평양</x:v>
      </x:c>
      <x:c r="C50" s="14" t="str">
        <x:v>뉴질랜드</x:v>
      </x:c>
      <x:c r="D50" s="14" t="str">
        <x:v>New Zealand Government</x:v>
      </x:c>
      <x:c r="E50" s="14" t="str">
        <x:v>Responsible AI Guidance for Public Service: Generative AI</x:v>
      </x:c>
      <x:c r="F50" s="14" t="str">
        <x:v>2025</x:v>
      </x:c>
      <x:c r="G50" s="14" t="str">
        <x:v>생성형 AI/공공부문</x:v>
      </x:c>
      <x:c r="H50" s="14" t="str">
        <x:v>공공부문 생성형 AI의 안전·투명·책임 있는 활용 지침</x:v>
      </x:c>
      <x:c r="I50" s="14" t="str">
        <x:v>2025</x:v>
      </x:c>
      <x:c r="J50" s="14" t="str">
        <x:v>공식 페이지</x:v>
      </x:c>
      <x:c r="K50" s="21" t="e">
        <x:f>HYPERLINK("https://www.digital.govt.nz/standards-and-guidance/technology-and-architecture/artificial-intelligence/responsible-ai-guidance-for-public-service-generative-ai/","열기")</x:f>
      </x:c>
      <x:c r="L50" s="18" t="str">
        <x:v>https://www.digital.govt.nz/standards-and-guidance/technology-and-architecture/artificial-intelligence/responsible-ai-guidance-for-public-service-generative-ai/</x:v>
      </x:c>
    </x:row>
    <x:row r="51" ht="36" customHeight="1">
      <x:c r="A51" s="14" t="str">
        <x:v>국가/권역별</x:v>
      </x:c>
      <x:c r="B51" s="14" t="str">
        <x:v>오세아니아·북태평양</x:v>
      </x:c>
      <x:c r="C51" s="14" t="str">
        <x:v>뉴질랜드</x:v>
      </x:c>
      <x:c r="D51" s="14" t="str">
        <x:v>New Zealand Government</x:v>
      </x:c>
      <x:c r="E51" s="14" t="str">
        <x:v>AI strategy and guidance for business</x:v>
      </x:c>
      <x:c r="F51" s="14" t="str">
        <x:v>2025</x:v>
      </x:c>
      <x:c r="G51" s="14" t="str">
        <x:v>기업/도입</x:v>
      </x:c>
      <x:c r="H51" s="14" t="str">
        <x:v>기업의 AI 도입을 위한 자발적 실천 기준과 국가 AI 전략</x:v>
      </x:c>
      <x:c r="I51" s="14" t="str">
        <x:v>2025</x:v>
      </x:c>
      <x:c r="J51" s="14" t="str">
        <x:v>공식 페이지</x:v>
      </x:c>
      <x:c r="K51" s="21" t="e">
        <x:f>HYPERLINK("https://www.mbie.govt.nz/business-and-employment/economic-development/digital-economy/artificial-intelligence/","열기")</x:f>
      </x:c>
      <x:c r="L51" s="18" t="str">
        <x:v>https://www.mbie.govt.nz/business-and-employment/economic-development/digital-economy/artificial-intelligence/</x:v>
      </x:c>
    </x:row>
    <x:row r="52" ht="36" customHeight="1">
      <x:c r="A52" s="14" t="str">
        <x:v>국가/권역별</x:v>
      </x:c>
      <x:c r="B52" s="14" t="str">
        <x:v>아시아</x:v>
      </x:c>
      <x:c r="C52" s="14" t="str">
        <x:v>동아시아</x:v>
      </x:c>
      <x:c r="D52" s="14" t="str">
        <x:v>한국</x:v>
      </x:c>
      <x:c r="E52" s="14" t="str">
        <x:v>인공지능 발전과 신뢰 기반 조성 등에 관한 기본법</x:v>
      </x:c>
      <x:c r="F52" s="14" t="str">
        <x:v>2026.1.22 시행</x:v>
      </x:c>
      <x:c r="G52" s="14" t="str">
        <x:v>한국 기본법</x:v>
      </x:c>
      <x:c r="H52" s="14" t="str">
        <x:v>AI 발전과 신뢰 기반 조성, 고영향 AI·생성형 AI·투명성·안전성 규율</x:v>
      </x:c>
      <x:c r="I52" s="14" t="str">
        <x:v>2026</x:v>
      </x:c>
      <x:c r="J52" s="14" t="str">
        <x:v>법령 원문</x:v>
      </x:c>
      <x:c r="K52" s="21" t="e">
        <x:f>HYPERLINK("https://www.law.go.kr/lsInfoP.do?lsiSeq=268543","열기")</x:f>
      </x:c>
      <x:c r="L52" s="18" t="str">
        <x:v>https://www.law.go.kr/lsInfoP.do?lsiSeq=268543</x:v>
      </x:c>
    </x:row>
    <x:row r="53" ht="36" customHeight="1">
      <x:c r="A53" s="14" t="str">
        <x:v>국가/권역별</x:v>
      </x:c>
      <x:c r="B53" s="14" t="str">
        <x:v>아시아</x:v>
      </x:c>
      <x:c r="C53" s="14" t="str">
        <x:v>동아시아</x:v>
      </x:c>
      <x:c r="D53" s="14" t="str">
        <x:v>한국</x:v>
      </x:c>
      <x:c r="E53" s="14" t="str">
        <x:v>AI 기본법 시행령</x:v>
      </x:c>
      <x:c r="F53" s="14" t="str">
        <x:v>2026.1.22 시행</x:v>
      </x:c>
      <x:c r="G53" s="14" t="str">
        <x:v>한국 기본법/시행령</x:v>
      </x:c>
      <x:c r="H53" s="14" t="str">
        <x:v>국가AI전략위원회·AI클러스터·고영향 AI 확인절차·투명성 등 세부 규정</x:v>
      </x:c>
      <x:c r="I53" s="14" t="str">
        <x:v>2026</x:v>
      </x:c>
      <x:c r="J53" s="14" t="str">
        <x:v>법령 원문</x:v>
      </x:c>
      <x:c r="K53" s="21" t="e">
        <x:f>HYPERLINK("https://www.law.go.kr/lsInfoP.do?lsiSeq=270625","열기")</x:f>
      </x:c>
      <x:c r="L53" s="18" t="str">
        <x:v>https://www.law.go.kr/lsInfoP.do?lsiSeq=270625</x:v>
      </x:c>
    </x:row>
    <x:row r="54" ht="36" customHeight="1">
      <x:c r="A54" s="14" t="str">
        <x:v>국가/권역별</x:v>
      </x:c>
      <x:c r="B54" s="14" t="str">
        <x:v>아시아</x:v>
      </x:c>
      <x:c r="C54" s="14" t="str">
        <x:v>동아시아</x:v>
      </x:c>
      <x:c r="D54" s="14" t="str">
        <x:v>한국</x:v>
      </x:c>
      <x:c r="E54" s="14" t="str">
        <x:v>대한민국 인공지능 행동계획(안)</x:v>
      </x:c>
      <x:c r="F54" s="14" t="str">
        <x:v>2025 전후</x:v>
      </x:c>
      <x:c r="G54" s="14" t="str">
        <x:v>국가전략/공공부문</x:v>
      </x:c>
      <x:c r="H54" s="14" t="str">
        <x:v>공공부문 AI 영향평가·안전한 AI 활용·AI 윤리기준 등 정책과제 포함</x:v>
      </x:c>
      <x:c r="I54" s="14" t="str">
        <x:v>2025</x:v>
      </x:c>
      <x:c r="J54" s="14" t="str">
        <x:v>PDF</x:v>
      </x:c>
      <x:c r="K54" s="21" t="e">
        <x:f>HYPERLINK("https://www.nia.or.kr/site/nia_kor/ex/bbs/View.do?bcIdx=26506&amp;cbIdx=39485","열기")</x:f>
      </x:c>
      <x:c r="L54" s="18" t="str">
        <x:v>https://www.nia.or.kr/site/nia_kor/ex/bbs/View.do?bcIdx=26506&amp;cbIdx=39485</x:v>
      </x:c>
    </x:row>
    <x:row r="55" ht="36" customHeight="1">
      <x:c r="A55" s="14" t="str">
        <x:v>국가/권역별</x:v>
      </x:c>
      <x:c r="B55" s="14" t="str">
        <x:v>아시아</x:v>
      </x:c>
      <x:c r="C55" s="14" t="str">
        <x:v>동아시아</x:v>
      </x:c>
      <x:c r="D55" s="14" t="str">
        <x:v>중국</x:v>
      </x:c>
      <x:c r="E55" s="14" t="str">
        <x:v>AI 생성·합성 콘텐츠 표시방법</x:v>
      </x:c>
      <x:c r="F55" s="14" t="str">
        <x:v>2025.9.1 시행</x:v>
      </x:c>
      <x:c r="G55" s="14" t="str">
        <x:v>생성물 표시/딥페이크</x:v>
      </x:c>
      <x:c r="H55" s="14" t="str">
        <x:v>AI 생성 텍스트·이미지·음성·영상 등에 명시적·비명시적 표시 요구</x:v>
      </x:c>
      <x:c r="I55" s="14" t="str">
        <x:v>2025</x:v>
      </x:c>
      <x:c r="J55" s="14" t="str">
        <x:v>공식 원문</x:v>
      </x:c>
      <x:c r="K55" s="21" t="e">
        <x:f>HYPERLINK("https://www.cac.gov.cn/2025-03/14/c_1743654684782215.htm","열기")</x:f>
      </x:c>
      <x:c r="L55" s="18" t="str">
        <x:v>https://www.cac.gov.cn/2025-03/14/c_1743654684782215.htm</x:v>
      </x:c>
    </x:row>
    <x:row r="56" ht="36" customHeight="1">
      <x:c r="A56" s="14" t="str">
        <x:v>국가/권역별</x:v>
      </x:c>
      <x:c r="B56" s="14" t="str">
        <x:v>아시아</x:v>
      </x:c>
      <x:c r="C56" s="14" t="str">
        <x:v>동아시아</x:v>
      </x:c>
      <x:c r="D56" s="14" t="str">
        <x:v>중국</x:v>
      </x:c>
      <x:c r="E56" s="14" t="str">
        <x:v>人脸/换声/AI标识 등 AI 기술 남용 정비 행동</x:v>
      </x:c>
      <x:c r="F56" s="14" t="str">
        <x:v>2025</x:v>
      </x:c>
      <x:c r="G56" s="14" t="str">
        <x:v>콘텐츠/플랫폼 단속</x:v>
      </x:c>
      <x:c r="H56" s="14" t="str">
        <x:v>AI 얼굴·음성 변조·표시 미이행·허위정보에 대한 플랫폼 정비 조치</x:v>
      </x:c>
      <x:c r="I56" s="14" t="str">
        <x:v>2025</x:v>
      </x:c>
      <x:c r="J56" s="14" t="str">
        <x:v>공식 발표</x:v>
      </x:c>
      <x:c r="K56" s="21" t="e">
        <x:f>HYPERLINK("https://www.cac.gov.cn/2025-06/20/c_1752059735742301.htm","열기")</x:f>
      </x:c>
      <x:c r="L56" s="18" t="str">
        <x:v>https://www.cac.gov.cn/2025-06/20/c_1752059735742301.htm</x:v>
      </x:c>
    </x:row>
    <x:row r="57" ht="36" customHeight="1">
      <x:c r="A57" s="14" t="str">
        <x:v>국가/권역별</x:v>
      </x:c>
      <x:c r="B57" s="14" t="str">
        <x:v>아시아</x:v>
      </x:c>
      <x:c r="C57" s="14" t="str">
        <x:v>동아시아</x:v>
      </x:c>
      <x:c r="D57" s="14" t="str">
        <x:v>중국</x:v>
      </x:c>
      <x:c r="E57" s="14" t="str">
        <x:v>人形化互动 AI 服务管理规定 초안</x:v>
      </x:c>
      <x:c r="F57" s="14" t="str">
        <x:v>2025 의견수렴</x:v>
      </x:c>
      <x:c r="G57" s="14" t="str">
        <x:v>감정/의인화 AI</x:v>
      </x:c>
      <x:c r="H57" s="14" t="str">
        <x:v>AI와 상호작용 중 이용자 의존·감정상태 등을 고려하는 의인화 AI 규정 초안</x:v>
      </x:c>
      <x:c r="I57" s="14" t="str">
        <x:v>2025</x:v>
      </x:c>
      <x:c r="J57" s="14" t="str">
        <x:v>공식 초안</x:v>
      </x:c>
      <x:c r="K57" s="21" t="e">
        <x:f>HYPERLINK("https://www.cac.gov.cn/2025-12/27/c_1768428888332054.htm","열기")</x:f>
      </x:c>
      <x:c r="L57" s="18" t="str">
        <x:v>https://www.cac.gov.cn/2025-12/27/c_1768428888332054.htm</x:v>
      </x:c>
    </x:row>
    <x:row r="58" ht="36" customHeight="1">
      <x:c r="A58" s="14" t="str">
        <x:v>국가/권역별</x:v>
      </x:c>
      <x:c r="B58" s="14" t="str">
        <x:v>아시아</x:v>
      </x:c>
      <x:c r="C58" s="14" t="str">
        <x:v>동아시아</x:v>
      </x:c>
      <x:c r="D58" s="14" t="str">
        <x:v>일본</x:v>
      </x:c>
      <x:c r="E58" s="14" t="str">
        <x:v>AI Guidelines for Business Ver.1.2</x:v>
      </x:c>
      <x:c r="F58" s="14" t="str">
        <x:v>2026</x:v>
      </x:c>
      <x:c r="G58" s="14" t="str">
        <x:v>기업 가이드라인</x:v>
      </x:c>
      <x:c r="H58" s="14" t="str">
        <x:v>AI Act 2025 이후 기업 AI 거버넌스와 책임 있는 AI 활용 지침 갱신</x:v>
      </x:c>
      <x:c r="I58" s="14" t="str">
        <x:v>2026</x:v>
      </x:c>
      <x:c r="J58" s="14" t="str">
        <x:v>PDF</x:v>
      </x:c>
      <x:c r="K58" s="21" t="e">
        <x:f>HYPERLINK("https://www.meti.go.jp/shingikai/mono_info_service/ai_shakai_jisso/pdf/20260331_12.pdf","열기")</x:f>
      </x:c>
      <x:c r="L58" s="18" t="str">
        <x:v>https://www.meti.go.jp/shingikai/mono_info_service/ai_shakai_jisso/pdf/20260331_12.pdf</x:v>
      </x:c>
    </x:row>
    <x:row r="59" ht="36" customHeight="1">
      <x:c r="A59" s="14" t="str">
        <x:v>국가/권역별</x:v>
      </x:c>
      <x:c r="B59" s="14" t="str">
        <x:v>아시아</x:v>
      </x:c>
      <x:c r="C59" s="14" t="str">
        <x:v>동아시아</x:v>
      </x:c>
      <x:c r="D59" s="14" t="str">
        <x:v>일본</x:v>
      </x:c>
      <x:c r="E59" s="14" t="str">
        <x:v>AI Guidelines for Business Appendix Ver.1.2</x:v>
      </x:c>
      <x:c r="F59" s="14" t="str">
        <x:v>2026</x:v>
      </x:c>
      <x:c r="G59" s="14" t="str">
        <x:v>기업 실무/체크</x:v>
      </x:c>
      <x:c r="H59" s="14" t="str">
        <x:v>사업자 유형별 실무 참고자료 및 AI Integrity Center 관련 내용</x:v>
      </x:c>
      <x:c r="I59" s="14" t="str">
        <x:v>2026</x:v>
      </x:c>
      <x:c r="J59" s="14" t="str">
        <x:v>PDF</x:v>
      </x:c>
      <x:c r="K59" s="21" t="e">
        <x:f>HYPERLINK("https://www.meti.go.jp/shingikai/mono_info_service/ai_shakai_jisso/pdf/20260331_13.pdf","열기")</x:f>
      </x:c>
      <x:c r="L59" s="18" t="str">
        <x:v>https://www.meti.go.jp/shingikai/mono_info_service/ai_shakai_jisso/pdf/20260331_13.pdf</x:v>
      </x:c>
    </x:row>
    <x:row r="60" ht="36" customHeight="1">
      <x:c r="A60" s="14" t="str">
        <x:v>국가/권역별</x:v>
      </x:c>
      <x:c r="B60" s="14" t="str">
        <x:v>아시아</x:v>
      </x:c>
      <x:c r="C60" s="14" t="str">
        <x:v>동남아</x:v>
      </x:c>
      <x:c r="D60" s="14" t="str">
        <x:v>싱가포르</x:v>
      </x:c>
      <x:c r="E60" s="14" t="str">
        <x:v>Model AI Governance Framework for Agentic AI</x:v>
      </x:c>
      <x:c r="F60" s="14" t="str">
        <x:v>2026</x:v>
      </x:c>
      <x:c r="G60" s="14" t="str">
        <x:v>에이전트 AI</x:v>
      </x:c>
      <x:c r="H60" s="14" t="str">
        <x:v>Agentic AI의 책임 있는 배포·거버넌스·안전 통제를 다루는 최신 프레임워크</x:v>
      </x:c>
      <x:c r="I60" s="14" t="str">
        <x:v>2026</x:v>
      </x:c>
      <x:c r="J60" s="14" t="str">
        <x:v>PDF</x:v>
      </x:c>
      <x:c r="K60" s="21" t="e">
        <x:f>HYPERLINK("https://aiverifyfoundation.sg/wp-content/uploads/2026/05/Model-AI-Governance-Framework-for-Agentic-AI.pdf","열기")</x:f>
      </x:c>
      <x:c r="L60" s="18" t="str">
        <x:v>https://aiverifyfoundation.sg/wp-content/uploads/2026/05/Model-AI-Governance-Framework-for-Agentic-AI.pdf</x:v>
      </x:c>
    </x:row>
    <x:row r="61" ht="36" customHeight="1">
      <x:c r="A61" s="14" t="str">
        <x:v>국가/권역별</x:v>
      </x:c>
      <x:c r="B61" s="14" t="str">
        <x:v>아시아</x:v>
      </x:c>
      <x:c r="C61" s="14" t="str">
        <x:v>동남아</x:v>
      </x:c>
      <x:c r="D61" s="14" t="str">
        <x:v>싱가포르</x:v>
      </x:c>
      <x:c r="E61" s="14" t="str">
        <x:v>Legal Responsibility for AI Agents</x:v>
      </x:c>
      <x:c r="F61" s="14" t="str">
        <x:v>2026</x:v>
      </x:c>
      <x:c r="G61" s="14" t="str">
        <x:v>법적 책임/에이전트 AI</x:v>
      </x:c>
      <x:c r="H61" s="14" t="str">
        <x:v>AI 에이전트의 민사책임·사법책임 쟁점 정리</x:v>
      </x:c>
      <x:c r="I61" s="14" t="str">
        <x:v>2026</x:v>
      </x:c>
      <x:c r="J61" s="14" t="str">
        <x:v>PDF</x:v>
      </x:c>
      <x:c r="K61" s="21" t="e">
        <x:f>HYPERLINK("https://aiverifyfoundation.sg/wp-content/uploads/2026/05/Legal-Responsibility-for-AI-Agents.pdf","열기")</x:f>
      </x:c>
      <x:c r="L61" s="18" t="str">
        <x:v>https://aiverifyfoundation.sg/wp-content/uploads/2026/05/Legal-Responsibility-for-AI-Agents.pdf</x:v>
      </x:c>
    </x:row>
    <x:row r="62" ht="36" customHeight="1">
      <x:c r="A62" s="14" t="str">
        <x:v>국가/권역별</x:v>
      </x:c>
      <x:c r="B62" s="14" t="str">
        <x:v>아시아</x:v>
      </x:c>
      <x:c r="C62" s="14" t="str">
        <x:v>남아시아</x:v>
      </x:c>
      <x:c r="D62" s="14" t="str">
        <x:v>인도</x:v>
      </x:c>
      <x:c r="E62" s="14" t="str">
        <x:v>Report on AI Governance Guidelines Development</x:v>
      </x:c>
      <x:c r="F62" s="14" t="str">
        <x:v>2025</x:v>
      </x:c>
      <x:c r="G62" s="14" t="str">
        <x:v>국가 가이드라인</x:v>
      </x:c>
      <x:c r="H62" s="14" t="str">
        <x:v>데이터 관리·알고리즘 투명성·위험분류·생성형 AI·인간 감독·고충처리 등</x:v>
      </x:c>
      <x:c r="I62" s="14" t="str">
        <x:v>2025</x:v>
      </x:c>
      <x:c r="J62" s="14" t="str">
        <x:v>공식 보고서</x:v>
      </x:c>
      <x:c r="K62" s="21" t="e">
        <x:f>HYPERLINK("https://www.meity.gov.in/content/report-ai-governance-guidelines-development-public-consultation","열기")</x:f>
      </x:c>
      <x:c r="L62" s="18" t="str">
        <x:v>https://www.meity.gov.in/content/report-ai-governance-guidelines-development-public-consultation</x:v>
      </x:c>
    </x:row>
    <x:row r="63" ht="36" customHeight="1">
      <x:c r="A63" s="14" t="str">
        <x:v>국가/권역별</x:v>
      </x:c>
      <x:c r="B63" s="14" t="str">
        <x:v>아시아</x:v>
      </x:c>
      <x:c r="C63" s="14" t="str">
        <x:v>남아시아</x:v>
      </x:c>
      <x:c r="D63" s="14" t="str">
        <x:v>인도</x:v>
      </x:c>
      <x:c r="E63" s="14" t="str">
        <x:v>AI Governance and Economic Group(AIGEG) 구성</x:v>
      </x:c>
      <x:c r="F63" s="14" t="str">
        <x:v>2026</x:v>
      </x:c>
      <x:c r="G63" s="14" t="str">
        <x:v>거버넌스/경제</x:v>
      </x:c>
      <x:c r="H63" s="14" t="str">
        <x:v>AI 정책 조율·책임 있는 혁신·부문별 감독 추진 조직</x:v>
      </x:c>
      <x:c r="I63" s="14" t="str">
        <x:v>2026</x:v>
      </x:c>
      <x:c r="J63" s="14" t="str">
        <x:v>공식 기사</x:v>
      </x:c>
      <x:c r="K63" s="21" t="e">
        <x:f>HYPERLINK("https://indiaai.gov.in/article/government-constitutes-ai-governance-and-economic-group-to-steer-policy","열기")</x:f>
      </x:c>
      <x:c r="L63" s="18" t="str">
        <x:v>https://indiaai.gov.in/article/government-constitutes-ai-governance-and-economic-group-to-steer-policy</x:v>
      </x:c>
    </x:row>
    <x:row r="64" ht="36" customHeight="1">
      <x:c r="A64" s="14" t="str">
        <x:v>국가/권역별</x:v>
      </x:c>
      <x:c r="B64" s="14" t="str">
        <x:v>아시아</x:v>
      </x:c>
      <x:c r="C64" s="14" t="str">
        <x:v>남아시아</x:v>
      </x:c>
      <x:c r="D64" s="14" t="str">
        <x:v>인도</x:v>
      </x:c>
      <x:c r="E64" s="14" t="str">
        <x:v>Draft IT Rules Amendment: Synthetic Content</x:v>
      </x:c>
      <x:c r="F64" s="14" t="str">
        <x:v>2025</x:v>
      </x:c>
      <x:c r="G64" s="14" t="str">
        <x:v>딥페이크/합성콘텐츠</x:v>
      </x:c>
      <x:c r="H64" s="14" t="str">
        <x:v>합성 생성정보 표시·메타데이터·중개자 의무 관련 IT Rules 개정안</x:v>
      </x:c>
      <x:c r="I64" s="14" t="str">
        <x:v>2025</x:v>
      </x:c>
      <x:c r="J64" s="14" t="str">
        <x:v>공식 초안</x:v>
      </x:c>
      <x:c r="K64" s="21" t="e">
        <x:f>HYPERLINK("https://www.meity.gov.in/static/uploads/2025/10/38be31bac9d39bbe22f24fc42442d5d1.pdf","열기")</x:f>
      </x:c>
      <x:c r="L64" s="18" t="str">
        <x:v>https://www.meity.gov.in/static/uploads/2025/10/38be31bac9d39bbe22f24fc42442d5d1.pdf</x:v>
      </x:c>
    </x:row>
    <x:row r="65" ht="36" customHeight="1">
      <x:c r="A65" s="14" t="str">
        <x:v>국가/권역별</x:v>
      </x:c>
      <x:c r="B65" s="14" t="str">
        <x:v>중동</x:v>
      </x:c>
      <x:c r="C65" s="14" t="str">
        <x:v>UAE/두바이</x:v>
      </x:c>
      <x:c r="D65" s="14" t="str">
        <x:v>Dubai</x:v>
      </x:c>
      <x:c r="E65" s="14" t="str">
        <x:v>AI Policy for Government Entities</x:v>
      </x:c>
      <x:c r="F65" s="14" t="str">
        <x:v>2025</x:v>
      </x:c>
      <x:c r="G65" s="14" t="str">
        <x:v>공공부문/책임AI</x:v>
      </x:c>
      <x:c r="H65" s="14" t="str">
        <x:v>두바이 정부기관의 AI 배포에 설명가능성·인간중심성·상호운용성·선제규제 반영</x:v>
      </x:c>
      <x:c r="I65" s="14" t="str">
        <x:v>2025</x:v>
      </x:c>
      <x:c r="J65" s="14" t="str">
        <x:v>공식 발표</x:v>
      </x:c>
      <x:c r="K65" s="21" t="e">
        <x:f>HYPERLINK("https://www.protocol.dubai.ae/en/media-listing/news-events/hamdan-bin-mohammed-reviews-first-edition-of-dubai-state-of-ai-report-and-witnesses-launch-of-ai-policy-at-dubai-ai-week/","열기")</x:f>
      </x:c>
      <x:c r="L65" s="18" t="str">
        <x:v>https://www.protocol.dubai.ae/en/media-listing/news-events/hamdan-bin-mohammed-reviews-first-edition-of-dubai-state-of-ai-report-and-witnesses-launch-of-ai-policy-at-dubai-ai-week/</x:v>
      </x:c>
    </x:row>
    <x:row r="66" ht="36" customHeight="1">
      <x:c r="A66" s="14" t="str">
        <x:v>국가/권역별</x:v>
      </x:c>
      <x:c r="B66" s="14" t="str">
        <x:v>남미</x:v>
      </x:c>
      <x:c r="C66" s="14" t="str">
        <x:v>콜롬비아</x:v>
      </x:c>
      <x:c r="D66" s="14" t="str">
        <x:v>DNP</x:v>
      </x:c>
      <x:c r="E66" s="14" t="str">
        <x:v>CONPES 4144 National AI Policy</x:v>
      </x:c>
      <x:c r="F66" s="14" t="str">
        <x:v>2025 승인</x:v>
      </x:c>
      <x:c r="G66" s="14" t="str">
        <x:v>국가정책/윤리</x:v>
      </x:c>
      <x:c r="H66" s="14" t="str">
        <x:v>2030년까지 윤리적 AI 도입·포용성·격차 해소를 위한 100개 이상 액션</x:v>
      </x:c>
      <x:c r="I66" s="14" t="str">
        <x:v>2025</x:v>
      </x:c>
      <x:c r="J66" s="14" t="str">
        <x:v>공식 페이지</x:v>
      </x:c>
      <x:c r="K66" s="21" t="e">
        <x:f>HYPERLINK("https://www.dnp.gov.co/Prensa_/Noticias/Paginas/colombia-aprueba-la-politica-nacional-de-inteligencia-artificial.aspx","열기")</x:f>
      </x:c>
      <x:c r="L66" s="18" t="str">
        <x:v>https://www.dnp.gov.co/Prensa_/Noticias/Paginas/colombia-aprueba-la-politica-nacional-de-inteligencia-artificial.aspx</x:v>
      </x:c>
    </x:row>
    <x:row r="67" ht="36" customHeight="1">
      <x:c r="A67" s="14" t="str">
        <x:v>국가/권역별</x:v>
      </x:c>
      <x:c r="B67" s="14" t="str">
        <x:v>남미</x:v>
      </x:c>
      <x:c r="C67" s="14" t="str">
        <x:v>콜롬비아</x:v>
      </x:c>
      <x:c r="D67" s="14" t="str">
        <x:v>DNP</x:v>
      </x:c>
      <x:c r="E67" s="14" t="str">
        <x:v>CONPES 4144 PDF</x:v>
      </x:c>
      <x:c r="F67" s="14" t="str">
        <x:v>2025</x:v>
      </x:c>
      <x:c r="G67" s="14" t="str">
        <x:v>국가정책/실행계획</x:v>
      </x:c>
      <x:c r="H67" s="14" t="str">
        <x:v>콜롬비아 국가 AI 정책 원문 PDF</x:v>
      </x:c>
      <x:c r="I67" s="14" t="str">
        <x:v>2025</x:v>
      </x:c>
      <x:c r="J67" s="14" t="str">
        <x:v>PDF</x:v>
      </x:c>
      <x:c r="K67" s="21" t="e">
        <x:f>HYPERLINK("https://colaboracion.dnp.gov.co/CDT/Conpes/Econ%C3%B3micos/4144.pdf","열기")</x:f>
      </x:c>
      <x:c r="L67" s="18" t="str">
        <x:v>https://colaboracion.dnp.gov.co/CDT/Conpes/Econ%C3%B3micos/4144.pdf</x:v>
      </x:c>
    </x:row>
    <x:row r="68" ht="36" customHeight="1">
      <x:c r="A68" s="14" t="str">
        <x:v>국가/권역별</x:v>
      </x:c>
      <x:c r="B68" s="14" t="str">
        <x:v>남미</x:v>
      </x:c>
      <x:c r="C68" s="14" t="str">
        <x:v>아르헨티나</x:v>
      </x:c>
      <x:c r="D68" s="14" t="str">
        <x:v>Argentina</x:v>
      </x:c>
      <x:c r="E68" s="14" t="str">
        <x:v>Programa PaideIA</x:v>
      </x:c>
      <x:c r="F68" s="14" t="str">
        <x:v>2025</x:v>
      </x:c>
      <x:c r="G68" s="14" t="str">
        <x:v>교육/학교</x:v>
      </x:c>
      <x:c r="H68" s="14" t="str">
        <x:v>초·중등 교육에 AI를 통합하는 교육혁신 프로그램</x:v>
      </x:c>
      <x:c r="I68" s="14" t="str">
        <x:v>2025</x:v>
      </x:c>
      <x:c r="J68" s="14" t="str">
        <x:v>공식 기사</x:v>
      </x:c>
      <x:c r="K68" s="21" t="e">
        <x:f>HYPERLINK("https://www.argentina.gob.ar/noticias/capital-humano-lanza-el-programa-paideia-para-integrar-inteligencia-artificial-en-el","열기")</x:f>
      </x:c>
      <x:c r="L68" s="18" t="str">
        <x:v>https://www.argentina.gob.ar/noticias/capital-humano-lanza-el-programa-paideia-para-integrar-inteligencia-artificial-en-el</x:v>
      </x:c>
    </x:row>
    <x:row r="69" ht="36" customHeight="1">
      <x:c r="A69" s="14" t="str">
        <x:v>국가/권역별</x:v>
      </x:c>
      <x:c r="B69" s="14" t="str">
        <x:v>남미</x:v>
      </x:c>
      <x:c r="C69" s="14" t="str">
        <x:v>우루과이</x:v>
      </x:c>
      <x:c r="D69" s="14" t="str">
        <x:v>AGESIC</x:v>
      </x:c>
      <x:c r="E69" s="14" t="str">
        <x:v>AI for Good Lab</x:v>
      </x:c>
      <x:c r="F69" s="14" t="str">
        <x:v>2026</x:v>
      </x:c>
      <x:c r="G69" s="14" t="str">
        <x:v>공공서비스/사회적 영향</x:v>
      </x:c>
      <x:c r="H69" s="14" t="str">
        <x:v>공공 영향 AI 솔루션 개발을 위한 AI for Good 실험실</x:v>
      </x:c>
      <x:c r="I69" s="14" t="str">
        <x:v>2026</x:v>
      </x:c>
      <x:c r="J69" s="14" t="str">
        <x:v>공식 기사</x:v>
      </x:c>
      <x:c r="K69" s="21" t="e">
        <x:f>HYPERLINK("https://www.gub.uy/agencia-gobierno-electronico-sociedad-informacion-conocimiento/publico/politica-digital-del-uruguay","열기")</x:f>
      </x:c>
      <x:c r="L69" s="18" t="str">
        <x:v>https://www.gub.uy/agencia-gobierno-electronico-sociedad-informacion-conocimiento/publico/politica-digital-del-uruguay</x:v>
      </x:c>
    </x:row>
    <x:row r="70" ht="36" customHeight="1">
      <x:c r="A70" s="14" t="str">
        <x:v>국가/권역별</x:v>
      </x:c>
      <x:c r="B70" s="14" t="str">
        <x:v>아프리카</x:v>
      </x:c>
      <x:c r="C70" s="14" t="str">
        <x:v>범아프리카</x:v>
      </x:c>
      <x:c r="D70" s="14" t="str">
        <x:v>Smart Africa</x:v>
      </x:c>
      <x:c r="E70" s="14" t="str">
        <x:v>Digital Health Blueprint</x:v>
      </x:c>
      <x:c r="F70" s="14" t="str">
        <x:v>2025</x:v>
      </x:c>
      <x:c r="G70" s="14" t="str">
        <x:v>보건/디지털헬스</x:v>
      </x:c>
      <x:c r="H70" s="14" t="str">
        <x:v>아프리카 디지털 보건 상호운용성과 AI 활용 기반 자료</x:v>
      </x:c>
      <x:c r="I70" s="14" t="str">
        <x:v>2025</x:v>
      </x:c>
      <x:c r="J70" s="14" t="str">
        <x:v>PDF</x:v>
      </x:c>
      <x:c r="K70" s="21" t="e">
        <x:f>HYPERLINK("https://smartafrica.org/wp-content/uploads/2025/11/Digital-Health-Blueprint-English-2.pdf","열기")</x:f>
      </x:c>
      <x:c r="L70" s="18" t="str">
        <x:v>https://smartafrica.org/wp-content/uploads/2025/11/Digital-Health-Blueprint-English-2.pdf</x:v>
      </x:c>
    </x:row>
  </x:sheetData>
  <x:pageMargins left="0.7" right="0.7" top="0.75" bottom="0.75" header="0.3" footer="0.3"/>
  <x:tableParts count="1">
    <x:tablePart xmlns:r="http://schemas.openxmlformats.org/officeDocument/2006/relationships" r:id="Rafcd48d8e36f4c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44" hidden="0" customWidth="1"/>
    <x:col min="5" max="5" width="48" hidden="0" customWidth="1"/>
  </x:cols>
  <x:sheetData>
    <x:row r="1" ht="28" customHeight="1">
      <x:c r="A1" s="6" t="str">
        <x:v>권역</x:v>
      </x:c>
      <x:c r="B1" s="6" t="str">
        <x:v>세부권역</x:v>
      </x:c>
      <x:c r="C1" s="6" t="str">
        <x:v>수록자료수</x:v>
      </x:c>
      <x:c r="D1" s="6" t="str">
        <x:v>주요 포함 국가/기관</x:v>
      </x:c>
      <x:c r="E1" s="6" t="str">
        <x:v>보강 메모</x:v>
      </x:c>
    </x:row>
    <x:row r="2">
      <x:c r="A2" s="14" t="str">
        <x:v>글로벌</x:v>
      </x:c>
      <x:c r="B2" s="14" t="str">
        <x:v>교육</x:v>
      </x:c>
      <x:c r="C2" s="14" t="n">
        <x:v>2</x:v>
      </x:c>
      <x:c r="D2" s="14" t="str">
        <x:v>UNESCO</x:v>
      </x:c>
      <x:c r="E2" s="14" t="str">
        <x:v>핵심 공식자료 포함</x:v>
      </x:c>
    </x:row>
    <x:row r="3">
      <x:c r="A3" s="14" t="str">
        <x:v>글로벌</x:v>
      </x:c>
      <x:c r="B3" s="14" t="str">
        <x:v>국제기구</x:v>
      </x:c>
      <x:c r="C3" s="14" t="n">
        <x:v>3</x:v>
      </x:c>
      <x:c r="D3" s="14" t="str">
        <x:v>OECD, UNESCO</x:v>
      </x:c>
      <x:c r="E3" s="14" t="str">
        <x:v>핵심 공식자료 포함</x:v>
      </x:c>
    </x:row>
    <x:row r="4">
      <x:c r="A4" s="14" t="str">
        <x:v>글로벌</x:v>
      </x:c>
      <x:c r="B4" s="14" t="str">
        <x:v>기업/ESG</x:v>
      </x:c>
      <x:c r="C4" s="14" t="n">
        <x:v>1</x:v>
      </x:c>
      <x:c r="D4" s="14" t="str">
        <x:v>UN Global Compact</x:v>
      </x:c>
      <x:c r="E4" s="14" t="str">
        <x:v>핵심 공식자료 포함</x:v>
      </x:c>
    </x:row>
    <x:row r="5">
      <x:c r="A5" s="14" t="str">
        <x:v>글로벌</x:v>
      </x:c>
      <x:c r="B5" s="14" t="str">
        <x:v>기업/거버넌스</x:v>
      </x:c>
      <x:c r="C5" s="14" t="n">
        <x:v>1</x:v>
      </x:c>
      <x:c r="D5" s="14" t="str">
        <x:v>World Economic Forum</x:v>
      </x:c>
      <x:c r="E5" s="14" t="str">
        <x:v>핵심 공식자료 포함</x:v>
      </x:c>
    </x:row>
    <x:row r="6">
      <x:c r="A6" s="14" t="str">
        <x:v>글로벌</x:v>
      </x:c>
      <x:c r="B6" s="14" t="str">
        <x:v>표준</x:v>
      </x:c>
      <x:c r="C6" s="14" t="n">
        <x:v>7</x:v>
      </x:c>
      <x:c r="D6" s="14" t="str">
        <x:v>ISO/IEC</x:v>
      </x:c>
      <x:c r="E6" s="14" t="str">
        <x:v>핵심 공식자료 포함</x:v>
      </x:c>
    </x:row>
    <x:row r="7">
      <x:c r="A7" s="14" t="str">
        <x:v>남미</x:v>
      </x:c>
      <x:c r="B7" s="14" t="str">
        <x:v>브라질</x:v>
      </x:c>
      <x:c r="C7" s="14" t="n">
        <x:v>3</x:v>
      </x:c>
      <x:c r="D7" s="14" t="str">
        <x:v>Brazil, Brazil Senate</x:v>
      </x:c>
      <x:c r="E7" s="14" t="str">
        <x:v>브라질·콜롬비아·칠레·아르헨티나·우루과이 보강</x:v>
      </x:c>
    </x:row>
    <x:row r="8">
      <x:c r="A8" s="14" t="str">
        <x:v>남미</x:v>
      </x:c>
      <x:c r="B8" s="14" t="str">
        <x:v>아르헨티나</x:v>
      </x:c>
      <x:c r="C8" s="14" t="n">
        <x:v>2</x:v>
      </x:c>
      <x:c r="D8" s="14" t="str">
        <x:v>Argentina</x:v>
      </x:c>
      <x:c r="E8" s="14" t="str">
        <x:v>브라질·콜롬비아·칠레·아르헨티나·우루과이 보강</x:v>
      </x:c>
    </x:row>
    <x:row r="9">
      <x:c r="A9" s="14" t="str">
        <x:v>남미</x:v>
      </x:c>
      <x:c r="B9" s="14" t="str">
        <x:v>우루과이</x:v>
      </x:c>
      <x:c r="C9" s="14" t="n">
        <x:v>2</x:v>
      </x:c>
      <x:c r="D9" s="14" t="str">
        <x:v>AGESIC</x:v>
      </x:c>
      <x:c r="E9" s="14" t="str">
        <x:v>브라질·콜롬비아·칠레·아르헨티나·우루과이 보강</x:v>
      </x:c>
    </x:row>
    <x:row r="10">
      <x:c r="A10" s="14" t="str">
        <x:v>남미</x:v>
      </x:c>
      <x:c r="B10" s="14" t="str">
        <x:v>칠레</x:v>
      </x:c>
      <x:c r="C10" s="14" t="n">
        <x:v>2</x:v>
      </x:c>
      <x:c r="D10" s="14" t="str">
        <x:v>Chile</x:v>
      </x:c>
      <x:c r="E10" s="14" t="str">
        <x:v>브라질·콜롬비아·칠레·아르헨티나·우루과이 보강</x:v>
      </x:c>
    </x:row>
    <x:row r="11">
      <x:c r="A11" s="14" t="str">
        <x:v>남미</x:v>
      </x:c>
      <x:c r="B11" s="14" t="str">
        <x:v>콜롬비아</x:v>
      </x:c>
      <x:c r="C11" s="14" t="n">
        <x:v>2</x:v>
      </x:c>
      <x:c r="D11" s="14" t="str">
        <x:v>DNP</x:v>
      </x:c>
      <x:c r="E11" s="14" t="str">
        <x:v>브라질·콜롬비아·칠레·아르헨티나·우루과이 보강</x:v>
      </x:c>
    </x:row>
    <x:row r="12">
      <x:c r="A12" s="14" t="str">
        <x:v>북미·북태평양</x:v>
      </x:c>
      <x:c r="B12" s="14" t="str">
        <x:v>미국</x:v>
      </x:c>
      <x:c r="C12" s="14" t="n">
        <x:v>7</x:v>
      </x:c>
      <x:c r="D12" s="14" t="str">
        <x:v>AI.gov, NIST, White House</x:v>
      </x:c>
      <x:c r="E12" s="14" t="str">
        <x:v>미국·캐나다·호주·뉴질랜드 중심 공공/안전/교육 자료 포함</x:v>
      </x:c>
    </x:row>
    <x:row r="13">
      <x:c r="A13" s="14" t="str">
        <x:v>북미·북태평양</x:v>
      </x:c>
      <x:c r="B13" s="14" t="str">
        <x:v>캐나다</x:v>
      </x:c>
      <x:c r="C13" s="14" t="n">
        <x:v>4</x:v>
      </x:c>
      <x:c r="D13" s="14" t="str">
        <x:v>Canada, Treasury Board</x:v>
      </x:c>
      <x:c r="E13" s="14" t="str">
        <x:v>미국·캐나다·호주·뉴질랜드 중심 공공/안전/교육 자료 포함</x:v>
      </x:c>
    </x:row>
    <x:row r="14">
      <x:c r="A14" s="14" t="str">
        <x:v>아시아</x:v>
      </x:c>
      <x:c r="B14" s="14" t="str">
        <x:v>ASEAN</x:v>
      </x:c>
      <x:c r="C14" s="14" t="n">
        <x:v>3</x:v>
      </x:c>
      <x:c r="D14" s="14" t="str">
        <x:v>ASEAN</x:v>
      </x:c>
      <x:c r="E14" s="14" t="str">
        <x:v>한국·중국·일본·싱가포르·인도 중심 최신자료 포함</x:v>
      </x:c>
    </x:row>
    <x:row r="15">
      <x:c r="A15" s="14" t="str">
        <x:v>아시아</x:v>
      </x:c>
      <x:c r="B15" s="14" t="str">
        <x:v>남아시아</x:v>
      </x:c>
      <x:c r="C15" s="14" t="n">
        <x:v>3</x:v>
      </x:c>
      <x:c r="D15" s="14" t="str">
        <x:v>인도</x:v>
      </x:c>
      <x:c r="E15" s="14" t="str">
        <x:v>한국·중국·일본·싱가포르·인도 중심 최신자료 포함</x:v>
      </x:c>
    </x:row>
    <x:row r="16">
      <x:c r="A16" s="14" t="str">
        <x:v>아시아</x:v>
      </x:c>
      <x:c r="B16" s="14" t="str">
        <x:v>동남아</x:v>
      </x:c>
      <x:c r="C16" s="14" t="n">
        <x:v>3</x:v>
      </x:c>
      <x:c r="D16" s="14" t="str">
        <x:v>싱가포르</x:v>
      </x:c>
      <x:c r="E16" s="14" t="str">
        <x:v>한국·중국·일본·싱가포르·인도 중심 최신자료 포함</x:v>
      </x:c>
    </x:row>
    <x:row r="17">
      <x:c r="A17" s="14" t="str">
        <x:v>아시아</x:v>
      </x:c>
      <x:c r="B17" s="14" t="str">
        <x:v>동아시아</x:v>
      </x:c>
      <x:c r="C17" s="14" t="n">
        <x:v>12</x:v>
      </x:c>
      <x:c r="D17" s="14" t="str">
        <x:v>일본, 중국, 한국</x:v>
      </x:c>
      <x:c r="E17" s="14" t="str">
        <x:v>한국·중국·일본·싱가포르·인도 중심 최신자료 포함</x:v>
      </x:c>
    </x:row>
    <x:row r="18">
      <x:c r="A18" s="14" t="str">
        <x:v>아프리카</x:v>
      </x:c>
      <x:c r="B18" s="14" t="str">
        <x:v>범아프리카</x:v>
      </x:c>
      <x:c r="C18" s="14" t="n">
        <x:v>2</x:v>
      </x:c>
      <x:c r="D18" s="14" t="str">
        <x:v>Smart Africa</x:v>
      </x:c>
      <x:c r="E18" s="14" t="str">
        <x:v>핵심 공식자료 포함</x:v>
      </x:c>
    </x:row>
    <x:row r="19">
      <x:c r="A19" s="14" t="str">
        <x:v>오세아니아·북태평양</x:v>
      </x:c>
      <x:c r="B19" s="14" t="str">
        <x:v>뉴질랜드</x:v>
      </x:c>
      <x:c r="C19" s="14" t="n">
        <x:v>3</x:v>
      </x:c>
      <x:c r="D19" s="14" t="str">
        <x:v>New Zealand Government</x:v>
      </x:c>
      <x:c r="E19" s="14" t="str">
        <x:v>미국·캐나다·호주·뉴질랜드 중심 공공/안전/교육 자료 포함</x:v>
      </x:c>
    </x:row>
    <x:row r="20">
      <x:c r="A20" s="14" t="str">
        <x:v>오세아니아·북태평양</x:v>
      </x:c>
      <x:c r="B20" s="14" t="str">
        <x:v>호주</x:v>
      </x:c>
      <x:c r="C20" s="14" t="n">
        <x:v>4</x:v>
      </x:c>
      <x:c r="D20" s="14" t="str">
        <x:v>Australian Government, Digital Transformation Agency</x:v>
      </x:c>
      <x:c r="E20" s="14" t="str">
        <x:v>미국·캐나다·호주·뉴질랜드 중심 공공/안전/교육 자료 포함</x:v>
      </x:c>
    </x:row>
    <x:row r="21">
      <x:c r="A21" s="14" t="str">
        <x:v>유럽</x:v>
      </x:c>
      <x:c r="B21" s="14" t="str">
        <x:v>EU</x:v>
      </x:c>
      <x:c r="C21" s="14" t="n">
        <x:v>6</x:v>
      </x:c>
      <x:c r="D21" s="14" t="str">
        <x:v>EU, EU AI Office</x:v>
      </x:c>
      <x:c r="E21" s="14" t="str">
        <x:v>핵심 공식자료 포함</x:v>
      </x:c>
    </x:row>
    <x:row r="22">
      <x:c r="A22" s="14" t="str">
        <x:v>유럽</x:v>
      </x:c>
      <x:c r="B22" s="14" t="str">
        <x:v>국제조약</x:v>
      </x:c>
      <x:c r="C22" s="14" t="n">
        <x:v>1</x:v>
      </x:c>
      <x:c r="D22" s="14" t="str">
        <x:v>Council of Europe</x:v>
      </x:c>
      <x:c r="E22" s="14" t="str">
        <x:v>핵심 공식자료 포함</x:v>
      </x:c>
    </x:row>
    <x:row r="23">
      <x:c r="A23" s="14" t="str">
        <x:v>유럽</x:v>
      </x:c>
      <x:c r="B23" s="14" t="str">
        <x:v>독일</x:v>
      </x:c>
      <x:c r="C23" s="14" t="n">
        <x:v>4</x:v>
      </x:c>
      <x:c r="D23" s="14" t="str">
        <x:v>BMWK/BMWE, BSI</x:v>
      </x:c>
      <x:c r="E23" s="14" t="str">
        <x:v>EU 공통법 외 국가별 이행·감독·분야별 자료 포함</x:v>
      </x:c>
    </x:row>
    <x:row r="24">
      <x:c r="A24" s="14" t="str">
        <x:v>유럽</x:v>
      </x:c>
      <x:c r="B24" s="14" t="str">
        <x:v>북유럽</x:v>
      </x:c>
      <x:c r="C24" s="14" t="n">
        <x:v>10</x:v>
      </x:c>
      <x:c r="D24" s="14" t="str">
        <x:v>Nordic Governments, 노르웨이, 덴마크, 스웨덴, 아이슬란드, 핀란드</x:v>
      </x:c>
      <x:c r="E24" s="14" t="str">
        <x:v>EU 공통법 외 국가별 이행·감독·분야별 자료 포함</x:v>
      </x:c>
    </x:row>
    <x:row r="25">
      <x:c r="A25" s="14" t="str">
        <x:v>유럽</x:v>
      </x:c>
      <x:c r="B25" s="14" t="str">
        <x:v>영국</x:v>
      </x:c>
      <x:c r="C25" s="14" t="n">
        <x:v>4</x:v>
      </x:c>
      <x:c r="D25" s="14" t="str">
        <x:v>UK Government</x:v>
      </x:c>
      <x:c r="E25" s="14" t="str">
        <x:v>핵심 공식자료 포함</x:v>
      </x:c>
    </x:row>
    <x:row r="26">
      <x:c r="A26" s="14" t="str">
        <x:v>유럽</x:v>
      </x:c>
      <x:c r="B26" s="14" t="str">
        <x:v>이탈리아</x:v>
      </x:c>
      <x:c r="C26" s="14" t="n">
        <x:v>1</x:v>
      </x:c>
      <x:c r="D26" s="14" t="str">
        <x:v>MIMIT</x:v>
      </x:c>
      <x:c r="E26" s="14" t="str">
        <x:v>핵심 공식자료 포함</x:v>
      </x:c>
    </x:row>
    <x:row r="27">
      <x:c r="A27" s="14" t="str">
        <x:v>유럽</x:v>
      </x:c>
      <x:c r="B27" s="14" t="str">
        <x:v>프랑스</x:v>
      </x:c>
      <x:c r="C27" s="14" t="n">
        <x:v>3</x:v>
      </x:c>
      <x:c r="D27" s="14" t="str">
        <x:v>CNIL, France</x:v>
      </x:c>
      <x:c r="E27" s="14" t="str">
        <x:v>EU 공통법 외 국가별 이행·감독·분야별 자료 포함</x:v>
      </x:c>
    </x:row>
    <x:row r="28">
      <x:c r="A28" s="14" t="str">
        <x:v>중동</x:v>
      </x:c>
      <x:c r="B28" s="14" t="str">
        <x:v>UAE/두바이</x:v>
      </x:c>
      <x:c r="C28" s="14" t="n">
        <x:v>1</x:v>
      </x:c>
      <x:c r="D28" s="14" t="str">
        <x:v>Dubai</x:v>
      </x:c>
      <x:c r="E28" s="14" t="str">
        <x:v>핵심 공식자료 포함</x:v>
      </x:c>
    </x:row>
    <x:row r="29">
      <x:c r="A29" s="14" t="str">
        <x:v>중동</x:v>
      </x:c>
      <x:c r="B29" s="14" t="str">
        <x:v>사우디아라비아</x:v>
      </x:c>
      <x:c r="C29" s="14" t="n">
        <x:v>2</x:v>
      </x:c>
      <x:c r="D29" s="14" t="str">
        <x:v>SDAIA</x:v>
      </x:c>
      <x:c r="E29" s="14" t="str">
        <x:v>핵심 공식자료 포함</x:v>
      </x:c>
    </x:row>
  </x:sheetData>
  <x:pageMargins left="0.7" right="0.7" top="0.75" bottom="0.75" header="0.3" footer="0.3"/>
  <x:tableParts count="1">
    <x:tablePart xmlns:r="http://schemas.openxmlformats.org/officeDocument/2006/relationships" r:id="Rd75f29863dae4d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24" hidden="0" customWidth="1"/>
    <x:col min="5" max="5" width="32" hidden="0" customWidth="1"/>
    <x:col min="6" max="6" width="38" hidden="0" customWidth="1"/>
    <x:col min="7" max="7" width="8" hidden="0" customWidth="1"/>
    <x:col min="8" max="8" width="58" hidden="0" customWidth="1"/>
  </x:cols>
  <x:sheetData>
    <x:row r="1" ht="28" customHeight="1">
      <x:c r="A1" s="6" t="str">
        <x:v>권역</x:v>
      </x:c>
      <x:c r="B1" s="6" t="str">
        <x:v>국가/기관</x:v>
      </x:c>
      <x:c r="C1" s="6" t="str">
        <x:v>산업/분야</x:v>
      </x:c>
      <x:c r="D1" s="6" t="str">
        <x:v>도입 방식</x:v>
      </x:c>
      <x:c r="E1" s="6" t="str">
        <x:v>대표 공식자료</x:v>
      </x:c>
      <x:c r="F1" s="6" t="str">
        <x:v>핵심 윤리 리스크</x:v>
      </x:c>
      <x:c r="G1" s="6" t="str">
        <x:v>클릭</x:v>
      </x:c>
      <x:c r="H1" s="6" t="str">
        <x:v>URL원문</x:v>
      </x:c>
    </x:row>
    <x:row r="2" ht="36" customHeight="1">
      <x:c r="A2" s="14" t="str">
        <x:v>글로벌</x:v>
      </x:c>
      <x:c r="B2" s="14" t="str">
        <x:v>UNESCO</x:v>
      </x:c>
      <x:c r="C2" s="14" t="str">
        <x:v>교육/강사역량</x:v>
      </x:c>
      <x:c r="D2" s="14" t="str">
        <x:v>역량 프레임워크</x:v>
      </x:c>
      <x:c r="E2" s="14" t="str">
        <x:v>AI Competency Framework for Teachers</x:v>
      </x:c>
      <x:c r="F2" s="14" t="str">
        <x:v>강사의 AI 오남용, 학습자 보호, 인간중심 교육</x:v>
      </x:c>
      <x:c r="G2" s="14" t="e">
        <x:f>HYPERLINK("https://www.unesco.org/en/articles/ai-competency-framework-teachers","열기")</x:f>
      </x:c>
      <x:c r="H2" s="14" t="str">
        <x:v>https://www.unesco.org/en/articles/ai-competency-framework-teachers</x:v>
      </x:c>
    </x:row>
    <x:row r="3" ht="36" customHeight="1">
      <x:c r="A3" s="14" t="str">
        <x:v>유럽</x:v>
      </x:c>
      <x:c r="B3" s="14" t="str">
        <x:v>EU</x:v>
      </x:c>
      <x:c r="C3" s="14" t="str">
        <x:v>교육·채용·의료·공공·법집행·인프라</x:v>
      </x:c>
      <x:c r="D3" s="14" t="str">
        <x:v>위험기반 법제</x:v>
      </x:c>
      <x:c r="E3" s="14" t="str">
        <x:v>EU AI Act</x:v>
      </x:c>
      <x:c r="F3" s="14" t="str">
        <x:v>고위험 AI, 차별, 설명책임, 인간감독</x:v>
      </x:c>
      <x:c r="G3" s="14" t="e">
        <x:f>HYPERLINK("https://digital-strategy.ec.europa.eu/en/policies/regulatory-framework-ai","열기")</x:f>
      </x:c>
      <x:c r="H3" s="14" t="str">
        <x:v>https://digital-strategy.ec.europa.eu/en/policies/regulatory-framework-ai</x:v>
      </x:c>
    </x:row>
    <x:row r="4" ht="36" customHeight="1">
      <x:c r="A4" s="14" t="str">
        <x:v>유럽</x:v>
      </x:c>
      <x:c r="B4" s="14" t="str">
        <x:v>EU</x:v>
      </x:c>
      <x:c r="C4" s="14" t="str">
        <x:v>콘텐츠/미디어</x:v>
      </x:c>
      <x:c r="D4" s="14" t="str">
        <x:v>투명성 코드</x:v>
      </x:c>
      <x:c r="E4" s="14" t="str">
        <x:v>AI-Generated Content Transparency Code</x:v>
      </x:c>
      <x:c r="F4" s="14" t="str">
        <x:v>딥페이크, 합성콘텐츠 오인, 표시의무</x:v>
      </x:c>
      <x:c r="G4" s="14" t="e">
        <x:f>HYPERLINK("https://digital-strategy.ec.europa.eu/en/policies/code-practice-ai-generated-content","열기")</x:f>
      </x:c>
      <x:c r="H4" s="14" t="str">
        <x:v>https://digital-strategy.ec.europa.eu/en/policies/code-practice-ai-generated-content</x:v>
      </x:c>
    </x:row>
    <x:row r="5" ht="36" customHeight="1">
      <x:c r="A5" s="14" t="str">
        <x:v>유럽</x:v>
      </x:c>
      <x:c r="B5" s="14" t="str">
        <x:v>독일 BSI</x:v>
      </x:c>
      <x:c r="C5" s="14" t="str">
        <x:v>금융</x:v>
      </x:c>
      <x:c r="D5" s="14" t="str">
        <x:v>테스트 기준</x:v>
      </x:c>
      <x:c r="E5" s="14" t="str">
        <x:v>Test Criteria Catalogue for AI Systems in Finance</x:v>
      </x:c>
      <x:c r="F5" s="14" t="str">
        <x:v>금융 의사결정 편향, 설명가능성, 검증가능성</x:v>
      </x:c>
      <x:c r="G5" s="14" t="e">
        <x:f>HYPERLINK("https://www.bsi.bund.de/SharedDocs/Downloads/EN/BSI/AI/Test_Criteria_Catalogue_AI_Finance.html","열기")</x:f>
      </x:c>
      <x:c r="H5" s="14" t="str">
        <x:v>https://www.bsi.bund.de/SharedDocs/Downloads/EN/BSI/AI/Test_Criteria_Catalogue_AI_Finance.html</x:v>
      </x:c>
    </x:row>
    <x:row r="6" ht="36" customHeight="1">
      <x:c r="A6" s="14" t="str">
        <x:v>유럽</x:v>
      </x:c>
      <x:c r="B6" s="14" t="str">
        <x:v>프랑스 CNIL</x:v>
      </x:c>
      <x:c r="C6" s="14" t="str">
        <x:v>개인정보/데이터 기반 AI</x:v>
      </x:c>
      <x:c r="D6" s="14" t="str">
        <x:v>감독기관 권고</x:v>
      </x:c>
      <x:c r="E6" s="14" t="str">
        <x:v>AI and GDPR recommendations</x:v>
      </x:c>
      <x:c r="F6" s="14" t="str">
        <x:v>정보주체 권리, 학습데이터 적법성, 투명성</x:v>
      </x:c>
      <x:c r="G6" s="14" t="e">
        <x:f>HYPERLINK("https://www.cnil.fr/en/artificial-intelligence","열기")</x:f>
      </x:c>
      <x:c r="H6" s="14" t="str">
        <x:v>https://www.cnil.fr/en/artificial-intelligence</x:v>
      </x:c>
    </x:row>
    <x:row r="7" ht="36" customHeight="1">
      <x:c r="A7" s="14" t="str">
        <x:v>유럽</x:v>
      </x:c>
      <x:c r="B7" s="14" t="str">
        <x:v>영국</x:v>
      </x:c>
      <x:c r="C7" s="14" t="str">
        <x:v>공공부문</x:v>
      </x:c>
      <x:c r="D7" s="14" t="str">
        <x:v>공공 AI 플레이북</x:v>
      </x:c>
      <x:c r="E7" s="14" t="str">
        <x:v>AI Playbook for UK Government</x:v>
      </x:c>
      <x:c r="F7" s="14" t="str">
        <x:v>조달, 데이터 품질, 책임소재, 보안</x:v>
      </x:c>
      <x:c r="G7" s="14" t="e">
        <x:f>HYPERLINK("https://www.gov.uk/government/publications/ai-playbook-for-the-uk-government","열기")</x:f>
      </x:c>
      <x:c r="H7" s="14" t="str">
        <x:v>https://www.gov.uk/government/publications/ai-playbook-for-the-uk-government</x:v>
      </x:c>
    </x:row>
    <x:row r="8" ht="36" customHeight="1">
      <x:c r="A8" s="14" t="str">
        <x:v>유럽</x:v>
      </x:c>
      <x:c r="B8" s="14" t="str">
        <x:v>노르웨이</x:v>
      </x:c>
      <x:c r="C8" s="14" t="str">
        <x:v>공공부문</x:v>
      </x:c>
      <x:c r="D8" s="14" t="str">
        <x:v>책임 있는 AI 자료 허브</x:v>
      </x:c>
      <x:c r="E8" s="14" t="str">
        <x:v>Digdir Responsible AI resources</x:v>
      </x:c>
      <x:c r="F8" s="14" t="str">
        <x:v>공공서비스 신뢰성, 투명성, 책임</x:v>
      </x:c>
      <x:c r="G8" s="14" t="e">
        <x:f>HYPERLINK("https://www.digdir.no/kunstig-intelligens/resources-responsible-artificial-intelligence/5525","열기")</x:f>
      </x:c>
      <x:c r="H8" s="14" t="str">
        <x:v>https://www.digdir.no/kunstig-intelligens/resources-responsible-artificial-intelligence/5525</x:v>
      </x:c>
    </x:row>
    <x:row r="9" ht="36" customHeight="1">
      <x:c r="A9" s="14" t="str">
        <x:v>아시아</x:v>
      </x:c>
      <x:c r="B9" s="14" t="str">
        <x:v>한국</x:v>
      </x:c>
      <x:c r="C9" s="14" t="str">
        <x:v>고영향 AI/생성형 AI</x:v>
      </x:c>
      <x:c r="D9" s="14" t="str">
        <x:v>기본법·시행령</x:v>
      </x:c>
      <x:c r="E9" s="14" t="str">
        <x:v>AI 기본법 및 시행령</x:v>
      </x:c>
      <x:c r="F9" s="14" t="str">
        <x:v>고영향 AI 확인, 투명성, 안전성, 영향평가</x:v>
      </x:c>
      <x:c r="G9" s="14" t="e">
        <x:f>HYPERLINK("https://www.law.go.kr/lsInfoP.do?lsiSeq=268543","열기")</x:f>
      </x:c>
      <x:c r="H9" s="14" t="str">
        <x:v>https://www.law.go.kr/lsInfoP.do?lsiSeq=268543</x:v>
      </x:c>
    </x:row>
    <x:row r="10" ht="36" customHeight="1">
      <x:c r="A10" s="14" t="str">
        <x:v>아시아</x:v>
      </x:c>
      <x:c r="B10" s="14" t="str">
        <x:v>중국</x:v>
      </x:c>
      <x:c r="C10" s="14" t="str">
        <x:v>콘텐츠/플랫폼/딥페이크</x:v>
      </x:c>
      <x:c r="D10" s="14" t="str">
        <x:v>생성물 표시 규정</x:v>
      </x:c>
      <x:c r="E10" s="14" t="str">
        <x:v>AI 생성·합성 콘텐츠 표시방법</x:v>
      </x:c>
      <x:c r="F10" s="14" t="str">
        <x:v>합성콘텐츠 오인, 여론조작, 미성년자 보호</x:v>
      </x:c>
      <x:c r="G10" s="14" t="e">
        <x:f>HYPERLINK("https://www.cac.gov.cn/2025-03/14/c_1743654684782215.htm","열기")</x:f>
      </x:c>
      <x:c r="H10" s="14" t="str">
        <x:v>https://www.cac.gov.cn/2025-03/14/c_1743654684782215.htm</x:v>
      </x:c>
    </x:row>
    <x:row r="11" ht="36" customHeight="1">
      <x:c r="A11" s="14" t="str">
        <x:v>아시아</x:v>
      </x:c>
      <x:c r="B11" s="14" t="str">
        <x:v>중국</x:v>
      </x:c>
      <x:c r="C11" s="14" t="str">
        <x:v>감정형·의인화 AI</x:v>
      </x:c>
      <x:c r="D11" s="14" t="str">
        <x:v>규정 초안</x:v>
      </x:c>
      <x:c r="E11" s="14" t="str">
        <x:v>人形化互动 AI 服务管理规定</x:v>
      </x:c>
      <x:c r="F11" s="14" t="str">
        <x:v>정서적 의존, 기만적 상호작용, 사용자 보호</x:v>
      </x:c>
      <x:c r="G11" s="14" t="e">
        <x:f>HYPERLINK("https://www.cac.gov.cn/2025-12/27/c_1768428888332054.htm","열기")</x:f>
      </x:c>
      <x:c r="H11" s="14" t="str">
        <x:v>https://www.cac.gov.cn/2025-12/27/c_1768428888332054.htm</x:v>
      </x:c>
    </x:row>
    <x:row r="12" ht="36" customHeight="1">
      <x:c r="A12" s="14" t="str">
        <x:v>아시아</x:v>
      </x:c>
      <x:c r="B12" s="14" t="str">
        <x:v>일본</x:v>
      </x:c>
      <x:c r="C12" s="14" t="str">
        <x:v>기업 전반</x:v>
      </x:c>
      <x:c r="D12" s="14" t="str">
        <x:v>기업 가이드라인</x:v>
      </x:c>
      <x:c r="E12" s="14" t="str">
        <x:v>AI Guidelines for Business Ver.1.2</x:v>
      </x:c>
      <x:c r="F12" s="14" t="str">
        <x:v>기업 내부통제, 책임분담, 리스크 관리</x:v>
      </x:c>
      <x:c r="G12" s="14" t="e">
        <x:f>HYPERLINK("https://www.meti.go.jp/shingikai/mono_info_service/ai_shakai_jisso/pdf/20260331_12.pdf","열기")</x:f>
      </x:c>
      <x:c r="H12" s="14" t="str">
        <x:v>https://www.meti.go.jp/shingikai/mono_info_service/ai_shakai_jisso/pdf/20260331_12.pdf</x:v>
      </x:c>
    </x:row>
    <x:row r="13" ht="36" customHeight="1">
      <x:c r="A13" s="14" t="str">
        <x:v>아시아</x:v>
      </x:c>
      <x:c r="B13" s="14" t="str">
        <x:v>싱가포르</x:v>
      </x:c>
      <x:c r="C13" s="14" t="str">
        <x:v>에이전트 AI/기업</x:v>
      </x:c>
      <x:c r="D13" s="14" t="str">
        <x:v>프레임워크·법적 책임</x:v>
      </x:c>
      <x:c r="E13" s="14" t="str">
        <x:v>Model AI Governance Framework for Agentic AI</x:v>
      </x:c>
      <x:c r="F13" s="14" t="str">
        <x:v>자율행동, 책임소재, 통제가능성</x:v>
      </x:c>
      <x:c r="G13" s="14" t="e">
        <x:f>HYPERLINK("https://aiverifyfoundation.sg/wp-content/uploads/2026/05/Model-AI-Governance-Framework-for-Agentic-AI.pdf","열기")</x:f>
      </x:c>
      <x:c r="H13" s="14" t="str">
        <x:v>https://aiverifyfoundation.sg/wp-content/uploads/2026/05/Model-AI-Governance-Framework-for-Agentic-AI.pdf</x:v>
      </x:c>
    </x:row>
    <x:row r="14" ht="36" customHeight="1">
      <x:c r="A14" s="14" t="str">
        <x:v>아시아</x:v>
      </x:c>
      <x:c r="B14" s="14" t="str">
        <x:v>인도</x:v>
      </x:c>
      <x:c r="C14" s="14" t="str">
        <x:v>합성콘텐츠/플랫폼</x:v>
      </x:c>
      <x:c r="D14" s="14" t="str">
        <x:v>IT Rules 개정안</x:v>
      </x:c>
      <x:c r="E14" s="14" t="str">
        <x:v>Draft IT Rules Amendment</x:v>
      </x:c>
      <x:c r="F14" s="14" t="str">
        <x:v>딥페이크, 사칭, 선거·사회적 허위정보</x:v>
      </x:c>
      <x:c r="G14" s="14" t="e">
        <x:f>HYPERLINK("https://www.meity.gov.in/static/uploads/2025/10/38be31bac9d39bbe22f24fc42442d5d1.pdf","열기")</x:f>
      </x:c>
      <x:c r="H14" s="14" t="str">
        <x:v>https://www.meity.gov.in/static/uploads/2025/10/38be31bac9d39bbe22f24fc42442d5d1.pdf</x:v>
      </x:c>
    </x:row>
    <x:row r="15" ht="36" customHeight="1">
      <x:c r="A15" s="14" t="str">
        <x:v>북미·북태평양</x:v>
      </x:c>
      <x:c r="B15" s="14" t="str">
        <x:v>미국 NIST</x:v>
      </x:c>
      <x:c r="C15" s="14" t="str">
        <x:v>기업/공공 AI 전반</x:v>
      </x:c>
      <x:c r="D15" s="14" t="str">
        <x:v>위험관리 프레임워크</x:v>
      </x:c>
      <x:c r="E15" s="14" t="str">
        <x:v>NIST AI RMF &amp; GenAI Profile</x:v>
      </x:c>
      <x:c r="F15" s="14" t="str">
        <x:v>환각, 프라이버시, 보안, 편향, 유해콘텐츠</x:v>
      </x:c>
      <x:c r="G15" s="14" t="e">
        <x:f>HYPERLINK("https://www.nist.gov/itl/ai-risk-management-framework","열기")</x:f>
      </x:c>
      <x:c r="H15" s="14" t="str">
        <x:v>https://www.nist.gov/itl/ai-risk-management-framework</x:v>
      </x:c>
    </x:row>
    <x:row r="16" ht="36" customHeight="1">
      <x:c r="A16" s="14" t="str">
        <x:v>북미·북태평양</x:v>
      </x:c>
      <x:c r="B16" s="14" t="str">
        <x:v>미국</x:v>
      </x:c>
      <x:c r="C16" s="14" t="str">
        <x:v>교육</x:v>
      </x:c>
      <x:c r="D16" s="14" t="str">
        <x:v>행정명령</x:v>
      </x:c>
      <x:c r="E16" s="14" t="str">
        <x:v>Advancing AI Education for American Youth</x:v>
      </x:c>
      <x:c r="F16" s="14" t="str">
        <x:v>교사 훈련, 학생 AI 리터러시, 안전한 교육 적용</x:v>
      </x:c>
      <x:c r="G16" s="14" t="e">
        <x:f>HYPERLINK("https://www.whitehouse.gov/presidential-actions/2025/04/advancing-artificial-intelligence-education-for-american-youth/","열기")</x:f>
      </x:c>
      <x:c r="H16" s="14" t="str">
        <x:v>https://www.whitehouse.gov/presidential-actions/2025/04/advancing-artificial-intelligence-education-for-american-youth/</x:v>
      </x:c>
    </x:row>
    <x:row r="17" ht="36" customHeight="1">
      <x:c r="A17" s="14" t="str">
        <x:v>북미·북태평양</x:v>
      </x:c>
      <x:c r="B17" s="14" t="str">
        <x:v>캐나다</x:v>
      </x:c>
      <x:c r="C17" s="14" t="str">
        <x:v>공공 자동화 의사결정</x:v>
      </x:c>
      <x:c r="D17" s="14" t="str">
        <x:v>지침/영향평가</x:v>
      </x:c>
      <x:c r="E17" s="14" t="str">
        <x:v>Directive on Automated Decision-Making</x:v>
      </x:c>
      <x:c r="F17" s="14" t="str">
        <x:v>행정결정 자동화, 이의제기, 투명성, 권리보호</x:v>
      </x:c>
      <x:c r="G17" s="14" t="e">
        <x:f>HYPERLINK("https://www.tbs-sct.canada.ca/pol/doc-eng.aspx?id=32592","열기")</x:f>
      </x:c>
      <x:c r="H17" s="14" t="str">
        <x:v>https://www.tbs-sct.canada.ca/pol/doc-eng.aspx?id=32592</x:v>
      </x:c>
    </x:row>
    <x:row r="18" ht="36" customHeight="1">
      <x:c r="A18" s="14" t="str">
        <x:v>오세아니아·북태평양</x:v>
      </x:c>
      <x:c r="B18" s="14" t="str">
        <x:v>호주</x:v>
      </x:c>
      <x:c r="C18" s="14" t="str">
        <x:v>공공부문</x:v>
      </x:c>
      <x:c r="D18" s="14" t="str">
        <x:v>의무정책·투명성 등록</x:v>
      </x:c>
      <x:c r="E18" s="14" t="str">
        <x:v>Responsible use of AI in government</x:v>
      </x:c>
      <x:c r="F18" s="14" t="str">
        <x:v>공공기관 책임자 지정, 위험기반 조치, 공개성</x:v>
      </x:c>
      <x:c r="G18" s="14" t="e">
        <x:f>HYPERLINK("https://www.digital.gov.au/policy/ai/policy-responsible-use-ai-government","열기")</x:f>
      </x:c>
      <x:c r="H18" s="14" t="str">
        <x:v>https://www.digital.gov.au/policy/ai/policy-responsible-use-ai-government</x:v>
      </x:c>
    </x:row>
    <x:row r="19" ht="36" customHeight="1">
      <x:c r="A19" s="14" t="str">
        <x:v>오세아니아·북태평양</x:v>
      </x:c>
      <x:c r="B19" s="14" t="str">
        <x:v>뉴질랜드</x:v>
      </x:c>
      <x:c r="C19" s="14" t="str">
        <x:v>공공부문 생성형 AI</x:v>
      </x:c>
      <x:c r="D19" s="14" t="str">
        <x:v>가이드라인</x:v>
      </x:c>
      <x:c r="E19" s="14" t="str">
        <x:v>Responsible AI Guidance for Public Service: GenAI</x:v>
      </x:c>
      <x:c r="F19" s="14" t="str">
        <x:v>정부자료 유출, 신뢰성, 사용 고지, 검증</x:v>
      </x:c>
      <x:c r="G19" s="14" t="e">
        <x:f>HYPERLINK("https://www.digital.govt.nz/standards-and-guidance/technology-and-architecture/artificial-intelligence/responsible-ai-guidance-for-public-service-generative-ai/","열기")</x:f>
      </x:c>
      <x:c r="H19" s="14" t="str">
        <x:v>https://www.digital.govt.nz/standards-and-guidance/technology-and-architecture/artificial-intelligence/responsible-ai-guidance-for-public-service-generative-ai/</x:v>
      </x:c>
    </x:row>
    <x:row r="20" ht="36" customHeight="1">
      <x:c r="A20" s="14" t="str">
        <x:v>남미</x:v>
      </x:c>
      <x:c r="B20" s="14" t="str">
        <x:v>브라질</x:v>
      </x:c>
      <x:c r="C20" s="14" t="str">
        <x:v>공공서비스/산업/사회</x:v>
      </x:c>
      <x:c r="D20" s="14" t="str">
        <x:v>국가 AI 계획</x:v>
      </x:c>
      <x:c r="E20" s="14" t="str">
        <x:v>PBIA 2024-2028</x:v>
      </x:c>
      <x:c r="F20" s="14" t="str">
        <x:v>공공서비스 개선, 포용적 AI, 사회적 영향</x:v>
      </x:c>
      <x:c r="G20" s="14" t="e">
        <x:f>HYPERLINK("https://www.gov.br/mcti/pt-br/acompanhe-o-mcti/transformacaodigital/plano-brasileiro-de-inteligencia-artificial","열기")</x:f>
      </x:c>
      <x:c r="H20" s="14" t="str">
        <x:v>https://www.gov.br/mcti/pt-br/acompanhe-o-mcti/transformacaodigital/plano-brasileiro-de-inteligencia-artificial</x:v>
      </x:c>
    </x:row>
    <x:row r="21" ht="36" customHeight="1">
      <x:c r="A21" s="14" t="str">
        <x:v>남미</x:v>
      </x:c>
      <x:c r="B21" s="14" t="str">
        <x:v>콜롬비아</x:v>
      </x:c>
      <x:c r="C21" s="14" t="str">
        <x:v>국가정책/공공·산업</x:v>
      </x:c>
      <x:c r="D21" s="14" t="str">
        <x:v>CONPES 정책</x:v>
      </x:c>
      <x:c r="E21" s="14" t="str">
        <x:v>CONPES 4144</x:v>
      </x:c>
      <x:c r="F21" s="14" t="str">
        <x:v>격차 해소, 포용성, 책임 있는 도입</x:v>
      </x:c>
      <x:c r="G21" s="14" t="e">
        <x:f>HYPERLINK("https://www.dnp.gov.co/Prensa_/Noticias/Paginas/colombia-aprueba-la-politica-nacional-de-inteligencia-artificial.aspx","열기")</x:f>
      </x:c>
      <x:c r="H21" s="14" t="str">
        <x:v>https://www.dnp.gov.co/Prensa_/Noticias/Paginas/colombia-aprueba-la-politica-nacional-de-inteligencia-artificial.aspx</x:v>
      </x:c>
    </x:row>
    <x:row r="22" ht="36" customHeight="1">
      <x:c r="A22" s="14" t="str">
        <x:v>남미</x:v>
      </x:c>
      <x:c r="B22" s="14" t="str">
        <x:v>칠레</x:v>
      </x:c>
      <x:c r="C22" s="14" t="str">
        <x:v>데이터센터/인프라</x:v>
      </x:c>
      <x:c r="D22" s="14" t="str">
        <x:v>지속가능 인프라 계획</x:v>
      </x:c>
      <x:c r="E22" s="14" t="str">
        <x:v>National Data Centers Plan</x:v>
      </x:c>
      <x:c r="F22" s="14" t="str">
        <x:v>전력, 물, 환경영향, 데이터 주권</x:v>
      </x:c>
      <x:c r="G22" s="14" t="e">
        <x:f>HYPERLINK("https://www.gob.cl/en/news/government-presents-national-data-centers-plan/","열기")</x:f>
      </x:c>
      <x:c r="H22" s="14" t="str">
        <x:v>https://www.gob.cl/en/news/government-presents-national-data-centers-plan/</x:v>
      </x:c>
    </x:row>
    <x:row r="23" ht="36" customHeight="1">
      <x:c r="A23" s="14" t="str">
        <x:v>남미</x:v>
      </x:c>
      <x:c r="B23" s="14" t="str">
        <x:v>아르헨티나</x:v>
      </x:c>
      <x:c r="C23" s="14" t="str">
        <x:v>교육</x:v>
      </x:c>
      <x:c r="D23" s="14" t="str">
        <x:v>AI 교육 프로그램</x:v>
      </x:c>
      <x:c r="E23" s="14" t="str">
        <x:v>Programa PaideIA</x:v>
      </x:c>
      <x:c r="F23" s="14" t="str">
        <x:v>학교 AI 리터러시, 인간중심 교육, 학습자 보호</x:v>
      </x:c>
      <x:c r="G23" s="14" t="e">
        <x:f>HYPERLINK("https://www.argentina.gob.ar/noticias/capital-humano-lanza-el-programa-paideia-para-integrar-inteligencia-artificial-en-el","열기")</x:f>
      </x:c>
      <x:c r="H23" s="14" t="str">
        <x:v>https://www.argentina.gob.ar/noticias/capital-humano-lanza-el-programa-paideia-para-integrar-inteligencia-artificial-en-el</x:v>
      </x:c>
    </x:row>
    <x:row r="24" ht="36" customHeight="1">
      <x:c r="A24" s="14" t="str">
        <x:v>중동</x:v>
      </x:c>
      <x:c r="B24" s="14" t="str">
        <x:v>사우디아라비아</x:v>
      </x:c>
      <x:c r="C24" s="14" t="str">
        <x:v>정부 생성형 AI</x:v>
      </x:c>
      <x:c r="D24" s="14" t="str">
        <x:v>정부 지침</x:v>
      </x:c>
      <x:c r="E24" s="14" t="str">
        <x:v>Generative AI Guidelines for Government</x:v>
      </x:c>
      <x:c r="F24" s="14" t="str">
        <x:v>정부정보 보안, 편향, 책임 있는 생성형 AI</x:v>
      </x:c>
      <x:c r="G24" s="14" t="e">
        <x:f>HYPERLINK("https://sdaia.gov.sa/en/SDAIA/about/Files/GenAIGuidelinesForGovernmentENCompressed.pdf","열기")</x:f>
      </x:c>
      <x:c r="H24" s="14" t="str">
        <x:v>https://sdaia.gov.sa/en/SDAIA/about/Files/GenAIGuidelinesForGovernmentENCompressed.pdf</x:v>
      </x:c>
    </x:row>
    <x:row r="25" ht="36" customHeight="1">
      <x:c r="A25" s="14" t="str">
        <x:v>중동</x:v>
      </x:c>
      <x:c r="B25" s="14" t="str">
        <x:v>UAE/두바이</x:v>
      </x:c>
      <x:c r="C25" s="14" t="str">
        <x:v>정부기관</x:v>
      </x:c>
      <x:c r="D25" s="14" t="str">
        <x:v>AI 정책</x:v>
      </x:c>
      <x:c r="E25" s="14" t="str">
        <x:v>AI Policy for Government Entities</x:v>
      </x:c>
      <x:c r="F25" s="14" t="str">
        <x:v>설명가능성, 인간중심성, 정부기관 책임 배포</x:v>
      </x:c>
      <x:c r="G25" s="14" t="e">
        <x:f>HYPERLINK("https://www.protocol.dubai.ae/en/media-listing/news-events/hamdan-bin-mohammed-reviews-first-edition-of-dubai-state-of-ai-report-and-witnesses-launch-of-ai-policy-at-dubai-ai-week/","열기")</x:f>
      </x:c>
      <x:c r="H25" s="14" t="str">
        <x:v>https://www.protocol.dubai.ae/en/media-listing/news-events/hamdan-bin-mohammed-reviews-first-edition-of-dubai-state-of-ai-report-and-witnesses-launch-of-ai-policy-at-dubai-ai-week/</x:v>
      </x:c>
    </x:row>
    <x:row r="26" ht="36" customHeight="1">
      <x:c r="A26" s="14" t="str">
        <x:v>아프리카</x:v>
      </x:c>
      <x:c r="B26" s="14" t="str">
        <x:v>Smart Africa</x:v>
      </x:c>
      <x:c r="C26" s="14" t="str">
        <x:v>보건</x:v>
      </x:c>
      <x:c r="D26" s="14" t="str">
        <x:v>디지털 헬스 청사진</x:v>
      </x:c>
      <x:c r="E26" s="14" t="str">
        <x:v>Digital Health Blueprint</x:v>
      </x:c>
      <x:c r="F26" s="14" t="str">
        <x:v>보건데이터 상호운용성, 프라이버시, 접근성</x:v>
      </x:c>
      <x:c r="G26" s="14" t="e">
        <x:f>HYPERLINK("https://smartafrica.org/wp-content/uploads/2025/11/Digital-Health-Blueprint-English-2.pdf","열기")</x:f>
      </x:c>
      <x:c r="H26" s="14" t="str">
        <x:v>https://smartafrica.org/wp-content/uploads/2025/11/Digital-Health-Blueprint-English-2.pdf</x:v>
      </x:c>
    </x:row>
  </x:sheetData>
  <x:pageMargins left="0.7" right="0.7" top="0.75" bottom="0.75" header="0.3" footer="0.3"/>
  <x:tableParts count="1">
    <x:tablePart xmlns:r="http://schemas.openxmlformats.org/officeDocument/2006/relationships" r:id="Rf630eae6081449e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항목</x:v>
      </x:c>
      <x:c r="B1" s="6" t="str">
        <x:v>설명</x:v>
      </x:c>
      <x:c r="C1" s="6" t="str">
        <x:v>대응</x:v>
      </x:c>
    </x:row>
    <x:row r="2">
      <x:c r="A2" s="14" t="str">
        <x:v>이전 파일 링크 문제 가능성 1</x:v>
      </x:c>
      <x:c r="B2" s="14" t="str">
        <x:v>일부 셀을 '열기' 표시 중심으로 만들면 Excel/Google Sheets/보안 설정에 따라 하이퍼링크가 죽어 보일 수 있음</x:v>
      </x:c>
      <x:c r="C2" s="14" t="str">
        <x:v>이번 파일은 '클릭' 열과 'URL원문' 열을 동시에 제공</x:v>
      </x:c>
    </x:row>
    <x:row r="3">
      <x:c r="A3" s="14" t="str">
        <x:v>이전 파일 링크 문제 가능성 2</x:v>
      </x:c>
      <x:c r="B3" s="14" t="str">
        <x:v>다운로드 후 Excel 보호 보기, 외부 링크 차단, 조직 보안정책, Google Sheets 변환 과정에서 HYPERLINK 함수가 비활성화될 수 있음</x:v>
      </x:c>
      <x:c r="C3" s="14" t="str">
        <x:v>URL원문을 복사해 브라우저 주소창에 붙여넣으면 우회 가능</x:v>
      </x:c>
    </x:row>
    <x:row r="4">
      <x:c r="A4" s="14" t="str">
        <x:v>이전 파일 링크 문제 가능성 3</x:v>
      </x:c>
      <x:c r="B4" s="14" t="str">
        <x:v>일부 정부 사이트는 지역/브라우저/쿠키/보안 정책 또는 PDF 리다이렉트로 접속이 불안정할 수 있음</x:v>
      </x:c>
      <x:c r="C4" s="14" t="str">
        <x:v>공식기관 도메인과 문서명을 같이 넣어 재검색 가능하게 구성</x:v>
      </x:c>
    </x:row>
    <x:row r="5">
      <x:c r="A5" s="14" t="str">
        <x:v>hu-tec 페이지 판독</x:v>
      </x:c>
      <x:c r="B5" s="14" t="str">
        <x:v>https://hu-tec.github.io/ai-ethics/#/fields 는 GitHub Pages SPA 형태라 텍스트 추출기에서는 본문이 비어 보임</x:v>
      </x:c>
      <x:c r="C5" s="14" t="str">
        <x:v>산업/분야별 구조는 별도 '04_산업분야매핑' 시트로 재구성</x:v>
      </x:c>
    </x:row>
    <x:row r="6">
      <x:c r="A6" s="14" t="str">
        <x:v>최신성 보강</x:v>
      </x:c>
      <x:c r="B6" s="14" t="str">
        <x:v>2025~2026년 자료를 별도 시트에 모음</x:v>
      </x:c>
      <x:c r="C6" s="14" t="str">
        <x:v>02_2025-26최신 시트에서 필터링 가능</x:v>
      </x:c>
    </x:row>
    <x:row r="7">
      <x:c r="A7" s="14" t="str">
        <x:v>권역별 누락 점검</x:v>
      </x:c>
      <x:c r="B7" s="14" t="str">
        <x:v>북유럽·남미·아시아·북미/북태평양·오세아니아·중동·아프리카로 재분류</x:v>
      </x:c>
      <x:c r="C7" s="14" t="str">
        <x:v>03_권역별점검 시트 확인</x:v>
      </x:c>
    </x:row>
  </x:sheetData>
  <x:pageMargins left="0.7" right="0.7" top="0.75" bottom="0.75" header="0.3" footer="0.3"/>
  <x:tableParts count="1">
    <x:tablePart xmlns:r="http://schemas.openxmlformats.org/officeDocument/2006/relationships" r:id="Rbfb4c4e4fa254851"/>
  </x:tableParts>
</x:worksheet>
</file>